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  <sheet name="Helper" sheetId="3" state="visible" r:id="rId5"/>
    <sheet name="Notes" sheetId="4" state="visible" r:id="rId6"/>
    <sheet name="독립검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<sst xmlns="http://schemas.openxmlformats.org/spreadsheetml/2006/main" count="2299" uniqueCount="146">
  <si>
    <t xml:space="preserve">학년</t>
  </si>
  <si>
    <t xml:space="preserve">연도</t>
  </si>
  <si>
    <t xml:space="preserve">월</t>
  </si>
  <si>
    <t xml:space="preserve">문항번호</t>
  </si>
  <si>
    <r>
      <rPr>
        <b val="true"/>
        <sz val="11"/>
        <rFont val="Noto Sans CJK SC"/>
        <family val="2"/>
      </rPr>
      <t xml:space="preserve">정답 </t>
    </r>
    <r>
      <rPr>
        <b val="true"/>
        <sz val="11"/>
        <rFont val="Cambria"/>
        <family val="0"/>
        <charset val="1"/>
      </rPr>
      <t xml:space="preserve">c_i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</si>
  <si>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s_i1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</si>
  <si>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s_i2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</si>
  <si>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s_i3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</si>
  <si>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s_i4</t>
    </r>
  </si>
  <si>
    <r>
      <rPr>
        <b val="true"/>
        <sz val="11"/>
        <rFont val="Noto Sans CJK SC"/>
        <family val="2"/>
      </rPr>
      <t xml:space="preserve">학생 </t>
    </r>
    <r>
      <rPr>
        <b val="true"/>
        <sz val="11"/>
        <rFont val="Cambria"/>
        <family val="0"/>
        <charset val="1"/>
      </rPr>
      <t xml:space="preserve">s_i5</t>
    </r>
  </si>
  <si>
    <t xml:space="preserve">Ettin-dec-150M P_i1</t>
  </si>
  <si>
    <t xml:space="preserve">Ettin-dec-150M P_i2</t>
  </si>
  <si>
    <t xml:space="preserve">Ettin-dec-150M P_i3</t>
  </si>
  <si>
    <t xml:space="preserve">Ettin-dec-150M P_i4</t>
  </si>
  <si>
    <t xml:space="preserve">Ettin-dec-150M P_i5</t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</si>
  <si>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</si>
  <si>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</si>
  <si>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</si>
  <si>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Noto Sans CJK SC"/>
        <family val="2"/>
      </rPr>
      <t xml:space="preserve">학생 오답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</si>
  <si>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Cambria"/>
        <family val="0"/>
        <charset val="1"/>
      </rPr>
      <t xml:space="preserve">Ettin-dec-150M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</si>
  <si>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Cambria"/>
        <family val="0"/>
        <charset val="1"/>
      </rPr>
      <t xml:space="preserve">Ettin-dec-150M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</si>
  <si>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Cambria"/>
        <family val="0"/>
        <charset val="1"/>
      </rPr>
      <t xml:space="preserve">Ettin-dec-150M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</si>
  <si>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Cambria"/>
        <family val="0"/>
        <charset val="1"/>
      </rPr>
      <t xml:space="preserve">Ettin-dec-150M </t>
    </r>
    <r>
      <rPr>
        <b val="true"/>
        <sz val="11"/>
        <rFont val="Noto Sans CJK SC"/>
        <family val="2"/>
      </rPr>
      <t xml:space="preserve">오답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</si>
  <si>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D1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</si>
  <si>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D2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</si>
  <si>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D3</t>
    </r>
  </si>
  <si>
    <r>
      <rPr>
        <b val="true"/>
        <sz val="11"/>
        <rFont val="Noto Sans CJK SC"/>
        <family val="2"/>
      </rPr>
      <t xml:space="preserve">순위 학생 </t>
    </r>
    <r>
      <rPr>
        <b val="true"/>
        <sz val="11"/>
        <rFont val="Cambria"/>
        <family val="0"/>
        <charset val="1"/>
      </rPr>
      <t xml:space="preserve">D4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</si>
  <si>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Ettin-dec-150M D1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</si>
  <si>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Ettin-dec-150M D2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</si>
  <si>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Ettin-dec-150M D3</t>
    </r>
  </si>
  <si>
    <r>
      <rPr>
        <b val="true"/>
        <sz val="11"/>
        <rFont val="Noto Sans CJK SC"/>
        <family val="2"/>
      </rPr>
      <t xml:space="preserve">순위 </t>
    </r>
    <r>
      <rPr>
        <b val="true"/>
        <sz val="11"/>
        <rFont val="Cambria"/>
        <family val="0"/>
        <charset val="1"/>
      </rPr>
      <t xml:space="preserve">Ettin-dec-150M D4</t>
    </r>
  </si>
  <si>
    <t xml:space="preserve">Pearson Ettin-dec-150M</t>
  </si>
  <si>
    <t xml:space="preserve">Spearman Ettin-dec-150M</t>
  </si>
  <si>
    <t xml:space="preserve">Kendall τ_b Ettin-dec-150M</t>
  </si>
  <si>
    <t xml:space="preserve">o_i Ettin-dec-150M</t>
  </si>
  <si>
    <t xml:space="preserve">e_i Ettin-dec-150M</t>
  </si>
  <si>
    <t xml:space="preserve">alpha_i Ettin-dec-150M</t>
  </si>
  <si>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_i Ettin-dec-150M</t>
    </r>
  </si>
  <si>
    <t xml:space="preserve">alpha_random_i</t>
  </si>
  <si>
    <r>
      <rPr>
        <b val="true"/>
        <sz val="11"/>
        <rFont val="Noto Sans CJK SC"/>
        <family val="2"/>
      </rPr>
      <t xml:space="preserve">오답률 </t>
    </r>
    <r>
      <rPr>
        <b val="true"/>
        <sz val="11"/>
        <rFont val="Cambria"/>
        <family val="0"/>
        <charset val="1"/>
      </rPr>
      <t xml:space="preserve">u_i</t>
    </r>
  </si>
  <si>
    <t xml:space="preserve">Grade 3</t>
  </si>
  <si>
    <t xml:space="preserve">5</t>
  </si>
  <si>
    <t xml:space="preserve">31</t>
  </si>
  <si>
    <t xml:space="preserve">32</t>
  </si>
  <si>
    <t xml:space="preserve">33</t>
  </si>
  <si>
    <t xml:space="preserve">34</t>
  </si>
  <si>
    <t xml:space="preserve">3</t>
  </si>
  <si>
    <t xml:space="preserve">CSAT odd</t>
  </si>
  <si>
    <t xml:space="preserve">10</t>
  </si>
  <si>
    <t xml:space="preserve">9</t>
  </si>
  <si>
    <t xml:space="preserve">7</t>
  </si>
  <si>
    <t xml:space="preserve">6</t>
  </si>
  <si>
    <t xml:space="preserve">4</t>
  </si>
  <si>
    <t xml:space="preserve">35</t>
  </si>
  <si>
    <t xml:space="preserve">30</t>
  </si>
  <si>
    <t xml:space="preserve">36</t>
  </si>
  <si>
    <t xml:space="preserve">37</t>
  </si>
  <si>
    <t xml:space="preserve">Grade 2</t>
  </si>
  <si>
    <t xml:space="preserve">11</t>
  </si>
  <si>
    <t xml:space="preserve">23</t>
  </si>
  <si>
    <t xml:space="preserve">24</t>
  </si>
  <si>
    <t xml:space="preserve">Grade 1</t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</si>
  <si>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오답 분포 상관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정답 제외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기준</t>
    </r>
    <r>
      <rPr>
        <sz val="11"/>
        <color theme="1"/>
        <rFont val="Calibri"/>
        <family val="2"/>
        <charset val="1"/>
      </rPr>
      <t xml:space="preserve">)  [Clark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 · Ettin-dec-150M]</t>
    </r>
  </si>
  <si>
    <t xml:space="preserve">모델</t>
  </si>
  <si>
    <t xml:space="preserve">Pearson r̄</t>
  </si>
  <si>
    <t xml:space="preserve">Spearman ρ̄</t>
  </si>
  <si>
    <t xml:space="preserve">Kendall τ̄_b</t>
  </si>
  <si>
    <t xml:space="preserve">n</t>
  </si>
  <si>
    <t xml:space="preserve">Ettin-dec-150M</t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</si>
  <si>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오류 시 정렬점수 </t>
    </r>
    <r>
      <rPr>
        <sz val="11"/>
        <color theme="1"/>
        <rFont val="Calibri"/>
        <family val="2"/>
        <charset val="1"/>
      </rPr>
      <t xml:space="preserve">α </t>
    </r>
    <r>
      <rPr>
        <sz val="11"/>
        <color theme="1"/>
        <rFont val="Noto Sans CJK SC"/>
        <family val="2"/>
      </rPr>
      <t xml:space="preserve">및 독자 오답 순위별 일치율  </t>
    </r>
    <r>
      <rPr>
        <sz val="11"/>
        <color theme="1"/>
        <rFont val="Calibri"/>
        <family val="2"/>
        <charset val="1"/>
      </rPr>
      <t xml:space="preserve">[Clark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 · Ettin-dec-150M]</t>
    </r>
  </si>
  <si>
    <t xml:space="preserve">n_err</t>
  </si>
  <si>
    <t xml:space="preserve">ᾱ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</si>
  <si>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</si>
  <si>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</si>
  <si>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</si>
  <si>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순위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</si>
  <si>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순위 문항수</t>
    </r>
  </si>
  <si>
    <r>
      <rPr>
        <b val="true"/>
        <sz val="11"/>
        <rFont val="Noto Sans CJK SC"/>
        <family val="2"/>
      </rPr>
      <t xml:space="preserve">합계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</si>
  <si>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Cambria"/>
        <family val="0"/>
        <charset val="1"/>
      </rPr>
      <t xml:space="preserve">Top-1 </t>
    </r>
    <r>
      <rPr>
        <b val="true"/>
        <sz val="11"/>
        <rFont val="Noto Sans CJK SC"/>
        <family val="2"/>
      </rPr>
      <t xml:space="preserve">이항 </t>
    </r>
    <r>
      <rPr>
        <b val="true"/>
        <sz val="11"/>
        <rFont val="Cambria"/>
        <family val="0"/>
        <charset val="1"/>
      </rPr>
      <t xml:space="preserve">p (</t>
    </r>
    <r>
      <rPr>
        <b val="true"/>
        <sz val="11"/>
        <rFont val="Noto Sans CJK SC"/>
        <family val="2"/>
      </rPr>
      <t xml:space="preserve">단측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기준 </t>
    </r>
    <r>
      <rPr>
        <b val="true"/>
        <sz val="11"/>
        <rFont val="Cambria"/>
        <family val="0"/>
        <charset val="1"/>
      </rPr>
      <t xml:space="preserve">.25)</t>
    </r>
  </si>
  <si>
    <t xml:space="preserve">무작위 기준선</t>
  </si>
  <si>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A.5. </t>
    </r>
    <r>
      <rPr>
        <sz val="11"/>
        <color theme="1"/>
        <rFont val="Noto Sans CJK SC"/>
        <family val="2"/>
      </rPr>
      <t xml:space="preserve">문항 난이도와 모델 정답확률의 상관 </t>
    </r>
    <r>
      <rPr>
        <sz val="11"/>
        <color theme="1"/>
        <rFont val="Calibri"/>
        <family val="2"/>
        <charset val="1"/>
      </rPr>
      <t xml:space="preserve">R</t>
    </r>
  </si>
  <si>
    <t xml:space="preserve">R</t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</si>
  <si>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의 각 행은 합계</t>
    </r>
    <r>
      <rPr>
        <sz val="11"/>
        <color theme="1"/>
        <rFont val="Calibri"/>
        <family val="2"/>
        <charset val="1"/>
      </rPr>
      <t xml:space="preserve">(%)</t>
    </r>
    <r>
      <rPr>
        <sz val="11"/>
        <color theme="1"/>
        <rFont val="Noto Sans CJK SC"/>
        <family val="2"/>
      </rPr>
      <t xml:space="preserve">가 정확히 </t>
    </r>
    <r>
      <rPr>
        <sz val="11"/>
        <color theme="1"/>
        <rFont val="Calibri"/>
        <family val="2"/>
        <charset val="1"/>
      </rPr>
      <t xml:space="preserve">100.0</t>
    </r>
    <r>
      <rPr>
        <sz val="11"/>
        <color theme="1"/>
        <rFont val="Noto Sans CJK SC"/>
        <family val="2"/>
      </rPr>
      <t xml:space="preserve">이어야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</si>
  <si>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n</t>
    </r>
    <r>
      <rPr>
        <sz val="11"/>
        <color theme="1"/>
        <rFont val="Noto Sans CJK SC"/>
        <family val="2"/>
      </rPr>
      <t xml:space="preserve">은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확률이 영분산인 문항을 제외한 값이다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</si>
  <si>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검산</t>
    </r>
    <r>
      <rPr>
        <sz val="11"/>
        <color theme="1"/>
        <rFont val="Calibri"/>
        <family val="2"/>
        <charset val="1"/>
      </rPr>
      <t xml:space="preserve">: J</t>
    </r>
    <r>
      <rPr>
        <sz val="11"/>
        <color theme="1"/>
        <rFont val="Noto Sans CJK SC"/>
        <family val="2"/>
      </rPr>
      <t xml:space="preserve">열 이항검정은 </t>
    </r>
    <r>
      <rPr>
        <sz val="11"/>
        <color theme="1"/>
        <rFont val="Calibri"/>
        <family val="2"/>
        <charset val="1"/>
      </rPr>
      <t xml:space="preserve">Top-1 </t>
    </r>
    <r>
      <rPr>
        <sz val="11"/>
        <color theme="1"/>
        <rFont val="Noto Sans CJK SC"/>
        <family val="2"/>
      </rPr>
      <t xml:space="preserve">일치 수</t>
    </r>
    <r>
      <rPr>
        <sz val="11"/>
        <color theme="1"/>
        <rFont val="Calibri"/>
        <family val="2"/>
        <charset val="1"/>
      </rPr>
      <t xml:space="preserve">(H)</t>
    </r>
    <r>
      <rPr>
        <sz val="11"/>
        <color theme="1"/>
        <rFont val="Noto Sans CJK SC"/>
        <family val="2"/>
      </rPr>
      <t xml:space="preserve">와 오류 문항 수</t>
    </r>
    <r>
      <rPr>
        <sz val="11"/>
        <color theme="1"/>
        <rFont val="Calibri"/>
        <family val="2"/>
        <charset val="1"/>
      </rPr>
      <t xml:space="preserve">(B)</t>
    </r>
    <r>
      <rPr>
        <sz val="11"/>
        <color theme="1"/>
        <rFont val="Noto Sans CJK SC"/>
        <family val="2"/>
      </rPr>
      <t xml:space="preserve">를 이용한 단측 초과확률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0.25)</t>
    </r>
    <r>
      <rPr>
        <sz val="11"/>
        <color theme="1"/>
        <rFont val="Noto Sans CJK SC"/>
        <family val="2"/>
      </rPr>
      <t xml:space="preserve">이다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</si>
  <si>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Cambria"/>
        <family val="0"/>
        <charset val="1"/>
      </rPr>
      <t xml:space="preserve">Ettin-dec-150M P(</t>
    </r>
    <r>
      <rPr>
        <b val="true"/>
        <sz val="11"/>
        <rFont val="Noto Sans CJK SC"/>
        <family val="2"/>
      </rPr>
      <t xml:space="preserve">정답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</si>
  <si>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문항별 정합성 결과 — 논문 기준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수식 구현</t>
    </r>
    <r>
      <rPr>
        <sz val="11"/>
        <color theme="1"/>
        <rFont val="Calibri"/>
        <family val="2"/>
        <charset val="1"/>
      </rPr>
      <t xml:space="preserve">) · Ettin-dec-150M </t>
    </r>
    <r>
      <rPr>
        <sz val="11"/>
        <color theme="1"/>
        <rFont val="Noto Sans CJK SC"/>
        <family val="2"/>
      </rPr>
      <t xml:space="preserve">단독판 </t>
    </r>
    <r>
      <rPr>
        <sz val="11"/>
        <color theme="1"/>
        <rFont val="Calibri"/>
        <family val="2"/>
        <charset val="1"/>
      </rPr>
      <t xml:space="preserve">· Clark</t>
    </r>
    <r>
      <rPr>
        <sz val="11"/>
        <color theme="1"/>
        <rFont val="Noto Sans CJK SC"/>
        <family val="2"/>
      </rPr>
      <t xml:space="preserve">식 단어 수준 집계</t>
    </r>
    <r>
      <rPr>
        <sz val="11"/>
        <color theme="1"/>
        <rFont val="Calibri"/>
        <family val="2"/>
        <charset val="1"/>
      </rPr>
      <t xml:space="preserve">(agg word) </t>
    </r>
    <r>
      <rPr>
        <sz val="11"/>
        <color theme="1"/>
        <rFont val="Noto Sans CJK SC"/>
        <family val="2"/>
      </rPr>
      <t xml:space="preserve">판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확률 고정밀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반올림 없음</t>
    </r>
    <r>
      <rPr>
        <sz val="11"/>
        <color theme="1"/>
        <rFont val="Calibri"/>
        <family val="2"/>
        <charset val="1"/>
      </rPr>
      <t xml:space="preserve">)</t>
    </r>
  </si>
  <si>
    <t xml:space="preserve">■ 대상 모델</t>
  </si>
  <si>
    <r>
      <rPr>
        <sz val="11"/>
        <color theme="1"/>
        <rFont val="Noto Sans CJK SC"/>
        <family val="2"/>
      </rPr>
      <t xml:space="preserve">  표기      </t>
    </r>
    <r>
      <rPr>
        <sz val="11"/>
        <color theme="1"/>
        <rFont val="Calibri"/>
        <family val="2"/>
        <charset val="1"/>
      </rPr>
      <t xml:space="preserve">Ettin-dec-150M</t>
    </r>
  </si>
  <si>
    <r>
      <rPr>
        <sz val="11"/>
        <color theme="1"/>
        <rFont val="Noto Sans CJK SC"/>
        <family val="2"/>
      </rPr>
      <t xml:space="preserve">  체크포인트 </t>
    </r>
    <r>
      <rPr>
        <sz val="11"/>
        <color theme="1"/>
        <rFont val="Calibri"/>
        <family val="2"/>
        <charset val="1"/>
      </rPr>
      <t xml:space="preserve">jhu-clsp/ettin-decoder-150m</t>
    </r>
  </si>
  <si>
    <r>
      <rPr>
        <sz val="11"/>
        <color theme="1"/>
        <rFont val="Noto Sans CJK SC"/>
        <family val="2"/>
      </rPr>
      <t xml:space="preserve">  규모      </t>
    </r>
    <r>
      <rPr>
        <sz val="11"/>
        <color theme="1"/>
        <rFont val="Calibri"/>
        <family val="2"/>
        <charset val="1"/>
      </rPr>
      <t xml:space="preserve">150M</t>
    </r>
  </si>
  <si>
    <r>
      <rPr>
        <sz val="11"/>
        <color theme="1"/>
        <rFont val="Noto Sans CJK SC"/>
        <family val="2"/>
      </rPr>
      <t xml:space="preserve">  예측 구조  좌→우 자기회귀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연쇄 </t>
    </r>
    <r>
      <rPr>
        <sz val="11"/>
        <color theme="1"/>
        <rFont val="Calibri"/>
        <family val="2"/>
        <charset val="1"/>
      </rPr>
      <t xml:space="preserve">log-likelihood, BOS </t>
    </r>
    <r>
      <rPr>
        <sz val="11"/>
        <color theme="1"/>
        <rFont val="Noto Sans CJK SC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 · Ettin </t>
    </r>
    <r>
      <rPr>
        <sz val="11"/>
        <color theme="1"/>
        <rFont val="Noto Sans CJK SC"/>
        <family val="2"/>
      </rPr>
      <t xml:space="preserve">짝 디코더</t>
    </r>
  </si>
  <si>
    <r>
      <rPr>
        <sz val="11"/>
        <color theme="1"/>
        <rFont val="Noto Sans CJK SC"/>
        <family val="2"/>
      </rPr>
      <t xml:space="preserve">  위치      </t>
    </r>
    <r>
      <rPr>
        <sz val="11"/>
        <color theme="1"/>
        <rFont val="Calibri"/>
        <family val="2"/>
        <charset val="1"/>
      </rPr>
      <t xml:space="preserve">Ettin </t>
    </r>
    <r>
      <rPr>
        <sz val="11"/>
        <color theme="1"/>
        <rFont val="Noto Sans CJK SC"/>
        <family val="2"/>
      </rPr>
      <t xml:space="preserve">짝 비교</t>
    </r>
  </si>
  <si>
    <r>
      <rPr>
        <sz val="11"/>
        <color theme="1"/>
        <rFont val="Noto Sans CJK SC"/>
        <family val="2"/>
      </rPr>
      <t xml:space="preserve">■ 이 파일의 모든 통계량은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수식으로 계산되며 하드코딩된 값이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</si>
  <si>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Data </t>
    </r>
    <r>
      <rPr>
        <sz val="11"/>
        <color theme="1"/>
        <rFont val="Noto Sans CJK SC"/>
        <family val="2"/>
      </rPr>
      <t xml:space="preserve">시트의 오답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상관</t>
    </r>
    <r>
      <rPr>
        <sz val="11"/>
        <color theme="1"/>
        <rFont val="Calibri"/>
        <family val="2"/>
        <charset val="1"/>
      </rPr>
      <t xml:space="preserve">·α </t>
    </r>
    <r>
      <rPr>
        <sz val="11"/>
        <color theme="1"/>
        <rFont val="Noto Sans CJK SC"/>
        <family val="2"/>
      </rPr>
      <t xml:space="preserve">열은 전부 수식이므로 셀을 클릭하여 검증할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</si>
  <si>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('</t>
    </r>
    <r>
      <rPr>
        <sz val="11"/>
        <color theme="1"/>
        <rFont val="Noto Sans CJK SC"/>
        <family val="2"/>
      </rPr>
      <t xml:space="preserve">독립검산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시트만 </t>
    </r>
    <r>
      <rPr>
        <sz val="11"/>
        <color theme="1"/>
        <rFont val="Calibri"/>
        <family val="2"/>
        <charset val="1"/>
      </rPr>
      <t xml:space="preserve">Python/SciPy </t>
    </r>
    <r>
      <rPr>
        <sz val="11"/>
        <color theme="1"/>
        <rFont val="Noto Sans CJK SC"/>
        <family val="2"/>
      </rPr>
      <t xml:space="preserve">재계산 결과를 값으로 수록한다</t>
    </r>
    <r>
      <rPr>
        <sz val="11"/>
        <color theme="1"/>
        <rFont val="Calibri"/>
        <family val="2"/>
        <charset val="1"/>
      </rPr>
      <t xml:space="preserve">.)</t>
    </r>
  </si>
  <si>
    <t xml:space="preserve">■ 산출 범위</t>
  </si>
  <si>
    <r>
      <rPr>
        <sz val="11"/>
        <color theme="1"/>
        <rFont val="Noto Sans CJK SC"/>
        <family val="2"/>
      </rPr>
      <t xml:space="preserve">  표 </t>
    </r>
    <r>
      <rPr>
        <sz val="11"/>
        <color theme="1"/>
        <rFont val="Calibri"/>
        <family val="2"/>
        <charset val="1"/>
      </rPr>
      <t xml:space="preserve">1·</t>
    </r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는 정답</t>
    </r>
    <r>
      <rPr>
        <sz val="11"/>
        <color theme="1"/>
        <rFont val="Calibri"/>
        <family val="2"/>
        <charset val="1"/>
      </rPr>
      <t xml:space="preserve">(c_i)</t>
    </r>
    <r>
      <rPr>
        <sz val="11"/>
        <color theme="1"/>
        <rFont val="Noto Sans CJK SC"/>
        <family val="2"/>
      </rPr>
      <t xml:space="preserve">을 제외한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개만을 대상으로 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</si>
  <si>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k</t>
    </r>
    <r>
      <rPr>
        <sz val="11"/>
        <color theme="1"/>
        <rFont val="Noto Sans CJK SC"/>
        <family val="2"/>
      </rPr>
      <t xml:space="preserve">번째 비정답 선지의 인덱스는 </t>
    </r>
    <r>
      <rPr>
        <sz val="11"/>
        <color theme="1"/>
        <rFont val="Calibri"/>
        <family val="2"/>
        <charset val="1"/>
      </rPr>
      <t xml:space="preserve">IF(k &lt; c_i, k, k+1)</t>
    </r>
    <r>
      <rPr>
        <sz val="11"/>
        <color theme="1"/>
        <rFont val="Noto Sans CJK SC"/>
        <family val="2"/>
      </rPr>
      <t xml:space="preserve">로 얻는다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</si>
  <si>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■ 식 대응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논문 부록 </t>
    </r>
    <r>
      <rPr>
        <sz val="11"/>
        <color theme="1"/>
        <rFont val="Calibri"/>
        <family val="2"/>
        <charset val="1"/>
      </rPr>
      <t xml:space="preserve">A)</t>
    </r>
  </si>
  <si>
    <r>
      <rPr>
        <sz val="11"/>
        <color theme="1"/>
        <rFont val="Calibri"/>
        <family val="2"/>
        <charset val="1"/>
      </rPr>
      <t xml:space="preserve">  A.4.1 Pearson   → CORREL(</t>
    </r>
    <r>
      <rPr>
        <sz val="11"/>
        <color theme="1"/>
        <rFont val="Noto Sans CJK SC"/>
        <family val="2"/>
      </rPr>
      <t xml:space="preserve">오답 학생값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오답 모델값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</si>
  <si>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A.4.2 Spearman  → </t>
    </r>
    <r>
      <rPr>
        <sz val="11"/>
        <color theme="1"/>
        <rFont val="Noto Sans CJK SC"/>
        <family val="2"/>
      </rPr>
      <t xml:space="preserve">평균순위 간 </t>
    </r>
    <r>
      <rPr>
        <sz val="11"/>
        <color theme="1"/>
        <rFont val="Calibri"/>
        <family val="2"/>
        <charset val="1"/>
      </rPr>
      <t xml:space="preserve">CORREL (RANK.AVG </t>
    </r>
    <r>
      <rPr>
        <sz val="11"/>
        <color theme="1"/>
        <rFont val="Noto Sans CJK SC"/>
        <family val="2"/>
      </rPr>
      <t xml:space="preserve">등가식</t>
    </r>
    <r>
      <rPr>
        <sz val="11"/>
        <color theme="1"/>
        <rFont val="Calibri"/>
        <family val="2"/>
        <charset val="1"/>
      </rPr>
      <t xml:space="preserve">)</t>
    </r>
  </si>
  <si>
    <t xml:space="preserve">  A.4.3 Kendall   → tau_b = (n_c - n_d) / SQRT((6-T_s)(6-T_m))</t>
  </si>
  <si>
    <t xml:space="preserve">  A.6.1 e_i       → IF(o_i &lt;&gt; c_i, 1, 0)</t>
  </si>
  <si>
    <r>
      <rPr>
        <sz val="11"/>
        <color theme="1"/>
        <rFont val="Calibri"/>
        <family val="2"/>
        <charset val="1"/>
      </rPr>
      <t xml:space="preserve">  A.6.2 alpha_i   → INDEX(</t>
    </r>
    <r>
      <rPr>
        <sz val="11"/>
        <color theme="1"/>
        <rFont val="Noto Sans CJK SC"/>
        <family val="2"/>
      </rPr>
      <t xml:space="preserve">학생</t>
    </r>
    <r>
      <rPr>
        <sz val="11"/>
        <color theme="1"/>
        <rFont val="Calibri"/>
        <family val="2"/>
        <charset val="1"/>
      </rPr>
      <t xml:space="preserve">, o_i) / MAX(</t>
    </r>
    <r>
      <rPr>
        <sz val="11"/>
        <color theme="1"/>
        <rFont val="Noto Sans CJK SC"/>
        <family val="2"/>
      </rPr>
      <t xml:space="preserve">학생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</si>
  <si>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A.6.4 </t>
    </r>
    <r>
      <rPr>
        <sz val="11"/>
        <color theme="1"/>
        <rFont val="Noto Sans CJK SC"/>
        <family val="2"/>
      </rPr>
      <t xml:space="preserve">무작위    → </t>
    </r>
    <r>
      <rPr>
        <sz val="11"/>
        <color theme="1"/>
        <rFont val="Calibri"/>
        <family val="2"/>
        <charset val="1"/>
      </rPr>
      <t xml:space="preserve">AVERAGE(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 / MAX(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</si>
  <si>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  A.5   R         → CORREL(u_i, P(</t>
    </r>
    <r>
      <rPr>
        <sz val="11"/>
        <color theme="1"/>
        <rFont val="Noto Sans CJK SC"/>
        <family val="2"/>
      </rPr>
      <t xml:space="preserve">정답</t>
    </r>
    <r>
      <rPr>
        <sz val="11"/>
        <color theme="1"/>
        <rFont val="Calibri"/>
        <family val="2"/>
        <charset val="1"/>
      </rPr>
      <t xml:space="preserve">)), u_i = 100 - </t>
    </r>
    <r>
      <rPr>
        <sz val="11"/>
        <color theme="1"/>
        <rFont val="Noto Sans CJK SC"/>
        <family val="2"/>
      </rPr>
      <t xml:space="preserve">정답 선지 학생 선택률</t>
    </r>
  </si>
  <si>
    <r>
      <rPr>
        <sz val="11"/>
        <color theme="1"/>
        <rFont val="Noto Sans CJK SC"/>
        <family val="2"/>
      </rPr>
      <t xml:space="preserve">■ 동점 처리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_i</t>
    </r>
    <r>
      <rPr>
        <sz val="11"/>
        <color theme="1"/>
        <rFont val="Noto Sans CJK SC"/>
        <family val="2"/>
      </rPr>
      <t xml:space="preserve">는 경쟁 순위</t>
    </r>
    <r>
      <rPr>
        <sz val="11"/>
        <color theme="1"/>
        <rFont val="Calibri"/>
        <family val="2"/>
        <charset val="1"/>
      </rPr>
      <t xml:space="preserve">(min-rank) 1 + COUNTIF(</t>
    </r>
    <r>
      <rPr>
        <sz val="11"/>
        <color theme="1"/>
        <rFont val="Noto Sans CJK SC"/>
        <family val="2"/>
      </rPr>
      <t xml:space="preserve">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, "&gt;" &amp; </t>
    </r>
    <r>
      <rPr>
        <sz val="11"/>
        <color theme="1"/>
        <rFont val="Noto Sans CJK SC"/>
        <family val="2"/>
      </rPr>
      <t xml:space="preserve">선택값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</si>
  <si>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  학생 오답 선택률 동점 문항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공동 최다 오답 문항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.</t>
    </r>
  </si>
  <si>
    <t xml:space="preserve">■ 제외 문항</t>
  </si>
  <si>
    <r>
      <rPr>
        <sz val="11"/>
        <color theme="1"/>
        <rFont val="Noto Sans CJK SC"/>
        <family val="2"/>
      </rPr>
      <t xml:space="preserve">  학생 선택률 결측 문항 제외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메타정보 </t>
    </r>
    <r>
      <rPr>
        <sz val="11"/>
        <color theme="1"/>
        <rFont val="Calibri"/>
        <family val="2"/>
        <charset val="1"/>
      </rPr>
      <t xml:space="preserve">761</t>
    </r>
    <r>
      <rPr>
        <sz val="11"/>
        <color theme="1"/>
        <rFont val="Noto Sans CJK SC"/>
        <family val="2"/>
      </rPr>
      <t xml:space="preserve">행 → </t>
    </r>
    <r>
      <rPr>
        <sz val="11"/>
        <color theme="1"/>
        <rFont val="Calibri"/>
        <family val="2"/>
        <charset val="1"/>
      </rPr>
      <t xml:space="preserve">715</t>
    </r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</si>
  <si>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Noto Sans CJK SC"/>
        <family val="2"/>
      </rPr>
      <t xml:space="preserve">  오답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 모델 확률 영분산 문항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없음 → 표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n = 715.</t>
    </r>
  </si>
  <si>
    <t xml:space="preserve">■ 입력</t>
  </si>
  <si>
    <r>
      <rPr>
        <sz val="11"/>
        <color theme="1"/>
        <rFont val="Calibri"/>
        <family val="2"/>
        <charset val="1"/>
      </rPr>
      <t xml:space="preserve">  Clark</t>
    </r>
    <r>
      <rPr>
        <sz val="11"/>
        <color theme="1"/>
        <rFont val="Noto Sans CJK SC"/>
        <family val="2"/>
      </rPr>
      <t xml:space="preserve">식 단어 수준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단 집계</t>
    </r>
    <r>
      <rPr>
        <sz val="11"/>
        <color theme="1"/>
        <rFont val="Calibri"/>
        <family val="2"/>
        <charset val="1"/>
      </rPr>
      <t xml:space="preserve">(agg word)</t>
    </r>
    <r>
      <rPr>
        <sz val="11"/>
        <color theme="1"/>
        <rFont val="Noto Sans CJK SC"/>
        <family val="2"/>
      </rPr>
      <t xml:space="preserve">의 소프트맥스 확률을 입력으로 사용한다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</si>
  <si>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Ettin </t>
    </r>
    <r>
      <rPr>
        <sz val="11"/>
        <color theme="1"/>
        <rFont val="Noto Sans CJK SC"/>
        <family val="2"/>
      </rPr>
      <t xml:space="preserve">인코더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디코더는 토크나이저가 같아 선지별 토큰 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단어 수가 두 모델에서 동일하다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</si>
  <si>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  확률은 채점 결과의 </t>
    </r>
    <r>
      <rPr>
        <sz val="11"/>
        <color theme="1"/>
        <rFont val="Calibri"/>
        <family val="2"/>
        <charset val="1"/>
      </rPr>
      <t xml:space="preserve">surprisal(bit, </t>
    </r>
    <r>
      <rPr>
        <sz val="11"/>
        <color theme="1"/>
        <rFont val="Noto Sans CJK SC"/>
        <family val="2"/>
      </rPr>
      <t xml:space="preserve">소수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자리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에서 다시 계산해 유효숫자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자리로 저장했다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소수 자릿수로 반올림하면 극소 확률이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으로 뭉개져 동점이 생기고</t>
    </r>
    <r>
      <rPr>
        <sz val="11"/>
        <color theme="1"/>
        <rFont val="Calibri"/>
        <family val="2"/>
        <charset val="1"/>
      </rPr>
      <t xml:space="preserve">, 15</t>
    </r>
    <r>
      <rPr>
        <sz val="11"/>
        <color theme="1"/>
        <rFont val="Noto Sans CJK SC"/>
        <family val="2"/>
      </rPr>
      <t xml:space="preserve">자리를 넘기면 </t>
    </r>
    <r>
      <rPr>
        <sz val="11"/>
        <color theme="1"/>
        <rFont val="Calibri"/>
        <family val="2"/>
        <charset val="1"/>
      </rPr>
      <t xml:space="preserve">COUNTIF </t>
    </r>
    <r>
      <rPr>
        <sz val="11"/>
        <color theme="1"/>
        <rFont val="Noto Sans CJK SC"/>
        <family val="2"/>
      </rPr>
      <t xml:space="preserve">조건 문자열 변환에서 값이 달라지므로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</si>
  <si>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Noto Sans CJK SC"/>
        <family val="2"/>
      </rPr>
      <t xml:space="preserve">■ 독립검산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독립검산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시트에 </t>
    </r>
    <r>
      <rPr>
        <sz val="11"/>
        <color theme="1"/>
        <rFont val="Calibri"/>
        <family val="2"/>
        <charset val="1"/>
      </rPr>
      <t xml:space="preserve">Python/SciPy </t>
    </r>
    <r>
      <rPr>
        <sz val="11"/>
        <color theme="1"/>
        <rFont val="Noto Sans CJK SC"/>
        <family val="2"/>
      </rPr>
      <t xml:space="preserve">재계산값과 수식값 대조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허용 오차 </t>
    </r>
    <r>
      <rPr>
        <sz val="11"/>
        <color theme="1"/>
        <rFont val="Calibri"/>
        <family val="2"/>
        <charset val="1"/>
      </rPr>
      <t xml:space="preserve">1e-9)</t>
    </r>
    <r>
      <rPr>
        <sz val="11"/>
        <color theme="1"/>
        <rFont val="Noto Sans CJK SC"/>
        <family val="2"/>
      </rPr>
      <t xml:space="preserve">를 수록하였다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</si>
  <si>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독립 재계산 검산판 </t>
    </r>
    <r>
      <rPr>
        <sz val="11"/>
        <color theme="1"/>
        <rFont val="Calibri"/>
        <family val="2"/>
        <charset val="1"/>
      </rPr>
      <t xml:space="preserve">· Ettin-dec-150M</t>
    </r>
  </si>
  <si>
    <r>
      <rPr>
        <sz val="11"/>
        <color theme="1"/>
        <rFont val="Noto Sans CJK SC"/>
        <family val="2"/>
      </rPr>
      <t xml:space="preserve">표 </t>
    </r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독립 재계산 검산판 </t>
    </r>
    <r>
      <rPr>
        <sz val="11"/>
        <color theme="1"/>
        <rFont val="Calibri"/>
        <family val="2"/>
        <charset val="1"/>
      </rPr>
      <t xml:space="preserve">· Ettin-dec-150M</t>
    </r>
  </si>
  <si>
    <r>
      <rPr>
        <b val="true"/>
        <sz val="11"/>
        <rFont val="Cambria"/>
        <family val="0"/>
        <charset val="1"/>
      </rPr>
      <t xml:space="preserve">Top-1 </t>
    </r>
    <r>
      <rPr>
        <b val="true"/>
        <sz val="11"/>
        <rFont val="Noto Sans CJK SC"/>
        <family val="2"/>
      </rPr>
      <t xml:space="preserve">이항 </t>
    </r>
    <r>
      <rPr>
        <b val="true"/>
        <sz val="11"/>
        <rFont val="Cambria"/>
        <family val="0"/>
        <charset val="1"/>
      </rPr>
      <t xml:space="preserve">p</t>
    </r>
  </si>
  <si>
    <r>
      <rPr>
        <sz val="11"/>
        <color theme="1"/>
        <rFont val="Noto Sans CJK SC"/>
        <family val="2"/>
      </rPr>
      <t xml:space="preserve">부록 </t>
    </r>
    <r>
      <rPr>
        <sz val="11"/>
        <color theme="1"/>
        <rFont val="Calibri"/>
        <family val="2"/>
        <charset val="1"/>
      </rPr>
      <t xml:space="preserve">A.5. R [</t>
    </r>
    <r>
      <rPr>
        <sz val="11"/>
        <color theme="1"/>
        <rFont val="Noto Sans CJK SC"/>
        <family val="2"/>
      </rPr>
      <t xml:space="preserve">독립 재계산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</si>
  <si>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수식 구현값과 독립 재계산값의 대조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수식 구현값 열은 </t>
    </r>
    <r>
      <rPr>
        <sz val="11"/>
        <color theme="1"/>
        <rFont val="Calibri"/>
        <family val="2"/>
        <charset val="1"/>
      </rPr>
      <t xml:space="preserve">Summary </t>
    </r>
    <r>
      <rPr>
        <sz val="11"/>
        <color theme="1"/>
        <rFont val="Noto Sans CJK SC"/>
        <family val="2"/>
      </rPr>
      <t xml:space="preserve">시트 참조 수식</t>
    </r>
    <r>
      <rPr>
        <sz val="11"/>
        <color theme="1"/>
        <rFont val="Calibri"/>
        <family val="2"/>
        <charset val="1"/>
      </rPr>
      <t xml:space="preserve">)</t>
    </r>
  </si>
  <si>
    <t xml:space="preserve">항목</t>
  </si>
  <si>
    <t xml:space="preserve">수식 구현값</t>
  </si>
  <si>
    <t xml:space="preserve">독립 재계산값</t>
  </si>
  <si>
    <t xml:space="preserve">절대차</t>
  </si>
  <si>
    <t xml:space="preserve">판정</t>
  </si>
  <si>
    <r>
      <rPr>
        <sz val="11"/>
        <color theme="1"/>
        <rFont val="Noto Sans CJK SC"/>
        <family val="2"/>
      </rPr>
      <t xml:space="preserve">상관 </t>
    </r>
    <r>
      <rPr>
        <sz val="11"/>
        <color theme="1"/>
        <rFont val="Calibri"/>
        <family val="2"/>
        <charset val="1"/>
      </rPr>
      <t xml:space="preserve">n</t>
    </r>
  </si>
  <si>
    <r>
      <rPr>
        <sz val="11"/>
        <color theme="1"/>
        <rFont val="Noto Sans CJK SC"/>
        <family val="2"/>
      </rPr>
      <t xml:space="preserve">오류 문항 수 </t>
    </r>
    <r>
      <rPr>
        <sz val="11"/>
        <color theme="1"/>
        <rFont val="Calibri"/>
        <family val="2"/>
        <charset val="1"/>
      </rPr>
      <t xml:space="preserve">n_err</t>
    </r>
  </si>
  <si>
    <r>
      <rPr>
        <sz val="11"/>
        <color theme="1"/>
        <rFont val="Noto Sans CJK SC"/>
        <family val="2"/>
      </rPr>
      <t xml:space="preserve">평균 </t>
    </r>
    <r>
      <rPr>
        <sz val="11"/>
        <color theme="1"/>
        <rFont val="Calibri"/>
        <family val="2"/>
        <charset val="1"/>
      </rPr>
      <t xml:space="preserve">α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</si>
  <si>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</si>
  <si>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</si>
  <si>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</si>
  <si>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순위 비율</t>
    </r>
    <r>
      <rPr>
        <sz val="11"/>
        <color theme="1"/>
        <rFont val="Calibri"/>
        <family val="2"/>
        <charset val="1"/>
      </rPr>
      <t xml:space="preserve">(%)</t>
    </r>
  </si>
  <si>
    <r>
      <rPr>
        <sz val="11"/>
        <color theme="1"/>
        <rFont val="Calibri"/>
        <family val="2"/>
        <charset val="1"/>
      </rPr>
      <t xml:space="preserve">Top-1 </t>
    </r>
    <r>
      <rPr>
        <sz val="11"/>
        <color theme="1"/>
        <rFont val="Noto Sans CJK SC"/>
        <family val="2"/>
      </rPr>
      <t xml:space="preserve">문항수</t>
    </r>
  </si>
  <si>
    <r>
      <rPr>
        <sz val="11"/>
        <color theme="1"/>
        <rFont val="Noto Sans CJK SC"/>
        <family val="2"/>
      </rPr>
      <t xml:space="preserve">단측 이항 </t>
    </r>
    <r>
      <rPr>
        <sz val="11"/>
        <color theme="1"/>
        <rFont val="Calibri"/>
        <family val="2"/>
        <charset val="1"/>
      </rPr>
      <t xml:space="preserve">p</t>
    </r>
  </si>
  <si>
    <r>
      <rPr>
        <sz val="11"/>
        <color theme="1"/>
        <rFont val="Noto Sans CJK SC"/>
        <family val="2"/>
      </rPr>
      <t xml:space="preserve">난이도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정답확률 </t>
    </r>
    <r>
      <rPr>
        <sz val="11"/>
        <color theme="1"/>
        <rFont val="Calibri"/>
        <family val="2"/>
        <charset val="1"/>
      </rPr>
      <t xml:space="preserve">R</t>
    </r>
  </si>
  <si>
    <r>
      <rPr>
        <sz val="11"/>
        <color theme="1"/>
        <rFont val="Noto Sans CJK SC"/>
        <family val="2"/>
      </rPr>
      <t xml:space="preserve">무작위 기준 </t>
    </r>
    <r>
      <rPr>
        <sz val="11"/>
        <color theme="1"/>
        <rFont val="Calibri"/>
        <family val="2"/>
        <charset val="1"/>
      </rPr>
      <t xml:space="preserve">ᾱ</t>
    </r>
  </si>
  <si>
    <t xml:space="preserve">입력 데이터 및 예외 검증</t>
  </si>
  <si>
    <t xml:space="preserve">메타정보 원자료 행수</t>
  </si>
  <si>
    <t xml:space="preserve">분석대상 행수</t>
  </si>
  <si>
    <r>
      <rPr>
        <sz val="11"/>
        <color theme="1"/>
        <rFont val="Noto Sans CJK SC"/>
        <family val="2"/>
      </rPr>
      <t xml:space="preserve">모델 선택</t>
    </r>
    <r>
      <rPr>
        <sz val="11"/>
        <color theme="1"/>
        <rFont val="Calibri"/>
        <family val="2"/>
        <charset val="1"/>
      </rPr>
      <t xml:space="preserve">(argmax) </t>
    </r>
    <r>
      <rPr>
        <sz val="11"/>
        <color theme="1"/>
        <rFont val="Noto Sans CJK SC"/>
        <family val="2"/>
      </rPr>
      <t xml:space="preserve">검증 통과 행</t>
    </r>
  </si>
  <si>
    <t xml:space="preserve">상관 영분산 문항</t>
  </si>
  <si>
    <t xml:space="preserve">학생 오답 선택률 동점 문항</t>
  </si>
  <si>
    <t xml:space="preserve">공동 최다 오답 문항</t>
  </si>
  <si>
    <t xml:space="preserve">오류 선택이 동점률에 걸린 사례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</si>
</sst>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68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1" t="s">
        <v>39</v>
      </c>
    </row>
    <row r="2" customFormat="false" ht="15" hidden="false" customHeight="false" outlineLevel="0" collapsed="false">
      <c r="A2" s="0" t="s">
        <v>40</v>
      </c>
      <c r="B2" s="0" t="n">
        <v>2026</v>
      </c>
      <c r="C2" s="0" t="s">
        <v>41</v>
      </c>
      <c r="D2" s="0" t="s">
        <v>42</v>
      </c>
      <c r="E2" s="0" t="n">
        <v>2</v>
      </c>
      <c r="F2" s="0" t="n">
        <v>18.2</v>
      </c>
      <c r="G2" s="0" t="n">
        <v>62</v>
      </c>
      <c r="H2" s="0" t="n">
        <v>8</v>
      </c>
      <c r="I2" s="0" t="n">
        <v>5.2</v>
      </c>
      <c r="J2" s="0" t="n">
        <v>6.6</v>
      </c>
      <c r="K2" s="0" t="n">
        <v>0.182557229759</v>
      </c>
      <c r="L2" s="0" t="n">
        <v>15.1224575901</v>
      </c>
      <c r="M2" s="0" t="n">
        <v>1.51300914715</v>
      </c>
      <c r="N2" s="0" t="n">
        <v>60.9105704033</v>
      </c>
      <c r="O2" s="0" t="n">
        <v>22.2714056297</v>
      </c>
      <c r="P2" s="0" t="n">
        <f aca="false">INDEX($F2:$J2,IF(1&lt;$E2,1,1+1))</f>
        <v>18.2</v>
      </c>
      <c r="Q2" s="0" t="n">
        <f aca="false">INDEX($F2:$J2,IF(2&lt;$E2,2,2+1))</f>
        <v>8</v>
      </c>
      <c r="R2" s="0" t="n">
        <f aca="false">INDEX($F2:$J2,IF(3&lt;$E2,3,3+1))</f>
        <v>5.2</v>
      </c>
      <c r="S2" s="0" t="n">
        <f aca="false">INDEX($F2:$J2,IF(4&lt;$E2,4,4+1))</f>
        <v>6.6</v>
      </c>
      <c r="T2" s="0" t="n">
        <f aca="false">INDEX($K2:$O2,IF(1&lt;$E2,1,1+1))</f>
        <v>0.182557229759</v>
      </c>
      <c r="U2" s="0" t="n">
        <f aca="false">INDEX($K2:$O2,IF(2&lt;$E2,2,2+1))</f>
        <v>1.51300914715</v>
      </c>
      <c r="V2" s="0" t="n">
        <f aca="false">INDEX($K2:$O2,IF(3&lt;$E2,3,3+1))</f>
        <v>60.9105704033</v>
      </c>
      <c r="W2" s="0" t="n">
        <f aca="false">INDEX($K2:$O2,IF(4&lt;$E2,4,4+1))</f>
        <v>22.2714056297</v>
      </c>
      <c r="X2" s="0" t="n">
        <f aca="false">1+COUNTIF($P2:$S2,"&gt;"&amp;$P2)+(COUNTIF($P2:$S2,$P2)-1)/2</f>
        <v>1</v>
      </c>
      <c r="Y2" s="0" t="n">
        <f aca="false">1+COUNTIF($P2:$S2,"&gt;"&amp;$Q2)+(COUNTIF($P2:$S2,$Q2)-1)/2</f>
        <v>2</v>
      </c>
      <c r="Z2" s="0" t="n">
        <f aca="false">1+COUNTIF($P2:$S2,"&gt;"&amp;$R2)+(COUNTIF($P2:$S2,$R2)-1)/2</f>
        <v>4</v>
      </c>
      <c r="AA2" s="0" t="n">
        <f aca="false">1+COUNTIF($P2:$S2,"&gt;"&amp;$S2)+(COUNTIF($P2:$S2,$S2)-1)/2</f>
        <v>3</v>
      </c>
      <c r="AB2" s="0" t="n">
        <f aca="false">1+COUNTIF($T2:$W2,"&gt;"&amp;$T2)+(COUNTIF($T2:$W2,$T2)-1)/2</f>
        <v>4</v>
      </c>
      <c r="AC2" s="0" t="n">
        <f aca="false">1+COUNTIF($T2:$W2,"&gt;"&amp;$U2)+(COUNTIF($T2:$W2,$U2)-1)/2</f>
        <v>3</v>
      </c>
      <c r="AD2" s="0" t="n">
        <f aca="false">1+COUNTIF($T2:$W2,"&gt;"&amp;$V2)+(COUNTIF($T2:$W2,$V2)-1)/2</f>
        <v>1</v>
      </c>
      <c r="AE2" s="0" t="n">
        <f aca="false">1+COUNTIF($T2:$W2,"&gt;"&amp;$W2)+(COUNTIF($T2:$W2,$W2)-1)/2</f>
        <v>2</v>
      </c>
      <c r="AF2" s="0" t="n">
        <f aca="false">IFERROR(CORREL($P2:$S2,$T2:$W2),"")</f>
        <v>-0.651261470067549</v>
      </c>
      <c r="AG2" s="0" t="n">
        <f aca="false">IFERROR(CORREL($X2:$AA2,$AB2:$AE2),"")</f>
        <v>-1</v>
      </c>
      <c r="AH2" s="0" t="n">
        <f aca="false">IFERROR((SIGN($P2-$Q2)*SIGN($T2-$U2)+SIGN($P2-$R2)*SIGN($T2-$V2)+SIGN($P2-$S2)*SIGN($T2-$W2)+SIGN($Q2-$R2)*SIGN($U2-$V2)+SIGN($Q2-$S2)*SIGN($U2-$W2)+SIGN($R2-$S2)*SIGN($V2-$W2))/SQRT((6-(($P2=$Q2)*1+($P2=$R2)*1+($P2=$S2)*1+($Q2=$R2)*1+($Q2=$S2)*1+($R2=$S2)*1))*(6-(($T2=$U2)*1+($T2=$V2)*1+($T2=$W2)*1+($U2=$V2)*1+($U2=$W2)*1+($V2=$W2)*1))),"")</f>
        <v>-1</v>
      </c>
      <c r="AI2" s="0" t="n">
        <f aca="false">MATCH(MAX($K2:$O2),$K2:$O2,0)</f>
        <v>4</v>
      </c>
      <c r="AJ2" s="0" t="n">
        <f aca="false">IF(AI2&lt;&gt;$E2,1,0)</f>
        <v>1</v>
      </c>
      <c r="AK2" s="0" t="n">
        <f aca="false">IF(AJ2=1,INDEX($F2:$J2,AI2)/MAX($P2:$S2),"")</f>
        <v>0.285714285714286</v>
      </c>
      <c r="AL2" s="0" t="n">
        <f aca="false">IF(AJ2=1,1+COUNTIF($P2:$S2,"&gt;"&amp;INDEX($F2:$J2,AI2)),"")</f>
        <v>4</v>
      </c>
      <c r="AM2" s="0" t="n">
        <f aca="false">AVERAGE($P2:$S2)/MAX($P2:$S2)</f>
        <v>0.521978021978022</v>
      </c>
      <c r="AN2" s="0" t="n">
        <f aca="false">100-INDEX($F2:$J2,$E2)</f>
        <v>38</v>
      </c>
    </row>
    <row r="3" customFormat="false" ht="15" hidden="false" customHeight="false" outlineLevel="0" collapsed="false">
      <c r="A3" s="0" t="s">
        <v>40</v>
      </c>
      <c r="B3" s="0" t="n">
        <v>2026</v>
      </c>
      <c r="C3" s="0" t="s">
        <v>41</v>
      </c>
      <c r="D3" s="0" t="s">
        <v>43</v>
      </c>
      <c r="E3" s="0" t="n">
        <v>2</v>
      </c>
      <c r="F3" s="0" t="n">
        <v>8.9</v>
      </c>
      <c r="G3" s="0" t="n">
        <v>48.1</v>
      </c>
      <c r="H3" s="0" t="n">
        <v>14.5</v>
      </c>
      <c r="I3" s="0" t="n">
        <v>17.6</v>
      </c>
      <c r="J3" s="0" t="n">
        <v>10.8</v>
      </c>
      <c r="K3" s="0" t="n">
        <v>2.54310707067</v>
      </c>
      <c r="L3" s="0" t="n">
        <v>25.6145599898</v>
      </c>
      <c r="M3" s="0" t="n">
        <v>33.1374849348</v>
      </c>
      <c r="N3" s="0" t="n">
        <v>17.2639681604</v>
      </c>
      <c r="O3" s="0" t="n">
        <v>21.4408798444</v>
      </c>
      <c r="P3" s="0" t="n">
        <f aca="false">INDEX($F3:$J3,IF(1&lt;$E3,1,1+1))</f>
        <v>8.9</v>
      </c>
      <c r="Q3" s="0" t="n">
        <f aca="false">INDEX($F3:$J3,IF(2&lt;$E3,2,2+1))</f>
        <v>14.5</v>
      </c>
      <c r="R3" s="0" t="n">
        <f aca="false">INDEX($F3:$J3,IF(3&lt;$E3,3,3+1))</f>
        <v>17.6</v>
      </c>
      <c r="S3" s="0" t="n">
        <f aca="false">INDEX($F3:$J3,IF(4&lt;$E3,4,4+1))</f>
        <v>10.8</v>
      </c>
      <c r="T3" s="0" t="n">
        <f aca="false">INDEX($K3:$O3,IF(1&lt;$E3,1,1+1))</f>
        <v>2.54310707067</v>
      </c>
      <c r="U3" s="0" t="n">
        <f aca="false">INDEX($K3:$O3,IF(2&lt;$E3,2,2+1))</f>
        <v>33.1374849348</v>
      </c>
      <c r="V3" s="0" t="n">
        <f aca="false">INDEX($K3:$O3,IF(3&lt;$E3,3,3+1))</f>
        <v>17.2639681604</v>
      </c>
      <c r="W3" s="0" t="n">
        <f aca="false">INDEX($K3:$O3,IF(4&lt;$E3,4,4+1))</f>
        <v>21.4408798444</v>
      </c>
      <c r="X3" s="0" t="n">
        <f aca="false">1+COUNTIF($P3:$S3,"&gt;"&amp;$P3)+(COUNTIF($P3:$S3,$P3)-1)/2</f>
        <v>4</v>
      </c>
      <c r="Y3" s="0" t="n">
        <f aca="false">1+COUNTIF($P3:$S3,"&gt;"&amp;$Q3)+(COUNTIF($P3:$S3,$Q3)-1)/2</f>
        <v>2</v>
      </c>
      <c r="Z3" s="0" t="n">
        <f aca="false">1+COUNTIF($P3:$S3,"&gt;"&amp;$R3)+(COUNTIF($P3:$S3,$R3)-1)/2</f>
        <v>1</v>
      </c>
      <c r="AA3" s="0" t="n">
        <f aca="false">1+COUNTIF($P3:$S3,"&gt;"&amp;$S3)+(COUNTIF($P3:$S3,$S3)-1)/2</f>
        <v>3</v>
      </c>
      <c r="AB3" s="0" t="n">
        <f aca="false">1+COUNTIF($T3:$W3,"&gt;"&amp;$T3)+(COUNTIF($T3:$W3,$T3)-1)/2</f>
        <v>4</v>
      </c>
      <c r="AC3" s="0" t="n">
        <f aca="false">1+COUNTIF($T3:$W3,"&gt;"&amp;$U3)+(COUNTIF($T3:$W3,$U3)-1)/2</f>
        <v>1</v>
      </c>
      <c r="AD3" s="0" t="n">
        <f aca="false">1+COUNTIF($T3:$W3,"&gt;"&amp;$V3)+(COUNTIF($T3:$W3,$V3)-1)/2</f>
        <v>3</v>
      </c>
      <c r="AE3" s="0" t="n">
        <f aca="false">1+COUNTIF($T3:$W3,"&gt;"&amp;$W3)+(COUNTIF($T3:$W3,$W3)-1)/2</f>
        <v>2</v>
      </c>
      <c r="AF3" s="0" t="n">
        <f aca="false">IFERROR(CORREL($P3:$S3,$T3:$W3),"")</f>
        <v>0.512204428330846</v>
      </c>
      <c r="AG3" s="0" t="n">
        <f aca="false">IFERROR(CORREL($X3:$AA3,$AB3:$AE3),"")</f>
        <v>0.4</v>
      </c>
      <c r="AH3" s="0" t="n">
        <f aca="false">IFERROR((SIGN($P3-$Q3)*SIGN($T3-$U3)+SIGN($P3-$R3)*SIGN($T3-$V3)+SIGN($P3-$S3)*SIGN($T3-$W3)+SIGN($Q3-$R3)*SIGN($U3-$V3)+SIGN($Q3-$S3)*SIGN($U3-$W3)+SIGN($R3-$S3)*SIGN($V3-$W3))/SQRT((6-(($P3=$Q3)*1+($P3=$R3)*1+($P3=$S3)*1+($Q3=$R3)*1+($Q3=$S3)*1+($R3=$S3)*1))*(6-(($T3=$U3)*1+($T3=$V3)*1+($T3=$W3)*1+($U3=$V3)*1+($U3=$W3)*1+($V3=$W3)*1))),"")</f>
        <v>0.333333333333333</v>
      </c>
      <c r="AI3" s="0" t="n">
        <f aca="false">MATCH(MAX($K3:$O3),$K3:$O3,0)</f>
        <v>3</v>
      </c>
      <c r="AJ3" s="0" t="n">
        <f aca="false">IF(AI3&lt;&gt;$E3,1,0)</f>
        <v>1</v>
      </c>
      <c r="AK3" s="0" t="n">
        <f aca="false">IF(AJ3=1,INDEX($F3:$J3,AI3)/MAX($P3:$S3),"")</f>
        <v>0.823863636363636</v>
      </c>
      <c r="AL3" s="0" t="n">
        <f aca="false">IF(AJ3=1,1+COUNTIF($P3:$S3,"&gt;"&amp;INDEX($F3:$J3,AI3)),"")</f>
        <v>2</v>
      </c>
      <c r="AM3" s="0" t="n">
        <f aca="false">AVERAGE($P3:$S3)/MAX($P3:$S3)</f>
        <v>0.735795454545455</v>
      </c>
      <c r="AN3" s="0" t="n">
        <f aca="false">100-INDEX($F3:$J3,$E3)</f>
        <v>51.9</v>
      </c>
    </row>
    <row r="4" customFormat="false" ht="15" hidden="false" customHeight="false" outlineLevel="0" collapsed="false">
      <c r="A4" s="0" t="s">
        <v>40</v>
      </c>
      <c r="B4" s="0" t="n">
        <v>2026</v>
      </c>
      <c r="C4" s="0" t="s">
        <v>41</v>
      </c>
      <c r="D4" s="0" t="s">
        <v>44</v>
      </c>
      <c r="E4" s="0" t="n">
        <v>2</v>
      </c>
      <c r="F4" s="0" t="n">
        <v>13.1</v>
      </c>
      <c r="G4" s="0" t="n">
        <v>47.1</v>
      </c>
      <c r="H4" s="0" t="n">
        <v>14.6</v>
      </c>
      <c r="I4" s="0" t="n">
        <v>14.2</v>
      </c>
      <c r="J4" s="0" t="n">
        <v>11</v>
      </c>
      <c r="K4" s="0" t="n">
        <v>1.69407829239</v>
      </c>
      <c r="L4" s="0" t="n">
        <v>49.2038926655</v>
      </c>
      <c r="M4" s="0" t="n">
        <v>3.27955609289</v>
      </c>
      <c r="N4" s="0" t="n">
        <v>20.2521132361</v>
      </c>
      <c r="O4" s="0" t="n">
        <v>25.5703597131</v>
      </c>
      <c r="P4" s="0" t="n">
        <f aca="false">INDEX($F4:$J4,IF(1&lt;$E4,1,1+1))</f>
        <v>13.1</v>
      </c>
      <c r="Q4" s="0" t="n">
        <f aca="false">INDEX($F4:$J4,IF(2&lt;$E4,2,2+1))</f>
        <v>14.6</v>
      </c>
      <c r="R4" s="0" t="n">
        <f aca="false">INDEX($F4:$J4,IF(3&lt;$E4,3,3+1))</f>
        <v>14.2</v>
      </c>
      <c r="S4" s="0" t="n">
        <f aca="false">INDEX($F4:$J4,IF(4&lt;$E4,4,4+1))</f>
        <v>11</v>
      </c>
      <c r="T4" s="0" t="n">
        <f aca="false">INDEX($K4:$O4,IF(1&lt;$E4,1,1+1))</f>
        <v>1.69407829239</v>
      </c>
      <c r="U4" s="0" t="n">
        <f aca="false">INDEX($K4:$O4,IF(2&lt;$E4,2,2+1))</f>
        <v>3.27955609289</v>
      </c>
      <c r="V4" s="0" t="n">
        <f aca="false">INDEX($K4:$O4,IF(3&lt;$E4,3,3+1))</f>
        <v>20.2521132361</v>
      </c>
      <c r="W4" s="0" t="n">
        <f aca="false">INDEX($K4:$O4,IF(4&lt;$E4,4,4+1))</f>
        <v>25.5703597131</v>
      </c>
      <c r="X4" s="0" t="n">
        <f aca="false">1+COUNTIF($P4:$S4,"&gt;"&amp;$P4)+(COUNTIF($P4:$S4,$P4)-1)/2</f>
        <v>3</v>
      </c>
      <c r="Y4" s="0" t="n">
        <f aca="false">1+COUNTIF($P4:$S4,"&gt;"&amp;$Q4)+(COUNTIF($P4:$S4,$Q4)-1)/2</f>
        <v>1</v>
      </c>
      <c r="Z4" s="0" t="n">
        <f aca="false">1+COUNTIF($P4:$S4,"&gt;"&amp;$R4)+(COUNTIF($P4:$S4,$R4)-1)/2</f>
        <v>2</v>
      </c>
      <c r="AA4" s="0" t="n">
        <f aca="false">1+COUNTIF($P4:$S4,"&gt;"&amp;$S4)+(COUNTIF($P4:$S4,$S4)-1)/2</f>
        <v>4</v>
      </c>
      <c r="AB4" s="0" t="n">
        <f aca="false">1+COUNTIF($T4:$W4,"&gt;"&amp;$T4)+(COUNTIF($T4:$W4,$T4)-1)/2</f>
        <v>4</v>
      </c>
      <c r="AC4" s="0" t="n">
        <f aca="false">1+COUNTIF($T4:$W4,"&gt;"&amp;$U4)+(COUNTIF($T4:$W4,$U4)-1)/2</f>
        <v>3</v>
      </c>
      <c r="AD4" s="0" t="n">
        <f aca="false">1+COUNTIF($T4:$W4,"&gt;"&amp;$V4)+(COUNTIF($T4:$W4,$V4)-1)/2</f>
        <v>2</v>
      </c>
      <c r="AE4" s="0" t="n">
        <f aca="false">1+COUNTIF($T4:$W4,"&gt;"&amp;$W4)+(COUNTIF($T4:$W4,$W4)-1)/2</f>
        <v>1</v>
      </c>
      <c r="AF4" s="0" t="n">
        <f aca="false">IFERROR(CORREL($P4:$S4,$T4:$W4),"")</f>
        <v>-0.565283684753259</v>
      </c>
      <c r="AG4" s="0" t="n">
        <f aca="false">IFERROR(CORREL($X4:$AA4,$AB4:$AE4),"")</f>
        <v>-0.4</v>
      </c>
      <c r="AH4" s="0" t="n">
        <f aca="false">IFERROR((SIGN($P4-$Q4)*SIGN($T4-$U4)+SIGN($P4-$R4)*SIGN($T4-$V4)+SIGN($P4-$S4)*SIGN($T4-$W4)+SIGN($Q4-$R4)*SIGN($U4-$V4)+SIGN($Q4-$S4)*SIGN($U4-$W4)+SIGN($R4-$S4)*SIGN($V4-$W4))/SQRT((6-(($P4=$Q4)*1+($P4=$R4)*1+($P4=$S4)*1+($Q4=$R4)*1+($Q4=$S4)*1+($R4=$S4)*1))*(6-(($T4=$U4)*1+($T4=$V4)*1+($T4=$W4)*1+($U4=$V4)*1+($U4=$W4)*1+($V4=$W4)*1))),"")</f>
        <v>-0.333333333333333</v>
      </c>
      <c r="AI4" s="0" t="n">
        <f aca="false">MATCH(MAX($K4:$O4),$K4:$O4,0)</f>
        <v>2</v>
      </c>
      <c r="AJ4" s="0" t="n">
        <f aca="false">IF(AI4&lt;&gt;$E4,1,0)</f>
        <v>0</v>
      </c>
      <c r="AK4" s="0" t="str">
        <f aca="false">IF(AJ4=1,INDEX($F4:$J4,AI4)/MAX($P4:$S4),"")</f>
        <v/>
      </c>
      <c r="AL4" s="0" t="str">
        <f aca="false">IF(AJ4=1,1+COUNTIF($P4:$S4,"&gt;"&amp;INDEX($F4:$J4,AI4)),"")</f>
        <v/>
      </c>
      <c r="AM4" s="0" t="n">
        <f aca="false">AVERAGE($P4:$S4)/MAX($P4:$S4)</f>
        <v>0.905821917808219</v>
      </c>
      <c r="AN4" s="0" t="n">
        <f aca="false">100-INDEX($F4:$J4,$E4)</f>
        <v>52.9</v>
      </c>
    </row>
    <row r="5" customFormat="false" ht="15" hidden="false" customHeight="false" outlineLevel="0" collapsed="false">
      <c r="A5" s="0" t="s">
        <v>40</v>
      </c>
      <c r="B5" s="0" t="n">
        <v>2026</v>
      </c>
      <c r="C5" s="0" t="s">
        <v>41</v>
      </c>
      <c r="D5" s="0" t="s">
        <v>45</v>
      </c>
      <c r="E5" s="0" t="n">
        <v>4</v>
      </c>
      <c r="F5" s="0" t="n">
        <v>16.8</v>
      </c>
      <c r="G5" s="0" t="n">
        <v>23.2</v>
      </c>
      <c r="H5" s="0" t="n">
        <v>18.1</v>
      </c>
      <c r="I5" s="0" t="n">
        <v>38.9</v>
      </c>
      <c r="J5" s="0" t="n">
        <v>3</v>
      </c>
      <c r="K5" s="0" t="n">
        <v>6.43278764395</v>
      </c>
      <c r="L5" s="0" t="n">
        <v>1.59675621284</v>
      </c>
      <c r="M5" s="0" t="n">
        <v>51.7269443093</v>
      </c>
      <c r="N5" s="0" t="n">
        <v>29.6188570276</v>
      </c>
      <c r="O5" s="0" t="n">
        <v>10.6246548064</v>
      </c>
      <c r="P5" s="0" t="n">
        <f aca="false">INDEX($F5:$J5,IF(1&lt;$E5,1,1+1))</f>
        <v>16.8</v>
      </c>
      <c r="Q5" s="0" t="n">
        <f aca="false">INDEX($F5:$J5,IF(2&lt;$E5,2,2+1))</f>
        <v>23.2</v>
      </c>
      <c r="R5" s="0" t="n">
        <f aca="false">INDEX($F5:$J5,IF(3&lt;$E5,3,3+1))</f>
        <v>18.1</v>
      </c>
      <c r="S5" s="0" t="n">
        <f aca="false">INDEX($F5:$J5,IF(4&lt;$E5,4,4+1))</f>
        <v>3</v>
      </c>
      <c r="T5" s="0" t="n">
        <f aca="false">INDEX($K5:$O5,IF(1&lt;$E5,1,1+1))</f>
        <v>6.43278764395</v>
      </c>
      <c r="U5" s="0" t="n">
        <f aca="false">INDEX($K5:$O5,IF(2&lt;$E5,2,2+1))</f>
        <v>1.59675621284</v>
      </c>
      <c r="V5" s="0" t="n">
        <f aca="false">INDEX($K5:$O5,IF(3&lt;$E5,3,3+1))</f>
        <v>51.7269443093</v>
      </c>
      <c r="W5" s="0" t="n">
        <f aca="false">INDEX($K5:$O5,IF(4&lt;$E5,4,4+1))</f>
        <v>10.6246548064</v>
      </c>
      <c r="X5" s="0" t="n">
        <f aca="false">1+COUNTIF($P5:$S5,"&gt;"&amp;$P5)+(COUNTIF($P5:$S5,$P5)-1)/2</f>
        <v>3</v>
      </c>
      <c r="Y5" s="0" t="n">
        <f aca="false">1+COUNTIF($P5:$S5,"&gt;"&amp;$Q5)+(COUNTIF($P5:$S5,$Q5)-1)/2</f>
        <v>1</v>
      </c>
      <c r="Z5" s="0" t="n">
        <f aca="false">1+COUNTIF($P5:$S5,"&gt;"&amp;$R5)+(COUNTIF($P5:$S5,$R5)-1)/2</f>
        <v>2</v>
      </c>
      <c r="AA5" s="0" t="n">
        <f aca="false">1+COUNTIF($P5:$S5,"&gt;"&amp;$S5)+(COUNTIF($P5:$S5,$S5)-1)/2</f>
        <v>4</v>
      </c>
      <c r="AB5" s="0" t="n">
        <f aca="false">1+COUNTIF($T5:$W5,"&gt;"&amp;$T5)+(COUNTIF($T5:$W5,$T5)-1)/2</f>
        <v>3</v>
      </c>
      <c r="AC5" s="0" t="n">
        <f aca="false">1+COUNTIF($T5:$W5,"&gt;"&amp;$U5)+(COUNTIF($T5:$W5,$U5)-1)/2</f>
        <v>4</v>
      </c>
      <c r="AD5" s="0" t="n">
        <f aca="false">1+COUNTIF($T5:$W5,"&gt;"&amp;$V5)+(COUNTIF($T5:$W5,$V5)-1)/2</f>
        <v>1</v>
      </c>
      <c r="AE5" s="0" t="n">
        <f aca="false">1+COUNTIF($T5:$W5,"&gt;"&amp;$W5)+(COUNTIF($T5:$W5,$W5)-1)/2</f>
        <v>2</v>
      </c>
      <c r="AF5" s="0" t="n">
        <f aca="false">IFERROR(CORREL($P5:$S5,$T5:$W5),"")</f>
        <v>0.0639152580371652</v>
      </c>
      <c r="AG5" s="0" t="n">
        <f aca="false">IFERROR(CORREL($X5:$AA5,$AB5:$AE5),"")</f>
        <v>-0.4</v>
      </c>
      <c r="AH5" s="0" t="n">
        <f aca="false">IFERROR((SIGN($P5-$Q5)*SIGN($T5-$U5)+SIGN($P5-$R5)*SIGN($T5-$V5)+SIGN($P5-$S5)*SIGN($T5-$W5)+SIGN($Q5-$R5)*SIGN($U5-$V5)+SIGN($Q5-$S5)*SIGN($U5-$W5)+SIGN($R5-$S5)*SIGN($V5-$W5))/SQRT((6-(($P5=$Q5)*1+($P5=$R5)*1+($P5=$S5)*1+($Q5=$R5)*1+($Q5=$S5)*1+($R5=$S5)*1))*(6-(($T5=$U5)*1+($T5=$V5)*1+($T5=$W5)*1+($U5=$V5)*1+($U5=$W5)*1+($V5=$W5)*1))),"")</f>
        <v>-0.333333333333333</v>
      </c>
      <c r="AI5" s="0" t="n">
        <f aca="false">MATCH(MAX($K5:$O5),$K5:$O5,0)</f>
        <v>3</v>
      </c>
      <c r="AJ5" s="0" t="n">
        <f aca="false">IF(AI5&lt;&gt;$E5,1,0)</f>
        <v>1</v>
      </c>
      <c r="AK5" s="0" t="n">
        <f aca="false">IF(AJ5=1,INDEX($F5:$J5,AI5)/MAX($P5:$S5),"")</f>
        <v>0.780172413793104</v>
      </c>
      <c r="AL5" s="0" t="n">
        <f aca="false">IF(AJ5=1,1+COUNTIF($P5:$S5,"&gt;"&amp;INDEX($F5:$J5,AI5)),"")</f>
        <v>2</v>
      </c>
      <c r="AM5" s="0" t="n">
        <f aca="false">AVERAGE($P5:$S5)/MAX($P5:$S5)</f>
        <v>0.658405172413793</v>
      </c>
      <c r="AN5" s="0" t="n">
        <f aca="false">100-INDEX($F5:$J5,$E5)</f>
        <v>61.1</v>
      </c>
    </row>
    <row r="6" customFormat="false" ht="15" hidden="false" customHeight="false" outlineLevel="0" collapsed="false">
      <c r="A6" s="0" t="s">
        <v>40</v>
      </c>
      <c r="B6" s="0" t="n">
        <v>2026</v>
      </c>
      <c r="C6" s="0" t="s">
        <v>46</v>
      </c>
      <c r="D6" s="0" t="s">
        <v>42</v>
      </c>
      <c r="E6" s="0" t="n">
        <v>5</v>
      </c>
      <c r="F6" s="0" t="n">
        <v>13.9</v>
      </c>
      <c r="G6" s="0" t="n">
        <v>19.1</v>
      </c>
      <c r="H6" s="0" t="n">
        <v>15.4</v>
      </c>
      <c r="I6" s="0" t="n">
        <v>11.4</v>
      </c>
      <c r="J6" s="0" t="n">
        <v>40.2</v>
      </c>
      <c r="K6" s="0" t="n">
        <v>2.82944230709</v>
      </c>
      <c r="L6" s="0" t="n">
        <v>61.8849940767</v>
      </c>
      <c r="M6" s="0" t="n">
        <v>15.5691439951</v>
      </c>
      <c r="N6" s="0" t="n">
        <v>1.29748487494</v>
      </c>
      <c r="O6" s="0" t="n">
        <v>18.4189347462</v>
      </c>
      <c r="P6" s="0" t="n">
        <f aca="false">INDEX($F6:$J6,IF(1&lt;$E6,1,1+1))</f>
        <v>13.9</v>
      </c>
      <c r="Q6" s="0" t="n">
        <f aca="false">INDEX($F6:$J6,IF(2&lt;$E6,2,2+1))</f>
        <v>19.1</v>
      </c>
      <c r="R6" s="0" t="n">
        <f aca="false">INDEX($F6:$J6,IF(3&lt;$E6,3,3+1))</f>
        <v>15.4</v>
      </c>
      <c r="S6" s="0" t="n">
        <f aca="false">INDEX($F6:$J6,IF(4&lt;$E6,4,4+1))</f>
        <v>11.4</v>
      </c>
      <c r="T6" s="0" t="n">
        <f aca="false">INDEX($K6:$O6,IF(1&lt;$E6,1,1+1))</f>
        <v>2.82944230709</v>
      </c>
      <c r="U6" s="0" t="n">
        <f aca="false">INDEX($K6:$O6,IF(2&lt;$E6,2,2+1))</f>
        <v>61.8849940767</v>
      </c>
      <c r="V6" s="0" t="n">
        <f aca="false">INDEX($K6:$O6,IF(3&lt;$E6,3,3+1))</f>
        <v>15.5691439951</v>
      </c>
      <c r="W6" s="0" t="n">
        <f aca="false">INDEX($K6:$O6,IF(4&lt;$E6,4,4+1))</f>
        <v>1.29748487494</v>
      </c>
      <c r="X6" s="0" t="n">
        <f aca="false">1+COUNTIF($P6:$S6,"&gt;"&amp;$P6)+(COUNTIF($P6:$S6,$P6)-1)/2</f>
        <v>3</v>
      </c>
      <c r="Y6" s="0" t="n">
        <f aca="false">1+COUNTIF($P6:$S6,"&gt;"&amp;$Q6)+(COUNTIF($P6:$S6,$Q6)-1)/2</f>
        <v>1</v>
      </c>
      <c r="Z6" s="0" t="n">
        <f aca="false">1+COUNTIF($P6:$S6,"&gt;"&amp;$R6)+(COUNTIF($P6:$S6,$R6)-1)/2</f>
        <v>2</v>
      </c>
      <c r="AA6" s="0" t="n">
        <f aca="false">1+COUNTIF($P6:$S6,"&gt;"&amp;$S6)+(COUNTIF($P6:$S6,$S6)-1)/2</f>
        <v>4</v>
      </c>
      <c r="AB6" s="0" t="n">
        <f aca="false">1+COUNTIF($T6:$W6,"&gt;"&amp;$T6)+(COUNTIF($T6:$W6,$T6)-1)/2</f>
        <v>3</v>
      </c>
      <c r="AC6" s="0" t="n">
        <f aca="false">1+COUNTIF($T6:$W6,"&gt;"&amp;$U6)+(COUNTIF($T6:$W6,$U6)-1)/2</f>
        <v>1</v>
      </c>
      <c r="AD6" s="0" t="n">
        <f aca="false">1+COUNTIF($T6:$W6,"&gt;"&amp;$V6)+(COUNTIF($T6:$W6,$V6)-1)/2</f>
        <v>2</v>
      </c>
      <c r="AE6" s="0" t="n">
        <f aca="false">1+COUNTIF($T6:$W6,"&gt;"&amp;$W6)+(COUNTIF($T6:$W6,$W6)-1)/2</f>
        <v>4</v>
      </c>
      <c r="AF6" s="0" t="n">
        <f aca="false">IFERROR(CORREL($P6:$S6,$T6:$W6),"")</f>
        <v>0.934010562265162</v>
      </c>
      <c r="AG6" s="0" t="n">
        <f aca="false">IFERROR(CORREL($X6:$AA6,$AB6:$AE6),"")</f>
        <v>1</v>
      </c>
      <c r="AH6" s="0" t="n">
        <f aca="false">IFERROR((SIGN($P6-$Q6)*SIGN($T6-$U6)+SIGN($P6-$R6)*SIGN($T6-$V6)+SIGN($P6-$S6)*SIGN($T6-$W6)+SIGN($Q6-$R6)*SIGN($U6-$V6)+SIGN($Q6-$S6)*SIGN($U6-$W6)+SIGN($R6-$S6)*SIGN($V6-$W6))/SQRT((6-(($P6=$Q6)*1+($P6=$R6)*1+($P6=$S6)*1+($Q6=$R6)*1+($Q6=$S6)*1+($R6=$S6)*1))*(6-(($T6=$U6)*1+($T6=$V6)*1+($T6=$W6)*1+($U6=$V6)*1+($U6=$W6)*1+($V6=$W6)*1))),"")</f>
        <v>1</v>
      </c>
      <c r="AI6" s="0" t="n">
        <f aca="false">MATCH(MAX($K6:$O6),$K6:$O6,0)</f>
        <v>2</v>
      </c>
      <c r="AJ6" s="0" t="n">
        <f aca="false">IF(AI6&lt;&gt;$E6,1,0)</f>
        <v>1</v>
      </c>
      <c r="AK6" s="0" t="n">
        <f aca="false">IF(AJ6=1,INDEX($F6:$J6,AI6)/MAX($P6:$S6),"")</f>
        <v>1</v>
      </c>
      <c r="AL6" s="0" t="n">
        <f aca="false">IF(AJ6=1,1+COUNTIF($P6:$S6,"&gt;"&amp;INDEX($F6:$J6,AI6)),"")</f>
        <v>1</v>
      </c>
      <c r="AM6" s="0" t="n">
        <f aca="false">AVERAGE($P6:$S6)/MAX($P6:$S6)</f>
        <v>0.782722513089005</v>
      </c>
      <c r="AN6" s="0" t="n">
        <f aca="false">100-INDEX($F6:$J6,$E6)</f>
        <v>59.8</v>
      </c>
    </row>
    <row r="7" customFormat="false" ht="15" hidden="false" customHeight="false" outlineLevel="0" collapsed="false">
      <c r="A7" s="0" t="s">
        <v>40</v>
      </c>
      <c r="B7" s="0" t="n">
        <v>2026</v>
      </c>
      <c r="C7" s="0" t="s">
        <v>46</v>
      </c>
      <c r="D7" s="0" t="s">
        <v>43</v>
      </c>
      <c r="E7" s="0" t="n">
        <v>2</v>
      </c>
      <c r="F7" s="0" t="n">
        <v>14.4</v>
      </c>
      <c r="G7" s="0" t="n">
        <v>44.5</v>
      </c>
      <c r="H7" s="0" t="n">
        <v>22.9</v>
      </c>
      <c r="I7" s="0" t="n">
        <v>10</v>
      </c>
      <c r="J7" s="0" t="n">
        <v>8.2</v>
      </c>
      <c r="K7" s="0" t="n">
        <v>16.2656381172</v>
      </c>
      <c r="L7" s="0" t="n">
        <v>47.4046118666</v>
      </c>
      <c r="M7" s="0" t="n">
        <v>1.31709144689</v>
      </c>
      <c r="N7" s="0" t="n">
        <v>3.00477198405</v>
      </c>
      <c r="O7" s="0" t="n">
        <v>32.0078865853</v>
      </c>
      <c r="P7" s="0" t="n">
        <f aca="false">INDEX($F7:$J7,IF(1&lt;$E7,1,1+1))</f>
        <v>14.4</v>
      </c>
      <c r="Q7" s="0" t="n">
        <f aca="false">INDEX($F7:$J7,IF(2&lt;$E7,2,2+1))</f>
        <v>22.9</v>
      </c>
      <c r="R7" s="0" t="n">
        <f aca="false">INDEX($F7:$J7,IF(3&lt;$E7,3,3+1))</f>
        <v>10</v>
      </c>
      <c r="S7" s="0" t="n">
        <f aca="false">INDEX($F7:$J7,IF(4&lt;$E7,4,4+1))</f>
        <v>8.2</v>
      </c>
      <c r="T7" s="0" t="n">
        <f aca="false">INDEX($K7:$O7,IF(1&lt;$E7,1,1+1))</f>
        <v>16.2656381172</v>
      </c>
      <c r="U7" s="0" t="n">
        <f aca="false">INDEX($K7:$O7,IF(2&lt;$E7,2,2+1))</f>
        <v>1.31709144689</v>
      </c>
      <c r="V7" s="0" t="n">
        <f aca="false">INDEX($K7:$O7,IF(3&lt;$E7,3,3+1))</f>
        <v>3.00477198405</v>
      </c>
      <c r="W7" s="0" t="n">
        <f aca="false">INDEX($K7:$O7,IF(4&lt;$E7,4,4+1))</f>
        <v>32.0078865853</v>
      </c>
      <c r="X7" s="0" t="n">
        <f aca="false">1+COUNTIF($P7:$S7,"&gt;"&amp;$P7)+(COUNTIF($P7:$S7,$P7)-1)/2</f>
        <v>2</v>
      </c>
      <c r="Y7" s="0" t="n">
        <f aca="false">1+COUNTIF($P7:$S7,"&gt;"&amp;$Q7)+(COUNTIF($P7:$S7,$Q7)-1)/2</f>
        <v>1</v>
      </c>
      <c r="Z7" s="0" t="n">
        <f aca="false">1+COUNTIF($P7:$S7,"&gt;"&amp;$R7)+(COUNTIF($P7:$S7,$R7)-1)/2</f>
        <v>3</v>
      </c>
      <c r="AA7" s="0" t="n">
        <f aca="false">1+COUNTIF($P7:$S7,"&gt;"&amp;$S7)+(COUNTIF($P7:$S7,$S7)-1)/2</f>
        <v>4</v>
      </c>
      <c r="AB7" s="0" t="n">
        <f aca="false">1+COUNTIF($T7:$W7,"&gt;"&amp;$T7)+(COUNTIF($T7:$W7,$T7)-1)/2</f>
        <v>2</v>
      </c>
      <c r="AC7" s="0" t="n">
        <f aca="false">1+COUNTIF($T7:$W7,"&gt;"&amp;$U7)+(COUNTIF($T7:$W7,$U7)-1)/2</f>
        <v>4</v>
      </c>
      <c r="AD7" s="0" t="n">
        <f aca="false">1+COUNTIF($T7:$W7,"&gt;"&amp;$V7)+(COUNTIF($T7:$W7,$V7)-1)/2</f>
        <v>3</v>
      </c>
      <c r="AE7" s="0" t="n">
        <f aca="false">1+COUNTIF($T7:$W7,"&gt;"&amp;$W7)+(COUNTIF($T7:$W7,$W7)-1)/2</f>
        <v>1</v>
      </c>
      <c r="AF7" s="0" t="n">
        <f aca="false">IFERROR(CORREL($P7:$S7,$T7:$W7),"")</f>
        <v>-0.617226838515965</v>
      </c>
      <c r="AG7" s="0" t="n">
        <f aca="false">IFERROR(CORREL($X7:$AA7,$AB7:$AE7),"")</f>
        <v>-0.8</v>
      </c>
      <c r="AH7" s="0" t="n">
        <f aca="false">IFERROR((SIGN($P7-$Q7)*SIGN($T7-$U7)+SIGN($P7-$R7)*SIGN($T7-$V7)+SIGN($P7-$S7)*SIGN($T7-$W7)+SIGN($Q7-$R7)*SIGN($U7-$V7)+SIGN($Q7-$S7)*SIGN($U7-$W7)+SIGN($R7-$S7)*SIGN($V7-$W7))/SQRT((6-(($P7=$Q7)*1+($P7=$R7)*1+($P7=$S7)*1+($Q7=$R7)*1+($Q7=$S7)*1+($R7=$S7)*1))*(6-(($T7=$U7)*1+($T7=$V7)*1+($T7=$W7)*1+($U7=$V7)*1+($U7=$W7)*1+($V7=$W7)*1))),"")</f>
        <v>-0.666666666666667</v>
      </c>
      <c r="AI7" s="0" t="n">
        <f aca="false">MATCH(MAX($K7:$O7),$K7:$O7,0)</f>
        <v>2</v>
      </c>
      <c r="AJ7" s="0" t="n">
        <f aca="false">IF(AI7&lt;&gt;$E7,1,0)</f>
        <v>0</v>
      </c>
      <c r="AK7" s="0" t="str">
        <f aca="false">IF(AJ7=1,INDEX($F7:$J7,AI7)/MAX($P7:$S7),"")</f>
        <v/>
      </c>
      <c r="AL7" s="0" t="str">
        <f aca="false">IF(AJ7=1,1+COUNTIF($P7:$S7,"&gt;"&amp;INDEX($F7:$J7,AI7)),"")</f>
        <v/>
      </c>
      <c r="AM7" s="0" t="n">
        <f aca="false">AVERAGE($P7:$S7)/MAX($P7:$S7)</f>
        <v>0.60589519650655</v>
      </c>
      <c r="AN7" s="0" t="n">
        <f aca="false">100-INDEX($F7:$J7,$E7)</f>
        <v>55.5</v>
      </c>
    </row>
    <row r="8" customFormat="false" ht="15" hidden="false" customHeight="false" outlineLevel="0" collapsed="false">
      <c r="A8" s="0" t="s">
        <v>40</v>
      </c>
      <c r="B8" s="0" t="n">
        <v>2026</v>
      </c>
      <c r="C8" s="0" t="s">
        <v>46</v>
      </c>
      <c r="D8" s="0" t="s">
        <v>44</v>
      </c>
      <c r="E8" s="0" t="n">
        <v>3</v>
      </c>
      <c r="F8" s="0" t="n">
        <v>11.3</v>
      </c>
      <c r="G8" s="0" t="n">
        <v>18</v>
      </c>
      <c r="H8" s="0" t="n">
        <v>36.5</v>
      </c>
      <c r="I8" s="0" t="n">
        <v>22.1</v>
      </c>
      <c r="J8" s="0" t="n">
        <v>12.1</v>
      </c>
      <c r="K8" s="0" t="n">
        <v>9.08673211346</v>
      </c>
      <c r="L8" s="0" t="n">
        <v>1.47904048929</v>
      </c>
      <c r="M8" s="0" t="n">
        <v>14.940552009</v>
      </c>
      <c r="N8" s="0" t="n">
        <v>51.1499720774</v>
      </c>
      <c r="O8" s="0" t="n">
        <v>23.3437033109</v>
      </c>
      <c r="P8" s="0" t="n">
        <f aca="false">INDEX($F8:$J8,IF(1&lt;$E8,1,1+1))</f>
        <v>11.3</v>
      </c>
      <c r="Q8" s="0" t="n">
        <f aca="false">INDEX($F8:$J8,IF(2&lt;$E8,2,2+1))</f>
        <v>18</v>
      </c>
      <c r="R8" s="0" t="n">
        <f aca="false">INDEX($F8:$J8,IF(3&lt;$E8,3,3+1))</f>
        <v>22.1</v>
      </c>
      <c r="S8" s="0" t="n">
        <f aca="false">INDEX($F8:$J8,IF(4&lt;$E8,4,4+1))</f>
        <v>12.1</v>
      </c>
      <c r="T8" s="0" t="n">
        <f aca="false">INDEX($K8:$O8,IF(1&lt;$E8,1,1+1))</f>
        <v>9.08673211346</v>
      </c>
      <c r="U8" s="0" t="n">
        <f aca="false">INDEX($K8:$O8,IF(2&lt;$E8,2,2+1))</f>
        <v>1.47904048929</v>
      </c>
      <c r="V8" s="0" t="n">
        <f aca="false">INDEX($K8:$O8,IF(3&lt;$E8,3,3+1))</f>
        <v>51.1499720774</v>
      </c>
      <c r="W8" s="0" t="n">
        <f aca="false">INDEX($K8:$O8,IF(4&lt;$E8,4,4+1))</f>
        <v>23.3437033109</v>
      </c>
      <c r="X8" s="0" t="n">
        <f aca="false">1+COUNTIF($P8:$S8,"&gt;"&amp;$P8)+(COUNTIF($P8:$S8,$P8)-1)/2</f>
        <v>4</v>
      </c>
      <c r="Y8" s="0" t="n">
        <f aca="false">1+COUNTIF($P8:$S8,"&gt;"&amp;$Q8)+(COUNTIF($P8:$S8,$Q8)-1)/2</f>
        <v>2</v>
      </c>
      <c r="Z8" s="0" t="n">
        <f aca="false">1+COUNTIF($P8:$S8,"&gt;"&amp;$R8)+(COUNTIF($P8:$S8,$R8)-1)/2</f>
        <v>1</v>
      </c>
      <c r="AA8" s="0" t="n">
        <f aca="false">1+COUNTIF($P8:$S8,"&gt;"&amp;$S8)+(COUNTIF($P8:$S8,$S8)-1)/2</f>
        <v>3</v>
      </c>
      <c r="AB8" s="0" t="n">
        <f aca="false">1+COUNTIF($T8:$W8,"&gt;"&amp;$T8)+(COUNTIF($T8:$W8,$T8)-1)/2</f>
        <v>3</v>
      </c>
      <c r="AC8" s="0" t="n">
        <f aca="false">1+COUNTIF($T8:$W8,"&gt;"&amp;$U8)+(COUNTIF($T8:$W8,$U8)-1)/2</f>
        <v>4</v>
      </c>
      <c r="AD8" s="0" t="n">
        <f aca="false">1+COUNTIF($T8:$W8,"&gt;"&amp;$V8)+(COUNTIF($T8:$W8,$V8)-1)/2</f>
        <v>1</v>
      </c>
      <c r="AE8" s="0" t="n">
        <f aca="false">1+COUNTIF($T8:$W8,"&gt;"&amp;$W8)+(COUNTIF($T8:$W8,$W8)-1)/2</f>
        <v>2</v>
      </c>
      <c r="AF8" s="0" t="n">
        <f aca="false">IFERROR(CORREL($P8:$S8,$T8:$W8),"")</f>
        <v>0.57138127051169</v>
      </c>
      <c r="AG8" s="0" t="n">
        <f aca="false">IFERROR(CORREL($X8:$AA8,$AB8:$AE8),"")</f>
        <v>0.4</v>
      </c>
      <c r="AH8" s="0" t="n">
        <f aca="false">IFERROR((SIGN($P8-$Q8)*SIGN($T8-$U8)+SIGN($P8-$R8)*SIGN($T8-$V8)+SIGN($P8-$S8)*SIGN($T8-$W8)+SIGN($Q8-$R8)*SIGN($U8-$V8)+SIGN($Q8-$S8)*SIGN($U8-$W8)+SIGN($R8-$S8)*SIGN($V8-$W8))/SQRT((6-(($P8=$Q8)*1+($P8=$R8)*1+($P8=$S8)*1+($Q8=$R8)*1+($Q8=$S8)*1+($R8=$S8)*1))*(6-(($T8=$U8)*1+($T8=$V8)*1+($T8=$W8)*1+($U8=$V8)*1+($U8=$W8)*1+($V8=$W8)*1))),"")</f>
        <v>0.333333333333333</v>
      </c>
      <c r="AI8" s="0" t="n">
        <f aca="false">MATCH(MAX($K8:$O8),$K8:$O8,0)</f>
        <v>4</v>
      </c>
      <c r="AJ8" s="0" t="n">
        <f aca="false">IF(AI8&lt;&gt;$E8,1,0)</f>
        <v>1</v>
      </c>
      <c r="AK8" s="0" t="n">
        <f aca="false">IF(AJ8=1,INDEX($F8:$J8,AI8)/MAX($P8:$S8),"")</f>
        <v>1</v>
      </c>
      <c r="AL8" s="0" t="n">
        <f aca="false">IF(AJ8=1,1+COUNTIF($P8:$S8,"&gt;"&amp;INDEX($F8:$J8,AI8)),"")</f>
        <v>1</v>
      </c>
      <c r="AM8" s="0" t="n">
        <f aca="false">AVERAGE($P8:$S8)/MAX($P8:$S8)</f>
        <v>0.718325791855204</v>
      </c>
      <c r="AN8" s="0" t="n">
        <f aca="false">100-INDEX($F8:$J8,$E8)</f>
        <v>63.5</v>
      </c>
    </row>
    <row r="9" customFormat="false" ht="15" hidden="false" customHeight="false" outlineLevel="0" collapsed="false">
      <c r="A9" s="0" t="s">
        <v>40</v>
      </c>
      <c r="B9" s="0" t="n">
        <v>2026</v>
      </c>
      <c r="C9" s="0" t="s">
        <v>46</v>
      </c>
      <c r="D9" s="0" t="s">
        <v>45</v>
      </c>
      <c r="E9" s="0" t="n">
        <v>3</v>
      </c>
      <c r="F9" s="0" t="n">
        <v>15.9</v>
      </c>
      <c r="G9" s="0" t="n">
        <v>15</v>
      </c>
      <c r="H9" s="0" t="n">
        <v>46</v>
      </c>
      <c r="I9" s="0" t="n">
        <v>13.8</v>
      </c>
      <c r="J9" s="0" t="n">
        <v>9.2</v>
      </c>
      <c r="K9" s="0" t="n">
        <v>5.64079591404</v>
      </c>
      <c r="L9" s="0" t="n">
        <v>14.3342919713</v>
      </c>
      <c r="M9" s="0" t="n">
        <v>58.6597387476</v>
      </c>
      <c r="N9" s="0" t="n">
        <v>4.56273460478</v>
      </c>
      <c r="O9" s="0" t="n">
        <v>16.8024387622</v>
      </c>
      <c r="P9" s="0" t="n">
        <f aca="false">INDEX($F9:$J9,IF(1&lt;$E9,1,1+1))</f>
        <v>15.9</v>
      </c>
      <c r="Q9" s="0" t="n">
        <f aca="false">INDEX($F9:$J9,IF(2&lt;$E9,2,2+1))</f>
        <v>15</v>
      </c>
      <c r="R9" s="0" t="n">
        <f aca="false">INDEX($F9:$J9,IF(3&lt;$E9,3,3+1))</f>
        <v>13.8</v>
      </c>
      <c r="S9" s="0" t="n">
        <f aca="false">INDEX($F9:$J9,IF(4&lt;$E9,4,4+1))</f>
        <v>9.2</v>
      </c>
      <c r="T9" s="0" t="n">
        <f aca="false">INDEX($K9:$O9,IF(1&lt;$E9,1,1+1))</f>
        <v>5.64079591404</v>
      </c>
      <c r="U9" s="0" t="n">
        <f aca="false">INDEX($K9:$O9,IF(2&lt;$E9,2,2+1))</f>
        <v>14.3342919713</v>
      </c>
      <c r="V9" s="0" t="n">
        <f aca="false">INDEX($K9:$O9,IF(3&lt;$E9,3,3+1))</f>
        <v>4.56273460478</v>
      </c>
      <c r="W9" s="0" t="n">
        <f aca="false">INDEX($K9:$O9,IF(4&lt;$E9,4,4+1))</f>
        <v>16.8024387622</v>
      </c>
      <c r="X9" s="0" t="n">
        <f aca="false">1+COUNTIF($P9:$S9,"&gt;"&amp;$P9)+(COUNTIF($P9:$S9,$P9)-1)/2</f>
        <v>1</v>
      </c>
      <c r="Y9" s="0" t="n">
        <f aca="false">1+COUNTIF($P9:$S9,"&gt;"&amp;$Q9)+(COUNTIF($P9:$S9,$Q9)-1)/2</f>
        <v>2</v>
      </c>
      <c r="Z9" s="0" t="n">
        <f aca="false">1+COUNTIF($P9:$S9,"&gt;"&amp;$R9)+(COUNTIF($P9:$S9,$R9)-1)/2</f>
        <v>3</v>
      </c>
      <c r="AA9" s="0" t="n">
        <f aca="false">1+COUNTIF($P9:$S9,"&gt;"&amp;$S9)+(COUNTIF($P9:$S9,$S9)-1)/2</f>
        <v>4</v>
      </c>
      <c r="AB9" s="0" t="n">
        <f aca="false">1+COUNTIF($T9:$W9,"&gt;"&amp;$T9)+(COUNTIF($T9:$W9,$T9)-1)/2</f>
        <v>3</v>
      </c>
      <c r="AC9" s="0" t="n">
        <f aca="false">1+COUNTIF($T9:$W9,"&gt;"&amp;$U9)+(COUNTIF($T9:$W9,$U9)-1)/2</f>
        <v>2</v>
      </c>
      <c r="AD9" s="0" t="n">
        <f aca="false">1+COUNTIF($T9:$W9,"&gt;"&amp;$V9)+(COUNTIF($T9:$W9,$V9)-1)/2</f>
        <v>4</v>
      </c>
      <c r="AE9" s="0" t="n">
        <f aca="false">1+COUNTIF($T9:$W9,"&gt;"&amp;$W9)+(COUNTIF($T9:$W9,$W9)-1)/2</f>
        <v>1</v>
      </c>
      <c r="AF9" s="0" t="n">
        <f aca="false">IFERROR(CORREL($P9:$S9,$T9:$W9),"")</f>
        <v>-0.634558887919686</v>
      </c>
      <c r="AG9" s="0" t="n">
        <f aca="false">IFERROR(CORREL($X9:$AA9,$AB9:$AE9),"")</f>
        <v>-0.4</v>
      </c>
      <c r="AH9" s="0" t="n">
        <f aca="false">IFERROR((SIGN($P9-$Q9)*SIGN($T9-$U9)+SIGN($P9-$R9)*SIGN($T9-$V9)+SIGN($P9-$S9)*SIGN($T9-$W9)+SIGN($Q9-$R9)*SIGN($U9-$V9)+SIGN($Q9-$S9)*SIGN($U9-$W9)+SIGN($R9-$S9)*SIGN($V9-$W9))/SQRT((6-(($P9=$Q9)*1+($P9=$R9)*1+($P9=$S9)*1+($Q9=$R9)*1+($Q9=$S9)*1+($R9=$S9)*1))*(6-(($T9=$U9)*1+($T9=$V9)*1+($T9=$W9)*1+($U9=$V9)*1+($U9=$W9)*1+($V9=$W9)*1))),"")</f>
        <v>-0.333333333333333</v>
      </c>
      <c r="AI9" s="0" t="n">
        <f aca="false">MATCH(MAX($K9:$O9),$K9:$O9,0)</f>
        <v>3</v>
      </c>
      <c r="AJ9" s="0" t="n">
        <f aca="false">IF(AI9&lt;&gt;$E9,1,0)</f>
        <v>0</v>
      </c>
      <c r="AK9" s="0" t="str">
        <f aca="false">IF(AJ9=1,INDEX($F9:$J9,AI9)/MAX($P9:$S9),"")</f>
        <v/>
      </c>
      <c r="AL9" s="0" t="str">
        <f aca="false">IF(AJ9=1,1+COUNTIF($P9:$S9,"&gt;"&amp;INDEX($F9:$J9,AI9)),"")</f>
        <v/>
      </c>
      <c r="AM9" s="0" t="n">
        <f aca="false">AVERAGE($P9:$S9)/MAX($P9:$S9)</f>
        <v>0.84748427672956</v>
      </c>
      <c r="AN9" s="0" t="n">
        <f aca="false">100-INDEX($F9:$J9,$E9)</f>
        <v>54</v>
      </c>
    </row>
    <row r="10" customFormat="false" ht="15" hidden="false" customHeight="false" outlineLevel="0" collapsed="false">
      <c r="A10" s="0" t="s">
        <v>40</v>
      </c>
      <c r="B10" s="0" t="n">
        <v>2026</v>
      </c>
      <c r="C10" s="0" t="s">
        <v>47</v>
      </c>
      <c r="D10" s="0" t="s">
        <v>42</v>
      </c>
      <c r="E10" s="0" t="n">
        <v>1</v>
      </c>
      <c r="F10" s="0" t="n">
        <v>39.8</v>
      </c>
      <c r="G10" s="0" t="n">
        <v>36.1</v>
      </c>
      <c r="H10" s="0" t="n">
        <v>11.4</v>
      </c>
      <c r="I10" s="0" t="n">
        <v>7.5</v>
      </c>
      <c r="J10" s="0" t="n">
        <v>5.2</v>
      </c>
      <c r="K10" s="0" t="n">
        <v>98.1661189792</v>
      </c>
      <c r="L10" s="0" t="n">
        <v>1.31298758429</v>
      </c>
      <c r="M10" s="0" t="n">
        <v>0.185456568865</v>
      </c>
      <c r="N10" s="0" t="n">
        <v>0.335004707599</v>
      </c>
      <c r="O10" s="0" t="n">
        <v>0.000432160032547</v>
      </c>
      <c r="P10" s="0" t="n">
        <f aca="false">INDEX($F10:$J10,IF(1&lt;$E10,1,1+1))</f>
        <v>36.1</v>
      </c>
      <c r="Q10" s="0" t="n">
        <f aca="false">INDEX($F10:$J10,IF(2&lt;$E10,2,2+1))</f>
        <v>11.4</v>
      </c>
      <c r="R10" s="0" t="n">
        <f aca="false">INDEX($F10:$J10,IF(3&lt;$E10,3,3+1))</f>
        <v>7.5</v>
      </c>
      <c r="S10" s="0" t="n">
        <f aca="false">INDEX($F10:$J10,IF(4&lt;$E10,4,4+1))</f>
        <v>5.2</v>
      </c>
      <c r="T10" s="0" t="n">
        <f aca="false">INDEX($K10:$O10,IF(1&lt;$E10,1,1+1))</f>
        <v>1.31298758429</v>
      </c>
      <c r="U10" s="0" t="n">
        <f aca="false">INDEX($K10:$O10,IF(2&lt;$E10,2,2+1))</f>
        <v>0.185456568865</v>
      </c>
      <c r="V10" s="0" t="n">
        <f aca="false">INDEX($K10:$O10,IF(3&lt;$E10,3,3+1))</f>
        <v>0.335004707599</v>
      </c>
      <c r="W10" s="0" t="n">
        <f aca="false">INDEX($K10:$O10,IF(4&lt;$E10,4,4+1))</f>
        <v>0.000432160032547</v>
      </c>
      <c r="X10" s="0" t="n">
        <f aca="false">1+COUNTIF($P10:$S10,"&gt;"&amp;$P10)+(COUNTIF($P10:$S10,$P10)-1)/2</f>
        <v>1</v>
      </c>
      <c r="Y10" s="0" t="n">
        <f aca="false">1+COUNTIF($P10:$S10,"&gt;"&amp;$Q10)+(COUNTIF($P10:$S10,$Q10)-1)/2</f>
        <v>2</v>
      </c>
      <c r="Z10" s="0" t="n">
        <f aca="false">1+COUNTIF($P10:$S10,"&gt;"&amp;$R10)+(COUNTIF($P10:$S10,$R10)-1)/2</f>
        <v>3</v>
      </c>
      <c r="AA10" s="0" t="n">
        <f aca="false">1+COUNTIF($P10:$S10,"&gt;"&amp;$S10)+(COUNTIF($P10:$S10,$S10)-1)/2</f>
        <v>4</v>
      </c>
      <c r="AB10" s="0" t="n">
        <f aca="false">1+COUNTIF($T10:$W10,"&gt;"&amp;$T10)+(COUNTIF($T10:$W10,$T10)-1)/2</f>
        <v>1</v>
      </c>
      <c r="AC10" s="0" t="n">
        <f aca="false">1+COUNTIF($T10:$W10,"&gt;"&amp;$U10)+(COUNTIF($T10:$W10,$U10)-1)/2</f>
        <v>3</v>
      </c>
      <c r="AD10" s="0" t="n">
        <f aca="false">1+COUNTIF($T10:$W10,"&gt;"&amp;$V10)+(COUNTIF($T10:$W10,$V10)-1)/2</f>
        <v>2</v>
      </c>
      <c r="AE10" s="0" t="n">
        <f aca="false">1+COUNTIF($T10:$W10,"&gt;"&amp;$W10)+(COUNTIF($T10:$W10,$W10)-1)/2</f>
        <v>4</v>
      </c>
      <c r="AF10" s="0" t="n">
        <f aca="false">IFERROR(CORREL($P10:$S10,$T10:$W10),"")</f>
        <v>0.974293049925304</v>
      </c>
      <c r="AG10" s="0" t="n">
        <f aca="false">IFERROR(CORREL($X10:$AA10,$AB10:$AE10),"")</f>
        <v>0.8</v>
      </c>
      <c r="AH10" s="0" t="n">
        <f aca="false">IFERROR((SIGN($P10-$Q10)*SIGN($T10-$U10)+SIGN($P10-$R10)*SIGN($T10-$V10)+SIGN($P10-$S10)*SIGN($T10-$W10)+SIGN($Q10-$R10)*SIGN($U10-$V10)+SIGN($Q10-$S10)*SIGN($U10-$W10)+SIGN($R10-$S10)*SIGN($V10-$W10))/SQRT((6-(($P10=$Q10)*1+($P10=$R10)*1+($P10=$S10)*1+($Q10=$R10)*1+($Q10=$S10)*1+($R10=$S10)*1))*(6-(($T10=$U10)*1+($T10=$V10)*1+($T10=$W10)*1+($U10=$V10)*1+($U10=$W10)*1+($V10=$W10)*1))),"")</f>
        <v>0.666666666666667</v>
      </c>
      <c r="AI10" s="0" t="n">
        <f aca="false">MATCH(MAX($K10:$O10),$K10:$O10,0)</f>
        <v>1</v>
      </c>
      <c r="AJ10" s="0" t="n">
        <f aca="false">IF(AI10&lt;&gt;$E10,1,0)</f>
        <v>0</v>
      </c>
      <c r="AK10" s="0" t="str">
        <f aca="false">IF(AJ10=1,INDEX($F10:$J10,AI10)/MAX($P10:$S10),"")</f>
        <v/>
      </c>
      <c r="AL10" s="0" t="str">
        <f aca="false">IF(AJ10=1,1+COUNTIF($P10:$S10,"&gt;"&amp;INDEX($F10:$J10,AI10)),"")</f>
        <v/>
      </c>
      <c r="AM10" s="0" t="n">
        <f aca="false">AVERAGE($P10:$S10)/MAX($P10:$S10)</f>
        <v>0.416897506925208</v>
      </c>
      <c r="AN10" s="0" t="n">
        <f aca="false">100-INDEX($F10:$J10,$E10)</f>
        <v>60.2</v>
      </c>
    </row>
    <row r="11" customFormat="false" ht="15" hidden="false" customHeight="false" outlineLevel="0" collapsed="false">
      <c r="A11" s="0" t="s">
        <v>40</v>
      </c>
      <c r="B11" s="0" t="n">
        <v>2026</v>
      </c>
      <c r="C11" s="0" t="s">
        <v>47</v>
      </c>
      <c r="D11" s="0" t="s">
        <v>43</v>
      </c>
      <c r="E11" s="0" t="n">
        <v>5</v>
      </c>
      <c r="F11" s="0" t="n">
        <v>15.2</v>
      </c>
      <c r="G11" s="0" t="n">
        <v>38.9</v>
      </c>
      <c r="H11" s="0" t="n">
        <v>12.1</v>
      </c>
      <c r="I11" s="0" t="n">
        <v>14</v>
      </c>
      <c r="J11" s="0" t="n">
        <v>19.9</v>
      </c>
      <c r="K11" s="0" t="n">
        <v>46.9130187283</v>
      </c>
      <c r="L11" s="0" t="n">
        <v>9.55142793931</v>
      </c>
      <c r="M11" s="0" t="n">
        <v>19.5936793704</v>
      </c>
      <c r="N11" s="0" t="n">
        <v>11.4257457929</v>
      </c>
      <c r="O11" s="0" t="n">
        <v>12.5161281691</v>
      </c>
      <c r="P11" s="0" t="n">
        <f aca="false">INDEX($F11:$J11,IF(1&lt;$E11,1,1+1))</f>
        <v>15.2</v>
      </c>
      <c r="Q11" s="0" t="n">
        <f aca="false">INDEX($F11:$J11,IF(2&lt;$E11,2,2+1))</f>
        <v>38.9</v>
      </c>
      <c r="R11" s="0" t="n">
        <f aca="false">INDEX($F11:$J11,IF(3&lt;$E11,3,3+1))</f>
        <v>12.1</v>
      </c>
      <c r="S11" s="0" t="n">
        <f aca="false">INDEX($F11:$J11,IF(4&lt;$E11,4,4+1))</f>
        <v>14</v>
      </c>
      <c r="T11" s="0" t="n">
        <f aca="false">INDEX($K11:$O11,IF(1&lt;$E11,1,1+1))</f>
        <v>46.9130187283</v>
      </c>
      <c r="U11" s="0" t="n">
        <f aca="false">INDEX($K11:$O11,IF(2&lt;$E11,2,2+1))</f>
        <v>9.55142793931</v>
      </c>
      <c r="V11" s="0" t="n">
        <f aca="false">INDEX($K11:$O11,IF(3&lt;$E11,3,3+1))</f>
        <v>19.5936793704</v>
      </c>
      <c r="W11" s="0" t="n">
        <f aca="false">INDEX($K11:$O11,IF(4&lt;$E11,4,4+1))</f>
        <v>11.4257457929</v>
      </c>
      <c r="X11" s="0" t="n">
        <f aca="false">1+COUNTIF($P11:$S11,"&gt;"&amp;$P11)+(COUNTIF($P11:$S11,$P11)-1)/2</f>
        <v>2</v>
      </c>
      <c r="Y11" s="0" t="n">
        <f aca="false">1+COUNTIF($P11:$S11,"&gt;"&amp;$Q11)+(COUNTIF($P11:$S11,$Q11)-1)/2</f>
        <v>1</v>
      </c>
      <c r="Z11" s="0" t="n">
        <f aca="false">1+COUNTIF($P11:$S11,"&gt;"&amp;$R11)+(COUNTIF($P11:$S11,$R11)-1)/2</f>
        <v>4</v>
      </c>
      <c r="AA11" s="0" t="n">
        <f aca="false">1+COUNTIF($P11:$S11,"&gt;"&amp;$S11)+(COUNTIF($P11:$S11,$S11)-1)/2</f>
        <v>3</v>
      </c>
      <c r="AB11" s="0" t="n">
        <f aca="false">1+COUNTIF($T11:$W11,"&gt;"&amp;$T11)+(COUNTIF($T11:$W11,$T11)-1)/2</f>
        <v>1</v>
      </c>
      <c r="AC11" s="0" t="n">
        <f aca="false">1+COUNTIF($T11:$W11,"&gt;"&amp;$U11)+(COUNTIF($T11:$W11,$U11)-1)/2</f>
        <v>4</v>
      </c>
      <c r="AD11" s="0" t="n">
        <f aca="false">1+COUNTIF($T11:$W11,"&gt;"&amp;$V11)+(COUNTIF($T11:$W11,$V11)-1)/2</f>
        <v>2</v>
      </c>
      <c r="AE11" s="0" t="n">
        <f aca="false">1+COUNTIF($T11:$W11,"&gt;"&amp;$W11)+(COUNTIF($T11:$W11,$W11)-1)/2</f>
        <v>3</v>
      </c>
      <c r="AF11" s="0" t="n">
        <f aca="false">IFERROR(CORREL($P11:$S11,$T11:$W11),"")</f>
        <v>-0.416580889202739</v>
      </c>
      <c r="AG11" s="0" t="n">
        <f aca="false">IFERROR(CORREL($X11:$AA11,$AB11:$AE11),"")</f>
        <v>-0.4</v>
      </c>
      <c r="AH11" s="0" t="n">
        <f aca="false">IFERROR((SIGN($P11-$Q11)*SIGN($T11-$U11)+SIGN($P11-$R11)*SIGN($T11-$V11)+SIGN($P11-$S11)*SIGN($T11-$W11)+SIGN($Q11-$R11)*SIGN($U11-$V11)+SIGN($Q11-$S11)*SIGN($U11-$W11)+SIGN($R11-$S11)*SIGN($V11-$W11))/SQRT((6-(($P11=$Q11)*1+($P11=$R11)*1+($P11=$S11)*1+($Q11=$R11)*1+($Q11=$S11)*1+($R11=$S11)*1))*(6-(($T11=$U11)*1+($T11=$V11)*1+($T11=$W11)*1+($U11=$V11)*1+($U11=$W11)*1+($V11=$W11)*1))),"")</f>
        <v>-0.333333333333333</v>
      </c>
      <c r="AI11" s="0" t="n">
        <f aca="false">MATCH(MAX($K11:$O11),$K11:$O11,0)</f>
        <v>1</v>
      </c>
      <c r="AJ11" s="0" t="n">
        <f aca="false">IF(AI11&lt;&gt;$E11,1,0)</f>
        <v>1</v>
      </c>
      <c r="AK11" s="0" t="n">
        <f aca="false">IF(AJ11=1,INDEX($F11:$J11,AI11)/MAX($P11:$S11),"")</f>
        <v>0.390745501285347</v>
      </c>
      <c r="AL11" s="0" t="n">
        <f aca="false">IF(AJ11=1,1+COUNTIF($P11:$S11,"&gt;"&amp;INDEX($F11:$J11,AI11)),"")</f>
        <v>2</v>
      </c>
      <c r="AM11" s="0" t="n">
        <f aca="false">AVERAGE($P11:$S11)/MAX($P11:$S11)</f>
        <v>0.515424164524422</v>
      </c>
      <c r="AN11" s="0" t="n">
        <f aca="false">100-INDEX($F11:$J11,$E11)</f>
        <v>80.1</v>
      </c>
    </row>
    <row r="12" customFormat="false" ht="15" hidden="false" customHeight="false" outlineLevel="0" collapsed="false">
      <c r="A12" s="0" t="s">
        <v>40</v>
      </c>
      <c r="B12" s="0" t="n">
        <v>2026</v>
      </c>
      <c r="C12" s="0" t="s">
        <v>47</v>
      </c>
      <c r="D12" s="0" t="s">
        <v>44</v>
      </c>
      <c r="E12" s="0" t="n">
        <v>4</v>
      </c>
      <c r="F12" s="0" t="n">
        <v>14.4</v>
      </c>
      <c r="G12" s="0" t="n">
        <v>32.3</v>
      </c>
      <c r="H12" s="0" t="n">
        <v>13.1</v>
      </c>
      <c r="I12" s="0" t="n">
        <v>18.4</v>
      </c>
      <c r="J12" s="0" t="n">
        <v>21.9</v>
      </c>
      <c r="K12" s="0" t="n">
        <v>8.08962956387</v>
      </c>
      <c r="L12" s="0" t="n">
        <v>36.2591610794</v>
      </c>
      <c r="M12" s="0" t="n">
        <v>13.4289410665</v>
      </c>
      <c r="N12" s="0" t="n">
        <v>26.8039486084</v>
      </c>
      <c r="O12" s="0" t="n">
        <v>15.4183196818</v>
      </c>
      <c r="P12" s="0" t="n">
        <f aca="false">INDEX($F12:$J12,IF(1&lt;$E12,1,1+1))</f>
        <v>14.4</v>
      </c>
      <c r="Q12" s="0" t="n">
        <f aca="false">INDEX($F12:$J12,IF(2&lt;$E12,2,2+1))</f>
        <v>32.3</v>
      </c>
      <c r="R12" s="0" t="n">
        <f aca="false">INDEX($F12:$J12,IF(3&lt;$E12,3,3+1))</f>
        <v>13.1</v>
      </c>
      <c r="S12" s="0" t="n">
        <f aca="false">INDEX($F12:$J12,IF(4&lt;$E12,4,4+1))</f>
        <v>21.9</v>
      </c>
      <c r="T12" s="0" t="n">
        <f aca="false">INDEX($K12:$O12,IF(1&lt;$E12,1,1+1))</f>
        <v>8.08962956387</v>
      </c>
      <c r="U12" s="0" t="n">
        <f aca="false">INDEX($K12:$O12,IF(2&lt;$E12,2,2+1))</f>
        <v>36.2591610794</v>
      </c>
      <c r="V12" s="0" t="n">
        <f aca="false">INDEX($K12:$O12,IF(3&lt;$E12,3,3+1))</f>
        <v>13.4289410665</v>
      </c>
      <c r="W12" s="0" t="n">
        <f aca="false">INDEX($K12:$O12,IF(4&lt;$E12,4,4+1))</f>
        <v>15.4183196818</v>
      </c>
      <c r="X12" s="0" t="n">
        <f aca="false">1+COUNTIF($P12:$S12,"&gt;"&amp;$P12)+(COUNTIF($P12:$S12,$P12)-1)/2</f>
        <v>3</v>
      </c>
      <c r="Y12" s="0" t="n">
        <f aca="false">1+COUNTIF($P12:$S12,"&gt;"&amp;$Q12)+(COUNTIF($P12:$S12,$Q12)-1)/2</f>
        <v>1</v>
      </c>
      <c r="Z12" s="0" t="n">
        <f aca="false">1+COUNTIF($P12:$S12,"&gt;"&amp;$R12)+(COUNTIF($P12:$S12,$R12)-1)/2</f>
        <v>4</v>
      </c>
      <c r="AA12" s="0" t="n">
        <f aca="false">1+COUNTIF($P12:$S12,"&gt;"&amp;$S12)+(COUNTIF($P12:$S12,$S12)-1)/2</f>
        <v>2</v>
      </c>
      <c r="AB12" s="0" t="n">
        <f aca="false">1+COUNTIF($T12:$W12,"&gt;"&amp;$T12)+(COUNTIF($T12:$W12,$T12)-1)/2</f>
        <v>4</v>
      </c>
      <c r="AC12" s="0" t="n">
        <f aca="false">1+COUNTIF($T12:$W12,"&gt;"&amp;$U12)+(COUNTIF($T12:$W12,$U12)-1)/2</f>
        <v>1</v>
      </c>
      <c r="AD12" s="0" t="n">
        <f aca="false">1+COUNTIF($T12:$W12,"&gt;"&amp;$V12)+(COUNTIF($T12:$W12,$V12)-1)/2</f>
        <v>3</v>
      </c>
      <c r="AE12" s="0" t="n">
        <f aca="false">1+COUNTIF($T12:$W12,"&gt;"&amp;$W12)+(COUNTIF($T12:$W12,$W12)-1)/2</f>
        <v>2</v>
      </c>
      <c r="AF12" s="0" t="n">
        <f aca="false">IFERROR(CORREL($P12:$S12,$T12:$W12),"")</f>
        <v>0.936244049514226</v>
      </c>
      <c r="AG12" s="0" t="n">
        <f aca="false">IFERROR(CORREL($X12:$AA12,$AB12:$AE12),"")</f>
        <v>0.8</v>
      </c>
      <c r="AH12" s="0" t="n">
        <f aca="false">IFERROR((SIGN($P12-$Q12)*SIGN($T12-$U12)+SIGN($P12-$R12)*SIGN($T12-$V12)+SIGN($P12-$S12)*SIGN($T12-$W12)+SIGN($Q12-$R12)*SIGN($U12-$V12)+SIGN($Q12-$S12)*SIGN($U12-$W12)+SIGN($R12-$S12)*SIGN($V12-$W12))/SQRT((6-(($P12=$Q12)*1+($P12=$R12)*1+($P12=$S12)*1+($Q12=$R12)*1+($Q12=$S12)*1+($R12=$S12)*1))*(6-(($T12=$U12)*1+($T12=$V12)*1+($T12=$W12)*1+($U12=$V12)*1+($U12=$W12)*1+($V12=$W12)*1))),"")</f>
        <v>0.666666666666667</v>
      </c>
      <c r="AI12" s="0" t="n">
        <f aca="false">MATCH(MAX($K12:$O12),$K12:$O12,0)</f>
        <v>2</v>
      </c>
      <c r="AJ12" s="0" t="n">
        <f aca="false">IF(AI12&lt;&gt;$E12,1,0)</f>
        <v>1</v>
      </c>
      <c r="AK12" s="0" t="n">
        <f aca="false">IF(AJ12=1,INDEX($F12:$J12,AI12)/MAX($P12:$S12),"")</f>
        <v>1</v>
      </c>
      <c r="AL12" s="0" t="n">
        <f aca="false">IF(AJ12=1,1+COUNTIF($P12:$S12,"&gt;"&amp;INDEX($F12:$J12,AI12)),"")</f>
        <v>1</v>
      </c>
      <c r="AM12" s="0" t="n">
        <f aca="false">AVERAGE($P12:$S12)/MAX($P12:$S12)</f>
        <v>0.632352941176471</v>
      </c>
      <c r="AN12" s="0" t="n">
        <f aca="false">100-INDEX($F12:$J12,$E12)</f>
        <v>81.6</v>
      </c>
    </row>
    <row r="13" customFormat="false" ht="15" hidden="false" customHeight="false" outlineLevel="0" collapsed="false">
      <c r="A13" s="0" t="s">
        <v>40</v>
      </c>
      <c r="B13" s="0" t="n">
        <v>2026</v>
      </c>
      <c r="C13" s="0" t="s">
        <v>47</v>
      </c>
      <c r="D13" s="0" t="s">
        <v>45</v>
      </c>
      <c r="E13" s="0" t="n">
        <v>3</v>
      </c>
      <c r="F13" s="0" t="n">
        <v>14.6</v>
      </c>
      <c r="G13" s="0" t="n">
        <v>34</v>
      </c>
      <c r="H13" s="0" t="n">
        <v>19.5</v>
      </c>
      <c r="I13" s="0" t="n">
        <v>12.2</v>
      </c>
      <c r="J13" s="0" t="n">
        <v>19.6</v>
      </c>
      <c r="K13" s="0" t="n">
        <v>5.97504355073</v>
      </c>
      <c r="L13" s="0" t="n">
        <v>25.4069136787</v>
      </c>
      <c r="M13" s="0" t="n">
        <v>55.6476642666</v>
      </c>
      <c r="N13" s="0" t="n">
        <v>10.96739682</v>
      </c>
      <c r="O13" s="0" t="n">
        <v>2.0029816839</v>
      </c>
      <c r="P13" s="0" t="n">
        <f aca="false">INDEX($F13:$J13,IF(1&lt;$E13,1,1+1))</f>
        <v>14.6</v>
      </c>
      <c r="Q13" s="0" t="n">
        <f aca="false">INDEX($F13:$J13,IF(2&lt;$E13,2,2+1))</f>
        <v>34</v>
      </c>
      <c r="R13" s="0" t="n">
        <f aca="false">INDEX($F13:$J13,IF(3&lt;$E13,3,3+1))</f>
        <v>12.2</v>
      </c>
      <c r="S13" s="0" t="n">
        <f aca="false">INDEX($F13:$J13,IF(4&lt;$E13,4,4+1))</f>
        <v>19.6</v>
      </c>
      <c r="T13" s="0" t="n">
        <f aca="false">INDEX($K13:$O13,IF(1&lt;$E13,1,1+1))</f>
        <v>5.97504355073</v>
      </c>
      <c r="U13" s="0" t="n">
        <f aca="false">INDEX($K13:$O13,IF(2&lt;$E13,2,2+1))</f>
        <v>25.4069136787</v>
      </c>
      <c r="V13" s="0" t="n">
        <f aca="false">INDEX($K13:$O13,IF(3&lt;$E13,3,3+1))</f>
        <v>10.96739682</v>
      </c>
      <c r="W13" s="0" t="n">
        <f aca="false">INDEX($K13:$O13,IF(4&lt;$E13,4,4+1))</f>
        <v>2.0029816839</v>
      </c>
      <c r="X13" s="0" t="n">
        <f aca="false">1+COUNTIF($P13:$S13,"&gt;"&amp;$P13)+(COUNTIF($P13:$S13,$P13)-1)/2</f>
        <v>3</v>
      </c>
      <c r="Y13" s="0" t="n">
        <f aca="false">1+COUNTIF($P13:$S13,"&gt;"&amp;$Q13)+(COUNTIF($P13:$S13,$Q13)-1)/2</f>
        <v>1</v>
      </c>
      <c r="Z13" s="0" t="n">
        <f aca="false">1+COUNTIF($P13:$S13,"&gt;"&amp;$R13)+(COUNTIF($P13:$S13,$R13)-1)/2</f>
        <v>4</v>
      </c>
      <c r="AA13" s="0" t="n">
        <f aca="false">1+COUNTIF($P13:$S13,"&gt;"&amp;$S13)+(COUNTIF($P13:$S13,$S13)-1)/2</f>
        <v>2</v>
      </c>
      <c r="AB13" s="0" t="n">
        <f aca="false">1+COUNTIF($T13:$W13,"&gt;"&amp;$T13)+(COUNTIF($T13:$W13,$T13)-1)/2</f>
        <v>3</v>
      </c>
      <c r="AC13" s="0" t="n">
        <f aca="false">1+COUNTIF($T13:$W13,"&gt;"&amp;$U13)+(COUNTIF($T13:$W13,$U13)-1)/2</f>
        <v>1</v>
      </c>
      <c r="AD13" s="0" t="n">
        <f aca="false">1+COUNTIF($T13:$W13,"&gt;"&amp;$V13)+(COUNTIF($T13:$W13,$V13)-1)/2</f>
        <v>2</v>
      </c>
      <c r="AE13" s="0" t="n">
        <f aca="false">1+COUNTIF($T13:$W13,"&gt;"&amp;$W13)+(COUNTIF($T13:$W13,$W13)-1)/2</f>
        <v>4</v>
      </c>
      <c r="AF13" s="0" t="n">
        <f aca="false">IFERROR(CORREL($P13:$S13,$T13:$W13),"")</f>
        <v>0.776520337352896</v>
      </c>
      <c r="AG13" s="0" t="n">
        <f aca="false">IFERROR(CORREL($X13:$AA13,$AB13:$AE13),"")</f>
        <v>0.2</v>
      </c>
      <c r="AH13" s="0" t="n">
        <f aca="false">IFERROR((SIGN($P13-$Q13)*SIGN($T13-$U13)+SIGN($P13-$R13)*SIGN($T13-$V13)+SIGN($P13-$S13)*SIGN($T13-$W13)+SIGN($Q13-$R13)*SIGN($U13-$V13)+SIGN($Q13-$S13)*SIGN($U13-$W13)+SIGN($R13-$S13)*SIGN($V13-$W13))/SQRT((6-(($P13=$Q13)*1+($P13=$R13)*1+($P13=$S13)*1+($Q13=$R13)*1+($Q13=$S13)*1+($R13=$S13)*1))*(6-(($T13=$U13)*1+($T13=$V13)*1+($T13=$W13)*1+($U13=$V13)*1+($U13=$W13)*1+($V13=$W13)*1))),"")</f>
        <v>0</v>
      </c>
      <c r="AI13" s="0" t="n">
        <f aca="false">MATCH(MAX($K13:$O13),$K13:$O13,0)</f>
        <v>3</v>
      </c>
      <c r="AJ13" s="0" t="n">
        <f aca="false">IF(AI13&lt;&gt;$E13,1,0)</f>
        <v>0</v>
      </c>
      <c r="AK13" s="0" t="str">
        <f aca="false">IF(AJ13=1,INDEX($F13:$J13,AI13)/MAX($P13:$S13),"")</f>
        <v/>
      </c>
      <c r="AL13" s="0" t="str">
        <f aca="false">IF(AJ13=1,1+COUNTIF($P13:$S13,"&gt;"&amp;INDEX($F13:$J13,AI13)),"")</f>
        <v/>
      </c>
      <c r="AM13" s="0" t="n">
        <f aca="false">AVERAGE($P13:$S13)/MAX($P13:$S13)</f>
        <v>0.591176470588235</v>
      </c>
      <c r="AN13" s="0" t="n">
        <f aca="false">100-INDEX($F13:$J13,$E13)</f>
        <v>80.5</v>
      </c>
    </row>
    <row r="14" customFormat="false" ht="15" hidden="false" customHeight="false" outlineLevel="0" collapsed="false">
      <c r="A14" s="0" t="s">
        <v>40</v>
      </c>
      <c r="B14" s="0" t="n">
        <v>2025</v>
      </c>
      <c r="C14" s="0" t="s">
        <v>48</v>
      </c>
      <c r="D14" s="0" t="s">
        <v>42</v>
      </c>
      <c r="E14" s="0" t="n">
        <v>1</v>
      </c>
      <c r="F14" s="0" t="n">
        <v>49.6</v>
      </c>
      <c r="G14" s="0" t="n">
        <v>15.6</v>
      </c>
      <c r="H14" s="0" t="n">
        <v>10.9</v>
      </c>
      <c r="I14" s="0" t="n">
        <v>18.9</v>
      </c>
      <c r="J14" s="0" t="n">
        <v>5.1</v>
      </c>
      <c r="K14" s="0" t="n">
        <v>21.6104839207</v>
      </c>
      <c r="L14" s="0" t="n">
        <v>0.163794574295</v>
      </c>
      <c r="M14" s="0" t="n">
        <v>0.270942660796</v>
      </c>
      <c r="N14" s="0" t="n">
        <v>0.199998276624</v>
      </c>
      <c r="O14" s="0" t="n">
        <v>77.7547805676</v>
      </c>
      <c r="P14" s="0" t="n">
        <f aca="false">INDEX($F14:$J14,IF(1&lt;$E14,1,1+1))</f>
        <v>15.6</v>
      </c>
      <c r="Q14" s="0" t="n">
        <f aca="false">INDEX($F14:$J14,IF(2&lt;$E14,2,2+1))</f>
        <v>10.9</v>
      </c>
      <c r="R14" s="0" t="n">
        <f aca="false">INDEX($F14:$J14,IF(3&lt;$E14,3,3+1))</f>
        <v>18.9</v>
      </c>
      <c r="S14" s="0" t="n">
        <f aca="false">INDEX($F14:$J14,IF(4&lt;$E14,4,4+1))</f>
        <v>5.1</v>
      </c>
      <c r="T14" s="0" t="n">
        <f aca="false">INDEX($K14:$O14,IF(1&lt;$E14,1,1+1))</f>
        <v>0.163794574295</v>
      </c>
      <c r="U14" s="0" t="n">
        <f aca="false">INDEX($K14:$O14,IF(2&lt;$E14,2,2+1))</f>
        <v>0.270942660796</v>
      </c>
      <c r="V14" s="0" t="n">
        <f aca="false">INDEX($K14:$O14,IF(3&lt;$E14,3,3+1))</f>
        <v>0.199998276624</v>
      </c>
      <c r="W14" s="0" t="n">
        <f aca="false">INDEX($K14:$O14,IF(4&lt;$E14,4,4+1))</f>
        <v>77.7547805676</v>
      </c>
      <c r="X14" s="0" t="n">
        <f aca="false">1+COUNTIF($P14:$S14,"&gt;"&amp;$P14)+(COUNTIF($P14:$S14,$P14)-1)/2</f>
        <v>2</v>
      </c>
      <c r="Y14" s="0" t="n">
        <f aca="false">1+COUNTIF($P14:$S14,"&gt;"&amp;$Q14)+(COUNTIF($P14:$S14,$Q14)-1)/2</f>
        <v>3</v>
      </c>
      <c r="Z14" s="0" t="n">
        <f aca="false">1+COUNTIF($P14:$S14,"&gt;"&amp;$R14)+(COUNTIF($P14:$S14,$R14)-1)/2</f>
        <v>1</v>
      </c>
      <c r="AA14" s="0" t="n">
        <f aca="false">1+COUNTIF($P14:$S14,"&gt;"&amp;$S14)+(COUNTIF($P14:$S14,$S14)-1)/2</f>
        <v>4</v>
      </c>
      <c r="AB14" s="0" t="n">
        <f aca="false">1+COUNTIF($T14:$W14,"&gt;"&amp;$T14)+(COUNTIF($T14:$W14,$T14)-1)/2</f>
        <v>4</v>
      </c>
      <c r="AC14" s="0" t="n">
        <f aca="false">1+COUNTIF($T14:$W14,"&gt;"&amp;$U14)+(COUNTIF($T14:$W14,$U14)-1)/2</f>
        <v>2</v>
      </c>
      <c r="AD14" s="0" t="n">
        <f aca="false">1+COUNTIF($T14:$W14,"&gt;"&amp;$V14)+(COUNTIF($T14:$W14,$V14)-1)/2</f>
        <v>3</v>
      </c>
      <c r="AE14" s="0" t="n">
        <f aca="false">1+COUNTIF($T14:$W14,"&gt;"&amp;$W14)+(COUNTIF($T14:$W14,$W14)-1)/2</f>
        <v>1</v>
      </c>
      <c r="AF14" s="0" t="n">
        <f aca="false">IFERROR(CORREL($P14:$S14,$T14:$W14),"")</f>
        <v>-0.837234002928865</v>
      </c>
      <c r="AG14" s="0" t="n">
        <f aca="false">IFERROR(CORREL($X14:$AA14,$AB14:$AE14),"")</f>
        <v>-0.8</v>
      </c>
      <c r="AH14" s="0" t="n">
        <f aca="false">IFERROR((SIGN($P14-$Q14)*SIGN($T14-$U14)+SIGN($P14-$R14)*SIGN($T14-$V14)+SIGN($P14-$S14)*SIGN($T14-$W14)+SIGN($Q14-$R14)*SIGN($U14-$V14)+SIGN($Q14-$S14)*SIGN($U14-$W14)+SIGN($R14-$S14)*SIGN($V14-$W14))/SQRT((6-(($P14=$Q14)*1+($P14=$R14)*1+($P14=$S14)*1+($Q14=$R14)*1+($Q14=$S14)*1+($R14=$S14)*1))*(6-(($T14=$U14)*1+($T14=$V14)*1+($T14=$W14)*1+($U14=$V14)*1+($U14=$W14)*1+($V14=$W14)*1))),"")</f>
        <v>-0.666666666666667</v>
      </c>
      <c r="AI14" s="0" t="n">
        <f aca="false">MATCH(MAX($K14:$O14),$K14:$O14,0)</f>
        <v>5</v>
      </c>
      <c r="AJ14" s="0" t="n">
        <f aca="false">IF(AI14&lt;&gt;$E14,1,0)</f>
        <v>1</v>
      </c>
      <c r="AK14" s="0" t="n">
        <f aca="false">IF(AJ14=1,INDEX($F14:$J14,AI14)/MAX($P14:$S14),"")</f>
        <v>0.26984126984127</v>
      </c>
      <c r="AL14" s="0" t="n">
        <f aca="false">IF(AJ14=1,1+COUNTIF($P14:$S14,"&gt;"&amp;INDEX($F14:$J14,AI14)),"")</f>
        <v>4</v>
      </c>
      <c r="AM14" s="0" t="n">
        <f aca="false">AVERAGE($P14:$S14)/MAX($P14:$S14)</f>
        <v>0.667989417989418</v>
      </c>
      <c r="AN14" s="0" t="n">
        <f aca="false">100-INDEX($F14:$J14,$E14)</f>
        <v>50.4</v>
      </c>
    </row>
    <row r="15" customFormat="false" ht="15" hidden="false" customHeight="false" outlineLevel="0" collapsed="false">
      <c r="A15" s="0" t="s">
        <v>40</v>
      </c>
      <c r="B15" s="0" t="n">
        <v>2025</v>
      </c>
      <c r="C15" s="0" t="s">
        <v>48</v>
      </c>
      <c r="D15" s="0" t="s">
        <v>44</v>
      </c>
      <c r="E15" s="0" t="n">
        <v>2</v>
      </c>
      <c r="F15" s="0" t="n">
        <v>15.2</v>
      </c>
      <c r="G15" s="0" t="n">
        <v>44.9</v>
      </c>
      <c r="H15" s="0" t="n">
        <v>21.6</v>
      </c>
      <c r="I15" s="0" t="n">
        <v>8.7</v>
      </c>
      <c r="J15" s="0" t="n">
        <v>9.6</v>
      </c>
      <c r="K15" s="0" t="n">
        <v>1.67103986544</v>
      </c>
      <c r="L15" s="0" t="n">
        <v>69.7173656593</v>
      </c>
      <c r="M15" s="0" t="n">
        <v>2.15673085839</v>
      </c>
      <c r="N15" s="0" t="n">
        <v>16.7564676883</v>
      </c>
      <c r="O15" s="0" t="n">
        <v>9.69839592854</v>
      </c>
      <c r="P15" s="0" t="n">
        <f aca="false">INDEX($F15:$J15,IF(1&lt;$E15,1,1+1))</f>
        <v>15.2</v>
      </c>
      <c r="Q15" s="0" t="n">
        <f aca="false">INDEX($F15:$J15,IF(2&lt;$E15,2,2+1))</f>
        <v>21.6</v>
      </c>
      <c r="R15" s="0" t="n">
        <f aca="false">INDEX($F15:$J15,IF(3&lt;$E15,3,3+1))</f>
        <v>8.7</v>
      </c>
      <c r="S15" s="0" t="n">
        <f aca="false">INDEX($F15:$J15,IF(4&lt;$E15,4,4+1))</f>
        <v>9.6</v>
      </c>
      <c r="T15" s="0" t="n">
        <f aca="false">INDEX($K15:$O15,IF(1&lt;$E15,1,1+1))</f>
        <v>1.67103986544</v>
      </c>
      <c r="U15" s="0" t="n">
        <f aca="false">INDEX($K15:$O15,IF(2&lt;$E15,2,2+1))</f>
        <v>2.15673085839</v>
      </c>
      <c r="V15" s="0" t="n">
        <f aca="false">INDEX($K15:$O15,IF(3&lt;$E15,3,3+1))</f>
        <v>16.7564676883</v>
      </c>
      <c r="W15" s="0" t="n">
        <f aca="false">INDEX($K15:$O15,IF(4&lt;$E15,4,4+1))</f>
        <v>9.69839592854</v>
      </c>
      <c r="X15" s="0" t="n">
        <f aca="false">1+COUNTIF($P15:$S15,"&gt;"&amp;$P15)+(COUNTIF($P15:$S15,$P15)-1)/2</f>
        <v>2</v>
      </c>
      <c r="Y15" s="0" t="n">
        <f aca="false">1+COUNTIF($P15:$S15,"&gt;"&amp;$Q15)+(COUNTIF($P15:$S15,$Q15)-1)/2</f>
        <v>1</v>
      </c>
      <c r="Z15" s="0" t="n">
        <f aca="false">1+COUNTIF($P15:$S15,"&gt;"&amp;$R15)+(COUNTIF($P15:$S15,$R15)-1)/2</f>
        <v>4</v>
      </c>
      <c r="AA15" s="0" t="n">
        <f aca="false">1+COUNTIF($P15:$S15,"&gt;"&amp;$S15)+(COUNTIF($P15:$S15,$S15)-1)/2</f>
        <v>3</v>
      </c>
      <c r="AB15" s="0" t="n">
        <f aca="false">1+COUNTIF($T15:$W15,"&gt;"&amp;$T15)+(COUNTIF($T15:$W15,$T15)-1)/2</f>
        <v>4</v>
      </c>
      <c r="AC15" s="0" t="n">
        <f aca="false">1+COUNTIF($T15:$W15,"&gt;"&amp;$U15)+(COUNTIF($T15:$W15,$U15)-1)/2</f>
        <v>3</v>
      </c>
      <c r="AD15" s="0" t="n">
        <f aca="false">1+COUNTIF($T15:$W15,"&gt;"&amp;$V15)+(COUNTIF($T15:$W15,$V15)-1)/2</f>
        <v>1</v>
      </c>
      <c r="AE15" s="0" t="n">
        <f aca="false">1+COUNTIF($T15:$W15,"&gt;"&amp;$W15)+(COUNTIF($T15:$W15,$W15)-1)/2</f>
        <v>2</v>
      </c>
      <c r="AF15" s="0" t="n">
        <f aca="false">IFERROR(CORREL($P15:$S15,$T15:$W15),"")</f>
        <v>-0.83267291854644</v>
      </c>
      <c r="AG15" s="0" t="n">
        <f aca="false">IFERROR(CORREL($X15:$AA15,$AB15:$AE15),"")</f>
        <v>-0.8</v>
      </c>
      <c r="AH15" s="0" t="n">
        <f aca="false">IFERROR((SIGN($P15-$Q15)*SIGN($T15-$U15)+SIGN($P15-$R15)*SIGN($T15-$V15)+SIGN($P15-$S15)*SIGN($T15-$W15)+SIGN($Q15-$R15)*SIGN($U15-$V15)+SIGN($Q15-$S15)*SIGN($U15-$W15)+SIGN($R15-$S15)*SIGN($V15-$W15))/SQRT((6-(($P15=$Q15)*1+($P15=$R15)*1+($P15=$S15)*1+($Q15=$R15)*1+($Q15=$S15)*1+($R15=$S15)*1))*(6-(($T15=$U15)*1+($T15=$V15)*1+($T15=$W15)*1+($U15=$V15)*1+($U15=$W15)*1+($V15=$W15)*1))),"")</f>
        <v>-0.666666666666667</v>
      </c>
      <c r="AI15" s="0" t="n">
        <f aca="false">MATCH(MAX($K15:$O15),$K15:$O15,0)</f>
        <v>2</v>
      </c>
      <c r="AJ15" s="0" t="n">
        <f aca="false">IF(AI15&lt;&gt;$E15,1,0)</f>
        <v>0</v>
      </c>
      <c r="AK15" s="0" t="str">
        <f aca="false">IF(AJ15=1,INDEX($F15:$J15,AI15)/MAX($P15:$S15),"")</f>
        <v/>
      </c>
      <c r="AL15" s="0" t="str">
        <f aca="false">IF(AJ15=1,1+COUNTIF($P15:$S15,"&gt;"&amp;INDEX($F15:$J15,AI15)),"")</f>
        <v/>
      </c>
      <c r="AM15" s="0" t="n">
        <f aca="false">AVERAGE($P15:$S15)/MAX($P15:$S15)</f>
        <v>0.637731481481482</v>
      </c>
      <c r="AN15" s="0" t="n">
        <f aca="false">100-INDEX($F15:$J15,$E15)</f>
        <v>55.1</v>
      </c>
    </row>
    <row r="16" customFormat="false" ht="15" hidden="false" customHeight="false" outlineLevel="0" collapsed="false">
      <c r="A16" s="0" t="s">
        <v>40</v>
      </c>
      <c r="B16" s="0" t="n">
        <v>2025</v>
      </c>
      <c r="C16" s="0" t="s">
        <v>48</v>
      </c>
      <c r="D16" s="0" t="s">
        <v>45</v>
      </c>
      <c r="E16" s="0" t="n">
        <v>5</v>
      </c>
      <c r="F16" s="0" t="n">
        <v>18.9</v>
      </c>
      <c r="G16" s="0" t="n">
        <v>21.2</v>
      </c>
      <c r="H16" s="0" t="n">
        <v>18.4</v>
      </c>
      <c r="I16" s="0" t="n">
        <v>8.4</v>
      </c>
      <c r="J16" s="0" t="n">
        <v>33</v>
      </c>
      <c r="K16" s="0" t="n">
        <v>2.4858077455</v>
      </c>
      <c r="L16" s="0" t="n">
        <v>50.5701699374</v>
      </c>
      <c r="M16" s="0" t="n">
        <v>16.9688244953</v>
      </c>
      <c r="N16" s="0" t="n">
        <v>3.77483797385</v>
      </c>
      <c r="O16" s="0" t="n">
        <v>26.200359848</v>
      </c>
      <c r="P16" s="0" t="n">
        <f aca="false">INDEX($F16:$J16,IF(1&lt;$E16,1,1+1))</f>
        <v>18.9</v>
      </c>
      <c r="Q16" s="0" t="n">
        <f aca="false">INDEX($F16:$J16,IF(2&lt;$E16,2,2+1))</f>
        <v>21.2</v>
      </c>
      <c r="R16" s="0" t="n">
        <f aca="false">INDEX($F16:$J16,IF(3&lt;$E16,3,3+1))</f>
        <v>18.4</v>
      </c>
      <c r="S16" s="0" t="n">
        <f aca="false">INDEX($F16:$J16,IF(4&lt;$E16,4,4+1))</f>
        <v>8.4</v>
      </c>
      <c r="T16" s="0" t="n">
        <f aca="false">INDEX($K16:$O16,IF(1&lt;$E16,1,1+1))</f>
        <v>2.4858077455</v>
      </c>
      <c r="U16" s="0" t="n">
        <f aca="false">INDEX($K16:$O16,IF(2&lt;$E16,2,2+1))</f>
        <v>50.5701699374</v>
      </c>
      <c r="V16" s="0" t="n">
        <f aca="false">INDEX($K16:$O16,IF(3&lt;$E16,3,3+1))</f>
        <v>16.9688244953</v>
      </c>
      <c r="W16" s="0" t="n">
        <f aca="false">INDEX($K16:$O16,IF(4&lt;$E16,4,4+1))</f>
        <v>3.77483797385</v>
      </c>
      <c r="X16" s="0" t="n">
        <f aca="false">1+COUNTIF($P16:$S16,"&gt;"&amp;$P16)+(COUNTIF($P16:$S16,$P16)-1)/2</f>
        <v>2</v>
      </c>
      <c r="Y16" s="0" t="n">
        <f aca="false">1+COUNTIF($P16:$S16,"&gt;"&amp;$Q16)+(COUNTIF($P16:$S16,$Q16)-1)/2</f>
        <v>1</v>
      </c>
      <c r="Z16" s="0" t="n">
        <f aca="false">1+COUNTIF($P16:$S16,"&gt;"&amp;$R16)+(COUNTIF($P16:$S16,$R16)-1)/2</f>
        <v>3</v>
      </c>
      <c r="AA16" s="0" t="n">
        <f aca="false">1+COUNTIF($P16:$S16,"&gt;"&amp;$S16)+(COUNTIF($P16:$S16,$S16)-1)/2</f>
        <v>4</v>
      </c>
      <c r="AB16" s="0" t="n">
        <f aca="false">1+COUNTIF($T16:$W16,"&gt;"&amp;$T16)+(COUNTIF($T16:$W16,$T16)-1)/2</f>
        <v>4</v>
      </c>
      <c r="AC16" s="0" t="n">
        <f aca="false">1+COUNTIF($T16:$W16,"&gt;"&amp;$U16)+(COUNTIF($T16:$W16,$U16)-1)/2</f>
        <v>1</v>
      </c>
      <c r="AD16" s="0" t="n">
        <f aca="false">1+COUNTIF($T16:$W16,"&gt;"&amp;$V16)+(COUNTIF($T16:$W16,$V16)-1)/2</f>
        <v>2</v>
      </c>
      <c r="AE16" s="0" t="n">
        <f aca="false">1+COUNTIF($T16:$W16,"&gt;"&amp;$W16)+(COUNTIF($T16:$W16,$W16)-1)/2</f>
        <v>3</v>
      </c>
      <c r="AF16" s="0" t="n">
        <f aca="false">IFERROR(CORREL($P16:$S16,$T16:$W16),"")</f>
        <v>0.599165563813656</v>
      </c>
      <c r="AG16" s="0" t="n">
        <f aca="false">IFERROR(CORREL($X16:$AA16,$AB16:$AE16),"")</f>
        <v>0.4</v>
      </c>
      <c r="AH16" s="0" t="n">
        <f aca="false">IFERROR((SIGN($P16-$Q16)*SIGN($T16-$U16)+SIGN($P16-$R16)*SIGN($T16-$V16)+SIGN($P16-$S16)*SIGN($T16-$W16)+SIGN($Q16-$R16)*SIGN($U16-$V16)+SIGN($Q16-$S16)*SIGN($U16-$W16)+SIGN($R16-$S16)*SIGN($V16-$W16))/SQRT((6-(($P16=$Q16)*1+($P16=$R16)*1+($P16=$S16)*1+($Q16=$R16)*1+($Q16=$S16)*1+($R16=$S16)*1))*(6-(($T16=$U16)*1+($T16=$V16)*1+($T16=$W16)*1+($U16=$V16)*1+($U16=$W16)*1+($V16=$W16)*1))),"")</f>
        <v>0.333333333333333</v>
      </c>
      <c r="AI16" s="0" t="n">
        <f aca="false">MATCH(MAX($K16:$O16),$K16:$O16,0)</f>
        <v>2</v>
      </c>
      <c r="AJ16" s="0" t="n">
        <f aca="false">IF(AI16&lt;&gt;$E16,1,0)</f>
        <v>1</v>
      </c>
      <c r="AK16" s="0" t="n">
        <f aca="false">IF(AJ16=1,INDEX($F16:$J16,AI16)/MAX($P16:$S16),"")</f>
        <v>1</v>
      </c>
      <c r="AL16" s="0" t="n">
        <f aca="false">IF(AJ16=1,1+COUNTIF($P16:$S16,"&gt;"&amp;INDEX($F16:$J16,AI16)),"")</f>
        <v>1</v>
      </c>
      <c r="AM16" s="0" t="n">
        <f aca="false">AVERAGE($P16:$S16)/MAX($P16:$S16)</f>
        <v>0.788915094339623</v>
      </c>
      <c r="AN16" s="0" t="n">
        <f aca="false">100-INDEX($F16:$J16,$E16)</f>
        <v>67</v>
      </c>
    </row>
    <row r="17" customFormat="false" ht="15" hidden="false" customHeight="false" outlineLevel="0" collapsed="false">
      <c r="A17" s="0" t="s">
        <v>40</v>
      </c>
      <c r="B17" s="0" t="n">
        <v>2025</v>
      </c>
      <c r="C17" s="0" t="s">
        <v>49</v>
      </c>
      <c r="D17" s="0" t="s">
        <v>42</v>
      </c>
      <c r="E17" s="0" t="n">
        <v>2</v>
      </c>
      <c r="F17" s="0" t="n">
        <v>11.3</v>
      </c>
      <c r="G17" s="0" t="n">
        <v>22.7</v>
      </c>
      <c r="H17" s="0" t="n">
        <v>7.5</v>
      </c>
      <c r="I17" s="0" t="n">
        <v>51.2</v>
      </c>
      <c r="J17" s="0" t="n">
        <v>7.3</v>
      </c>
      <c r="K17" s="0" t="n">
        <v>10.5304973425</v>
      </c>
      <c r="L17" s="0" t="n">
        <v>9.37748902604</v>
      </c>
      <c r="M17" s="0" t="n">
        <v>58.9860406921</v>
      </c>
      <c r="N17" s="0" t="n">
        <v>10.6184528466</v>
      </c>
      <c r="O17" s="0" t="n">
        <v>10.4875200928</v>
      </c>
      <c r="P17" s="0" t="n">
        <f aca="false">INDEX($F17:$J17,IF(1&lt;$E17,1,1+1))</f>
        <v>11.3</v>
      </c>
      <c r="Q17" s="0" t="n">
        <f aca="false">INDEX($F17:$J17,IF(2&lt;$E17,2,2+1))</f>
        <v>7.5</v>
      </c>
      <c r="R17" s="0" t="n">
        <f aca="false">INDEX($F17:$J17,IF(3&lt;$E17,3,3+1))</f>
        <v>51.2</v>
      </c>
      <c r="S17" s="0" t="n">
        <f aca="false">INDEX($F17:$J17,IF(4&lt;$E17,4,4+1))</f>
        <v>7.3</v>
      </c>
      <c r="T17" s="0" t="n">
        <f aca="false">INDEX($K17:$O17,IF(1&lt;$E17,1,1+1))</f>
        <v>10.5304973425</v>
      </c>
      <c r="U17" s="0" t="n">
        <f aca="false">INDEX($K17:$O17,IF(2&lt;$E17,2,2+1))</f>
        <v>58.9860406921</v>
      </c>
      <c r="V17" s="0" t="n">
        <f aca="false">INDEX($K17:$O17,IF(3&lt;$E17,3,3+1))</f>
        <v>10.6184528466</v>
      </c>
      <c r="W17" s="0" t="n">
        <f aca="false">INDEX($K17:$O17,IF(4&lt;$E17,4,4+1))</f>
        <v>10.4875200928</v>
      </c>
      <c r="X17" s="0" t="n">
        <f aca="false">1+COUNTIF($P17:$S17,"&gt;"&amp;$P17)+(COUNTIF($P17:$S17,$P17)-1)/2</f>
        <v>2</v>
      </c>
      <c r="Y17" s="0" t="n">
        <f aca="false">1+COUNTIF($P17:$S17,"&gt;"&amp;$Q17)+(COUNTIF($P17:$S17,$Q17)-1)/2</f>
        <v>3</v>
      </c>
      <c r="Z17" s="0" t="n">
        <f aca="false">1+COUNTIF($P17:$S17,"&gt;"&amp;$R17)+(COUNTIF($P17:$S17,$R17)-1)/2</f>
        <v>1</v>
      </c>
      <c r="AA17" s="0" t="n">
        <f aca="false">1+COUNTIF($P17:$S17,"&gt;"&amp;$S17)+(COUNTIF($P17:$S17,$S17)-1)/2</f>
        <v>4</v>
      </c>
      <c r="AB17" s="0" t="n">
        <f aca="false">1+COUNTIF($T17:$W17,"&gt;"&amp;$T17)+(COUNTIF($T17:$W17,$T17)-1)/2</f>
        <v>3</v>
      </c>
      <c r="AC17" s="0" t="n">
        <f aca="false">1+COUNTIF($T17:$W17,"&gt;"&amp;$U17)+(COUNTIF($T17:$W17,$U17)-1)/2</f>
        <v>1</v>
      </c>
      <c r="AD17" s="0" t="n">
        <f aca="false">1+COUNTIF($T17:$W17,"&gt;"&amp;$V17)+(COUNTIF($T17:$W17,$V17)-1)/2</f>
        <v>2</v>
      </c>
      <c r="AE17" s="0" t="n">
        <f aca="false">1+COUNTIF($T17:$W17,"&gt;"&amp;$W17)+(COUNTIF($T17:$W17,$W17)-1)/2</f>
        <v>4</v>
      </c>
      <c r="AF17" s="0" t="n">
        <f aca="false">IFERROR(CORREL($P17:$S17,$T17:$W17),"")</f>
        <v>-0.36756804763587</v>
      </c>
      <c r="AG17" s="0" t="n">
        <f aca="false">IFERROR(CORREL($X17:$AA17,$AB17:$AE17),"")</f>
        <v>0.4</v>
      </c>
      <c r="AH17" s="0" t="n">
        <f aca="false">IFERROR((SIGN($P17-$Q17)*SIGN($T17-$U17)+SIGN($P17-$R17)*SIGN($T17-$V17)+SIGN($P17-$S17)*SIGN($T17-$W17)+SIGN($Q17-$R17)*SIGN($U17-$V17)+SIGN($Q17-$S17)*SIGN($U17-$W17)+SIGN($R17-$S17)*SIGN($V17-$W17))/SQRT((6-(($P17=$Q17)*1+($P17=$R17)*1+($P17=$S17)*1+($Q17=$R17)*1+($Q17=$S17)*1+($R17=$S17)*1))*(6-(($T17=$U17)*1+($T17=$V17)*1+($T17=$W17)*1+($U17=$V17)*1+($U17=$W17)*1+($V17=$W17)*1))),"")</f>
        <v>0.333333333333333</v>
      </c>
      <c r="AI17" s="0" t="n">
        <f aca="false">MATCH(MAX($K17:$O17),$K17:$O17,0)</f>
        <v>3</v>
      </c>
      <c r="AJ17" s="0" t="n">
        <f aca="false">IF(AI17&lt;&gt;$E17,1,0)</f>
        <v>1</v>
      </c>
      <c r="AK17" s="0" t="n">
        <f aca="false">IF(AJ17=1,INDEX($F17:$J17,AI17)/MAX($P17:$S17),"")</f>
        <v>0.146484375</v>
      </c>
      <c r="AL17" s="0" t="n">
        <f aca="false">IF(AJ17=1,1+COUNTIF($P17:$S17,"&gt;"&amp;INDEX($F17:$J17,AI17)),"")</f>
        <v>3</v>
      </c>
      <c r="AM17" s="0" t="n">
        <f aca="false">AVERAGE($P17:$S17)/MAX($P17:$S17)</f>
        <v>0.37744140625</v>
      </c>
      <c r="AN17" s="0" t="n">
        <f aca="false">100-INDEX($F17:$J17,$E17)</f>
        <v>77.3</v>
      </c>
    </row>
    <row r="18" customFormat="false" ht="15" hidden="false" customHeight="false" outlineLevel="0" collapsed="false">
      <c r="A18" s="0" t="s">
        <v>40</v>
      </c>
      <c r="B18" s="0" t="n">
        <v>2025</v>
      </c>
      <c r="C18" s="0" t="s">
        <v>49</v>
      </c>
      <c r="D18" s="0" t="s">
        <v>43</v>
      </c>
      <c r="E18" s="0" t="n">
        <v>3</v>
      </c>
      <c r="F18" s="0" t="n">
        <v>18.7</v>
      </c>
      <c r="G18" s="0" t="n">
        <v>22.1</v>
      </c>
      <c r="H18" s="0" t="n">
        <v>33.2</v>
      </c>
      <c r="I18" s="0" t="n">
        <v>15.9</v>
      </c>
      <c r="J18" s="0" t="n">
        <v>10.1</v>
      </c>
      <c r="K18" s="0" t="n">
        <v>5.0090240538</v>
      </c>
      <c r="L18" s="0" t="n">
        <v>24.7341006787</v>
      </c>
      <c r="M18" s="0" t="n">
        <v>38.1557753843</v>
      </c>
      <c r="N18" s="0" t="n">
        <v>24.3159245048</v>
      </c>
      <c r="O18" s="0" t="n">
        <v>7.78517537829</v>
      </c>
      <c r="P18" s="0" t="n">
        <f aca="false">INDEX($F18:$J18,IF(1&lt;$E18,1,1+1))</f>
        <v>18.7</v>
      </c>
      <c r="Q18" s="0" t="n">
        <f aca="false">INDEX($F18:$J18,IF(2&lt;$E18,2,2+1))</f>
        <v>22.1</v>
      </c>
      <c r="R18" s="0" t="n">
        <f aca="false">INDEX($F18:$J18,IF(3&lt;$E18,3,3+1))</f>
        <v>15.9</v>
      </c>
      <c r="S18" s="0" t="n">
        <f aca="false">INDEX($F18:$J18,IF(4&lt;$E18,4,4+1))</f>
        <v>10.1</v>
      </c>
      <c r="T18" s="0" t="n">
        <f aca="false">INDEX($K18:$O18,IF(1&lt;$E18,1,1+1))</f>
        <v>5.0090240538</v>
      </c>
      <c r="U18" s="0" t="n">
        <f aca="false">INDEX($K18:$O18,IF(2&lt;$E18,2,2+1))</f>
        <v>24.7341006787</v>
      </c>
      <c r="V18" s="0" t="n">
        <f aca="false">INDEX($K18:$O18,IF(3&lt;$E18,3,3+1))</f>
        <v>24.3159245048</v>
      </c>
      <c r="W18" s="0" t="n">
        <f aca="false">INDEX($K18:$O18,IF(4&lt;$E18,4,4+1))</f>
        <v>7.78517537829</v>
      </c>
      <c r="X18" s="0" t="n">
        <f aca="false">1+COUNTIF($P18:$S18,"&gt;"&amp;$P18)+(COUNTIF($P18:$S18,$P18)-1)/2</f>
        <v>2</v>
      </c>
      <c r="Y18" s="0" t="n">
        <f aca="false">1+COUNTIF($P18:$S18,"&gt;"&amp;$Q18)+(COUNTIF($P18:$S18,$Q18)-1)/2</f>
        <v>1</v>
      </c>
      <c r="Z18" s="0" t="n">
        <f aca="false">1+COUNTIF($P18:$S18,"&gt;"&amp;$R18)+(COUNTIF($P18:$S18,$R18)-1)/2</f>
        <v>3</v>
      </c>
      <c r="AA18" s="0" t="n">
        <f aca="false">1+COUNTIF($P18:$S18,"&gt;"&amp;$S18)+(COUNTIF($P18:$S18,$S18)-1)/2</f>
        <v>4</v>
      </c>
      <c r="AB18" s="0" t="n">
        <f aca="false">1+COUNTIF($T18:$W18,"&gt;"&amp;$T18)+(COUNTIF($T18:$W18,$T18)-1)/2</f>
        <v>4</v>
      </c>
      <c r="AC18" s="0" t="n">
        <f aca="false">1+COUNTIF($T18:$W18,"&gt;"&amp;$U18)+(COUNTIF($T18:$W18,$U18)-1)/2</f>
        <v>1</v>
      </c>
      <c r="AD18" s="0" t="n">
        <f aca="false">1+COUNTIF($T18:$W18,"&gt;"&amp;$V18)+(COUNTIF($T18:$W18,$V18)-1)/2</f>
        <v>2</v>
      </c>
      <c r="AE18" s="0" t="n">
        <f aca="false">1+COUNTIF($T18:$W18,"&gt;"&amp;$W18)+(COUNTIF($T18:$W18,$W18)-1)/2</f>
        <v>3</v>
      </c>
      <c r="AF18" s="0" t="n">
        <f aca="false">IFERROR(CORREL($P18:$S18,$T18:$W18),"")</f>
        <v>0.453546891643136</v>
      </c>
      <c r="AG18" s="0" t="n">
        <f aca="false">IFERROR(CORREL($X18:$AA18,$AB18:$AE18),"")</f>
        <v>0.4</v>
      </c>
      <c r="AH18" s="0" t="n">
        <f aca="false">IFERROR((SIGN($P18-$Q18)*SIGN($T18-$U18)+SIGN($P18-$R18)*SIGN($T18-$V18)+SIGN($P18-$S18)*SIGN($T18-$W18)+SIGN($Q18-$R18)*SIGN($U18-$V18)+SIGN($Q18-$S18)*SIGN($U18-$W18)+SIGN($R18-$S18)*SIGN($V18-$W18))/SQRT((6-(($P18=$Q18)*1+($P18=$R18)*1+($P18=$S18)*1+($Q18=$R18)*1+($Q18=$S18)*1+($R18=$S18)*1))*(6-(($T18=$U18)*1+($T18=$V18)*1+($T18=$W18)*1+($U18=$V18)*1+($U18=$W18)*1+($V18=$W18)*1))),"")</f>
        <v>0.333333333333333</v>
      </c>
      <c r="AI18" s="0" t="n">
        <f aca="false">MATCH(MAX($K18:$O18),$K18:$O18,0)</f>
        <v>3</v>
      </c>
      <c r="AJ18" s="0" t="n">
        <f aca="false">IF(AI18&lt;&gt;$E18,1,0)</f>
        <v>0</v>
      </c>
      <c r="AK18" s="0" t="str">
        <f aca="false">IF(AJ18=1,INDEX($F18:$J18,AI18)/MAX($P18:$S18),"")</f>
        <v/>
      </c>
      <c r="AL18" s="0" t="str">
        <f aca="false">IF(AJ18=1,1+COUNTIF($P18:$S18,"&gt;"&amp;INDEX($F18:$J18,AI18)),"")</f>
        <v/>
      </c>
      <c r="AM18" s="0" t="n">
        <f aca="false">AVERAGE($P18:$S18)/MAX($P18:$S18)</f>
        <v>0.755656108597285</v>
      </c>
      <c r="AN18" s="0" t="n">
        <f aca="false">100-INDEX($F18:$J18,$E18)</f>
        <v>66.8</v>
      </c>
    </row>
    <row r="19" customFormat="false" ht="15" hidden="false" customHeight="false" outlineLevel="0" collapsed="false">
      <c r="A19" s="0" t="s">
        <v>40</v>
      </c>
      <c r="B19" s="0" t="n">
        <v>2025</v>
      </c>
      <c r="C19" s="0" t="s">
        <v>49</v>
      </c>
      <c r="D19" s="0" t="s">
        <v>44</v>
      </c>
      <c r="E19" s="0" t="n">
        <v>5</v>
      </c>
      <c r="F19" s="0" t="n">
        <v>17</v>
      </c>
      <c r="G19" s="0" t="n">
        <v>21.8</v>
      </c>
      <c r="H19" s="0" t="n">
        <v>23.9</v>
      </c>
      <c r="I19" s="0" t="n">
        <v>16.3</v>
      </c>
      <c r="J19" s="0" t="n">
        <v>21.1</v>
      </c>
      <c r="K19" s="0" t="n">
        <v>6.29911714294</v>
      </c>
      <c r="L19" s="0" t="n">
        <v>4.7218415852</v>
      </c>
      <c r="M19" s="0" t="n">
        <v>43.5243135984</v>
      </c>
      <c r="N19" s="0" t="n">
        <v>6.66105013659</v>
      </c>
      <c r="O19" s="0" t="n">
        <v>38.7936775369</v>
      </c>
      <c r="P19" s="0" t="n">
        <f aca="false">INDEX($F19:$J19,IF(1&lt;$E19,1,1+1))</f>
        <v>17</v>
      </c>
      <c r="Q19" s="0" t="n">
        <f aca="false">INDEX($F19:$J19,IF(2&lt;$E19,2,2+1))</f>
        <v>21.8</v>
      </c>
      <c r="R19" s="0" t="n">
        <f aca="false">INDEX($F19:$J19,IF(3&lt;$E19,3,3+1))</f>
        <v>23.9</v>
      </c>
      <c r="S19" s="0" t="n">
        <f aca="false">INDEX($F19:$J19,IF(4&lt;$E19,4,4+1))</f>
        <v>16.3</v>
      </c>
      <c r="T19" s="0" t="n">
        <f aca="false">INDEX($K19:$O19,IF(1&lt;$E19,1,1+1))</f>
        <v>6.29911714294</v>
      </c>
      <c r="U19" s="0" t="n">
        <f aca="false">INDEX($K19:$O19,IF(2&lt;$E19,2,2+1))</f>
        <v>4.7218415852</v>
      </c>
      <c r="V19" s="0" t="n">
        <f aca="false">INDEX($K19:$O19,IF(3&lt;$E19,3,3+1))</f>
        <v>43.5243135984</v>
      </c>
      <c r="W19" s="0" t="n">
        <f aca="false">INDEX($K19:$O19,IF(4&lt;$E19,4,4+1))</f>
        <v>6.66105013659</v>
      </c>
      <c r="X19" s="0" t="n">
        <f aca="false">1+COUNTIF($P19:$S19,"&gt;"&amp;$P19)+(COUNTIF($P19:$S19,$P19)-1)/2</f>
        <v>3</v>
      </c>
      <c r="Y19" s="0" t="n">
        <f aca="false">1+COUNTIF($P19:$S19,"&gt;"&amp;$Q19)+(COUNTIF($P19:$S19,$Q19)-1)/2</f>
        <v>2</v>
      </c>
      <c r="Z19" s="0" t="n">
        <f aca="false">1+COUNTIF($P19:$S19,"&gt;"&amp;$R19)+(COUNTIF($P19:$S19,$R19)-1)/2</f>
        <v>1</v>
      </c>
      <c r="AA19" s="0" t="n">
        <f aca="false">1+COUNTIF($P19:$S19,"&gt;"&amp;$S19)+(COUNTIF($P19:$S19,$S19)-1)/2</f>
        <v>4</v>
      </c>
      <c r="AB19" s="0" t="n">
        <f aca="false">1+COUNTIF($T19:$W19,"&gt;"&amp;$T19)+(COUNTIF($T19:$W19,$T19)-1)/2</f>
        <v>3</v>
      </c>
      <c r="AC19" s="0" t="n">
        <f aca="false">1+COUNTIF($T19:$W19,"&gt;"&amp;$U19)+(COUNTIF($T19:$W19,$U19)-1)/2</f>
        <v>4</v>
      </c>
      <c r="AD19" s="0" t="n">
        <f aca="false">1+COUNTIF($T19:$W19,"&gt;"&amp;$V19)+(COUNTIF($T19:$W19,$V19)-1)/2</f>
        <v>1</v>
      </c>
      <c r="AE19" s="0" t="n">
        <f aca="false">1+COUNTIF($T19:$W19,"&gt;"&amp;$W19)+(COUNTIF($T19:$W19,$W19)-1)/2</f>
        <v>2</v>
      </c>
      <c r="AF19" s="0" t="n">
        <f aca="false">IFERROR(CORREL($P19:$S19,$T19:$W19),"")</f>
        <v>0.719096387210901</v>
      </c>
      <c r="AG19" s="0" t="n">
        <f aca="false">IFERROR(CORREL($X19:$AA19,$AB19:$AE19),"")</f>
        <v>0.2</v>
      </c>
      <c r="AH19" s="0" t="n">
        <f aca="false">IFERROR((SIGN($P19-$Q19)*SIGN($T19-$U19)+SIGN($P19-$R19)*SIGN($T19-$V19)+SIGN($P19-$S19)*SIGN($T19-$W19)+SIGN($Q19-$R19)*SIGN($U19-$V19)+SIGN($Q19-$S19)*SIGN($U19-$W19)+SIGN($R19-$S19)*SIGN($V19-$W19))/SQRT((6-(($P19=$Q19)*1+($P19=$R19)*1+($P19=$S19)*1+($Q19=$R19)*1+($Q19=$S19)*1+($R19=$S19)*1))*(6-(($T19=$U19)*1+($T19=$V19)*1+($T19=$W19)*1+($U19=$V19)*1+($U19=$W19)*1+($V19=$W19)*1))),"")</f>
        <v>0</v>
      </c>
      <c r="AI19" s="0" t="n">
        <f aca="false">MATCH(MAX($K19:$O19),$K19:$O19,0)</f>
        <v>3</v>
      </c>
      <c r="AJ19" s="0" t="n">
        <f aca="false">IF(AI19&lt;&gt;$E19,1,0)</f>
        <v>1</v>
      </c>
      <c r="AK19" s="0" t="n">
        <f aca="false">IF(AJ19=1,INDEX($F19:$J19,AI19)/MAX($P19:$S19),"")</f>
        <v>1</v>
      </c>
      <c r="AL19" s="0" t="n">
        <f aca="false">IF(AJ19=1,1+COUNTIF($P19:$S19,"&gt;"&amp;INDEX($F19:$J19,AI19)),"")</f>
        <v>1</v>
      </c>
      <c r="AM19" s="0" t="n">
        <f aca="false">AVERAGE($P19:$S19)/MAX($P19:$S19)</f>
        <v>0.826359832635983</v>
      </c>
      <c r="AN19" s="0" t="n">
        <f aca="false">100-INDEX($F19:$J19,$E19)</f>
        <v>78.9</v>
      </c>
    </row>
    <row r="20" customFormat="false" ht="15" hidden="false" customHeight="false" outlineLevel="0" collapsed="false">
      <c r="A20" s="0" t="s">
        <v>40</v>
      </c>
      <c r="B20" s="0" t="n">
        <v>2025</v>
      </c>
      <c r="C20" s="0" t="s">
        <v>49</v>
      </c>
      <c r="D20" s="0" t="s">
        <v>45</v>
      </c>
      <c r="E20" s="0" t="n">
        <v>1</v>
      </c>
      <c r="F20" s="0" t="n">
        <v>26.8</v>
      </c>
      <c r="G20" s="0" t="n">
        <v>27.3</v>
      </c>
      <c r="H20" s="0" t="n">
        <v>18.4</v>
      </c>
      <c r="I20" s="0" t="n">
        <v>16.1</v>
      </c>
      <c r="J20" s="0" t="n">
        <v>11.4</v>
      </c>
      <c r="K20" s="0" t="n">
        <v>46.8040752298</v>
      </c>
      <c r="L20" s="0" t="n">
        <v>11.8233113793</v>
      </c>
      <c r="M20" s="0" t="n">
        <v>5.58076247886</v>
      </c>
      <c r="N20" s="0" t="n">
        <v>7.98704723419</v>
      </c>
      <c r="O20" s="0" t="n">
        <v>27.8048036779</v>
      </c>
      <c r="P20" s="0" t="n">
        <f aca="false">INDEX($F20:$J20,IF(1&lt;$E20,1,1+1))</f>
        <v>27.3</v>
      </c>
      <c r="Q20" s="0" t="n">
        <f aca="false">INDEX($F20:$J20,IF(2&lt;$E20,2,2+1))</f>
        <v>18.4</v>
      </c>
      <c r="R20" s="0" t="n">
        <f aca="false">INDEX($F20:$J20,IF(3&lt;$E20,3,3+1))</f>
        <v>16.1</v>
      </c>
      <c r="S20" s="0" t="n">
        <f aca="false">INDEX($F20:$J20,IF(4&lt;$E20,4,4+1))</f>
        <v>11.4</v>
      </c>
      <c r="T20" s="0" t="n">
        <f aca="false">INDEX($K20:$O20,IF(1&lt;$E20,1,1+1))</f>
        <v>11.8233113793</v>
      </c>
      <c r="U20" s="0" t="n">
        <f aca="false">INDEX($K20:$O20,IF(2&lt;$E20,2,2+1))</f>
        <v>5.58076247886</v>
      </c>
      <c r="V20" s="0" t="n">
        <f aca="false">INDEX($K20:$O20,IF(3&lt;$E20,3,3+1))</f>
        <v>7.98704723419</v>
      </c>
      <c r="W20" s="0" t="n">
        <f aca="false">INDEX($K20:$O20,IF(4&lt;$E20,4,4+1))</f>
        <v>27.8048036779</v>
      </c>
      <c r="X20" s="0" t="n">
        <f aca="false">1+COUNTIF($P20:$S20,"&gt;"&amp;$P20)+(COUNTIF($P20:$S20,$P20)-1)/2</f>
        <v>1</v>
      </c>
      <c r="Y20" s="0" t="n">
        <f aca="false">1+COUNTIF($P20:$S20,"&gt;"&amp;$Q20)+(COUNTIF($P20:$S20,$Q20)-1)/2</f>
        <v>2</v>
      </c>
      <c r="Z20" s="0" t="n">
        <f aca="false">1+COUNTIF($P20:$S20,"&gt;"&amp;$R20)+(COUNTIF($P20:$S20,$R20)-1)/2</f>
        <v>3</v>
      </c>
      <c r="AA20" s="0" t="n">
        <f aca="false">1+COUNTIF($P20:$S20,"&gt;"&amp;$S20)+(COUNTIF($P20:$S20,$S20)-1)/2</f>
        <v>4</v>
      </c>
      <c r="AB20" s="0" t="n">
        <f aca="false">1+COUNTIF($T20:$W20,"&gt;"&amp;$T20)+(COUNTIF($T20:$W20,$T20)-1)/2</f>
        <v>2</v>
      </c>
      <c r="AC20" s="0" t="n">
        <f aca="false">1+COUNTIF($T20:$W20,"&gt;"&amp;$U20)+(COUNTIF($T20:$W20,$U20)-1)/2</f>
        <v>4</v>
      </c>
      <c r="AD20" s="0" t="n">
        <f aca="false">1+COUNTIF($T20:$W20,"&gt;"&amp;$V20)+(COUNTIF($T20:$W20,$V20)-1)/2</f>
        <v>3</v>
      </c>
      <c r="AE20" s="0" t="n">
        <f aca="false">1+COUNTIF($T20:$W20,"&gt;"&amp;$W20)+(COUNTIF($T20:$W20,$W20)-1)/2</f>
        <v>1</v>
      </c>
      <c r="AF20" s="0" t="n">
        <f aca="false">IFERROR(CORREL($P20:$S20,$T20:$W20),"")</f>
        <v>-0.511713274346801</v>
      </c>
      <c r="AG20" s="0" t="n">
        <f aca="false">IFERROR(CORREL($X20:$AA20,$AB20:$AE20),"")</f>
        <v>-0.4</v>
      </c>
      <c r="AH20" s="0" t="n">
        <f aca="false">IFERROR((SIGN($P20-$Q20)*SIGN($T20-$U20)+SIGN($P20-$R20)*SIGN($T20-$V20)+SIGN($P20-$S20)*SIGN($T20-$W20)+SIGN($Q20-$R20)*SIGN($U20-$V20)+SIGN($Q20-$S20)*SIGN($U20-$W20)+SIGN($R20-$S20)*SIGN($V20-$W20))/SQRT((6-(($P20=$Q20)*1+($P20=$R20)*1+($P20=$S20)*1+($Q20=$R20)*1+($Q20=$S20)*1+($R20=$S20)*1))*(6-(($T20=$U20)*1+($T20=$V20)*1+($T20=$W20)*1+($U20=$V20)*1+($U20=$W20)*1+($V20=$W20)*1))),"")</f>
        <v>-0.333333333333333</v>
      </c>
      <c r="AI20" s="0" t="n">
        <f aca="false">MATCH(MAX($K20:$O20),$K20:$O20,0)</f>
        <v>1</v>
      </c>
      <c r="AJ20" s="0" t="n">
        <f aca="false">IF(AI20&lt;&gt;$E20,1,0)</f>
        <v>0</v>
      </c>
      <c r="AK20" s="0" t="str">
        <f aca="false">IF(AJ20=1,INDEX($F20:$J20,AI20)/MAX($P20:$S20),"")</f>
        <v/>
      </c>
      <c r="AL20" s="0" t="str">
        <f aca="false">IF(AJ20=1,1+COUNTIF($P20:$S20,"&gt;"&amp;INDEX($F20:$J20,AI20)),"")</f>
        <v/>
      </c>
      <c r="AM20" s="0" t="n">
        <f aca="false">AVERAGE($P20:$S20)/MAX($P20:$S20)</f>
        <v>0.67032967032967</v>
      </c>
      <c r="AN20" s="0" t="n">
        <f aca="false">100-INDEX($F20:$J20,$E20)</f>
        <v>73.2</v>
      </c>
    </row>
    <row r="21" customFormat="false" ht="15" hidden="false" customHeight="false" outlineLevel="0" collapsed="false">
      <c r="A21" s="0" t="s">
        <v>40</v>
      </c>
      <c r="B21" s="0" t="n">
        <v>2025</v>
      </c>
      <c r="C21" s="0" t="s">
        <v>50</v>
      </c>
      <c r="D21" s="0" t="s">
        <v>42</v>
      </c>
      <c r="E21" s="0" t="n">
        <v>1</v>
      </c>
      <c r="F21" s="0" t="n">
        <v>40.4</v>
      </c>
      <c r="G21" s="0" t="n">
        <v>22</v>
      </c>
      <c r="H21" s="0" t="n">
        <v>17.1</v>
      </c>
      <c r="I21" s="0" t="n">
        <v>16.1</v>
      </c>
      <c r="J21" s="0" t="n">
        <v>4.4</v>
      </c>
      <c r="K21" s="0" t="n">
        <v>53.2522752018</v>
      </c>
      <c r="L21" s="0" t="n">
        <v>12.0075612337</v>
      </c>
      <c r="M21" s="0" t="n">
        <v>18.1521843479</v>
      </c>
      <c r="N21" s="0" t="n">
        <v>2.74702732406</v>
      </c>
      <c r="O21" s="0" t="n">
        <v>13.8409518925</v>
      </c>
      <c r="P21" s="0" t="n">
        <f aca="false">INDEX($F21:$J21,IF(1&lt;$E21,1,1+1))</f>
        <v>22</v>
      </c>
      <c r="Q21" s="0" t="n">
        <f aca="false">INDEX($F21:$J21,IF(2&lt;$E21,2,2+1))</f>
        <v>17.1</v>
      </c>
      <c r="R21" s="0" t="n">
        <f aca="false">INDEX($F21:$J21,IF(3&lt;$E21,3,3+1))</f>
        <v>16.1</v>
      </c>
      <c r="S21" s="0" t="n">
        <f aca="false">INDEX($F21:$J21,IF(4&lt;$E21,4,4+1))</f>
        <v>4.4</v>
      </c>
      <c r="T21" s="0" t="n">
        <f aca="false">INDEX($K21:$O21,IF(1&lt;$E21,1,1+1))</f>
        <v>12.0075612337</v>
      </c>
      <c r="U21" s="0" t="n">
        <f aca="false">INDEX($K21:$O21,IF(2&lt;$E21,2,2+1))</f>
        <v>18.1521843479</v>
      </c>
      <c r="V21" s="0" t="n">
        <f aca="false">INDEX($K21:$O21,IF(3&lt;$E21,3,3+1))</f>
        <v>2.74702732406</v>
      </c>
      <c r="W21" s="0" t="n">
        <f aca="false">INDEX($K21:$O21,IF(4&lt;$E21,4,4+1))</f>
        <v>13.8409518925</v>
      </c>
      <c r="X21" s="0" t="n">
        <f aca="false">1+COUNTIF($P21:$S21,"&gt;"&amp;$P21)+(COUNTIF($P21:$S21,$P21)-1)/2</f>
        <v>1</v>
      </c>
      <c r="Y21" s="0" t="n">
        <f aca="false">1+COUNTIF($P21:$S21,"&gt;"&amp;$Q21)+(COUNTIF($P21:$S21,$Q21)-1)/2</f>
        <v>2</v>
      </c>
      <c r="Z21" s="0" t="n">
        <f aca="false">1+COUNTIF($P21:$S21,"&gt;"&amp;$R21)+(COUNTIF($P21:$S21,$R21)-1)/2</f>
        <v>3</v>
      </c>
      <c r="AA21" s="0" t="n">
        <f aca="false">1+COUNTIF($P21:$S21,"&gt;"&amp;$S21)+(COUNTIF($P21:$S21,$S21)-1)/2</f>
        <v>4</v>
      </c>
      <c r="AB21" s="0" t="n">
        <f aca="false">1+COUNTIF($T21:$W21,"&gt;"&amp;$T21)+(COUNTIF($T21:$W21,$T21)-1)/2</f>
        <v>3</v>
      </c>
      <c r="AC21" s="0" t="n">
        <f aca="false">1+COUNTIF($T21:$W21,"&gt;"&amp;$U21)+(COUNTIF($T21:$W21,$U21)-1)/2</f>
        <v>1</v>
      </c>
      <c r="AD21" s="0" t="n">
        <f aca="false">1+COUNTIF($T21:$W21,"&gt;"&amp;$V21)+(COUNTIF($T21:$W21,$V21)-1)/2</f>
        <v>4</v>
      </c>
      <c r="AE21" s="0" t="n">
        <f aca="false">1+COUNTIF($T21:$W21,"&gt;"&amp;$W21)+(COUNTIF($T21:$W21,$W21)-1)/2</f>
        <v>2</v>
      </c>
      <c r="AF21" s="0" t="n">
        <f aca="false">IFERROR(CORREL($P21:$S21,$T21:$W21),"")</f>
        <v>-0.115933573780442</v>
      </c>
      <c r="AG21" s="0" t="n">
        <f aca="false">IFERROR(CORREL($X21:$AA21,$AB21:$AE21),"")</f>
        <v>0</v>
      </c>
      <c r="AH21" s="0" t="n">
        <f aca="false">IFERROR((SIGN($P21-$Q21)*SIGN($T21-$U21)+SIGN($P21-$R21)*SIGN($T21-$V21)+SIGN($P21-$S21)*SIGN($T21-$W21)+SIGN($Q21-$R21)*SIGN($U21-$V21)+SIGN($Q21-$S21)*SIGN($U21-$W21)+SIGN($R21-$S21)*SIGN($V21-$W21))/SQRT((6-(($P21=$Q21)*1+($P21=$R21)*1+($P21=$S21)*1+($Q21=$R21)*1+($Q21=$S21)*1+($R21=$S21)*1))*(6-(($T21=$U21)*1+($T21=$V21)*1+($T21=$W21)*1+($U21=$V21)*1+($U21=$W21)*1+($V21=$W21)*1))),"")</f>
        <v>0</v>
      </c>
      <c r="AI21" s="0" t="n">
        <f aca="false">MATCH(MAX($K21:$O21),$K21:$O21,0)</f>
        <v>1</v>
      </c>
      <c r="AJ21" s="0" t="n">
        <f aca="false">IF(AI21&lt;&gt;$E21,1,0)</f>
        <v>0</v>
      </c>
      <c r="AK21" s="0" t="str">
        <f aca="false">IF(AJ21=1,INDEX($F21:$J21,AI21)/MAX($P21:$S21),"")</f>
        <v/>
      </c>
      <c r="AL21" s="0" t="str">
        <f aca="false">IF(AJ21=1,1+COUNTIF($P21:$S21,"&gt;"&amp;INDEX($F21:$J21,AI21)),"")</f>
        <v/>
      </c>
      <c r="AM21" s="0" t="n">
        <f aca="false">AVERAGE($P21:$S21)/MAX($P21:$S21)</f>
        <v>0.677272727272727</v>
      </c>
      <c r="AN21" s="0" t="n">
        <f aca="false">100-INDEX($F21:$J21,$E21)</f>
        <v>59.6</v>
      </c>
    </row>
    <row r="22" customFormat="false" ht="15" hidden="false" customHeight="false" outlineLevel="0" collapsed="false">
      <c r="A22" s="0" t="s">
        <v>40</v>
      </c>
      <c r="B22" s="0" t="n">
        <v>2025</v>
      </c>
      <c r="C22" s="0" t="s">
        <v>50</v>
      </c>
      <c r="D22" s="0" t="s">
        <v>43</v>
      </c>
      <c r="E22" s="0" t="n">
        <v>1</v>
      </c>
      <c r="F22" s="0" t="n">
        <v>48.6</v>
      </c>
      <c r="G22" s="0" t="n">
        <v>13.6</v>
      </c>
      <c r="H22" s="0" t="n">
        <v>11.8</v>
      </c>
      <c r="I22" s="0" t="n">
        <v>16.9</v>
      </c>
      <c r="J22" s="0" t="n">
        <v>9.1</v>
      </c>
      <c r="K22" s="0" t="n">
        <v>54.007304003</v>
      </c>
      <c r="L22" s="0" t="n">
        <v>5.55459847329</v>
      </c>
      <c r="M22" s="0" t="n">
        <v>4.51893444046</v>
      </c>
      <c r="N22" s="0" t="n">
        <v>26.548944992</v>
      </c>
      <c r="O22" s="0" t="n">
        <v>9.37021809124</v>
      </c>
      <c r="P22" s="0" t="n">
        <f aca="false">INDEX($F22:$J22,IF(1&lt;$E22,1,1+1))</f>
        <v>13.6</v>
      </c>
      <c r="Q22" s="0" t="n">
        <f aca="false">INDEX($F22:$J22,IF(2&lt;$E22,2,2+1))</f>
        <v>11.8</v>
      </c>
      <c r="R22" s="0" t="n">
        <f aca="false">INDEX($F22:$J22,IF(3&lt;$E22,3,3+1))</f>
        <v>16.9</v>
      </c>
      <c r="S22" s="0" t="n">
        <f aca="false">INDEX($F22:$J22,IF(4&lt;$E22,4,4+1))</f>
        <v>9.1</v>
      </c>
      <c r="T22" s="0" t="n">
        <f aca="false">INDEX($K22:$O22,IF(1&lt;$E22,1,1+1))</f>
        <v>5.55459847329</v>
      </c>
      <c r="U22" s="0" t="n">
        <f aca="false">INDEX($K22:$O22,IF(2&lt;$E22,2,2+1))</f>
        <v>4.51893444046</v>
      </c>
      <c r="V22" s="0" t="n">
        <f aca="false">INDEX($K22:$O22,IF(3&lt;$E22,3,3+1))</f>
        <v>26.548944992</v>
      </c>
      <c r="W22" s="0" t="n">
        <f aca="false">INDEX($K22:$O22,IF(4&lt;$E22,4,4+1))</f>
        <v>9.37021809124</v>
      </c>
      <c r="X22" s="0" t="n">
        <f aca="false">1+COUNTIF($P22:$S22,"&gt;"&amp;$P22)+(COUNTIF($P22:$S22,$P22)-1)/2</f>
        <v>2</v>
      </c>
      <c r="Y22" s="0" t="n">
        <f aca="false">1+COUNTIF($P22:$S22,"&gt;"&amp;$Q22)+(COUNTIF($P22:$S22,$Q22)-1)/2</f>
        <v>3</v>
      </c>
      <c r="Z22" s="0" t="n">
        <f aca="false">1+COUNTIF($P22:$S22,"&gt;"&amp;$R22)+(COUNTIF($P22:$S22,$R22)-1)/2</f>
        <v>1</v>
      </c>
      <c r="AA22" s="0" t="n">
        <f aca="false">1+COUNTIF($P22:$S22,"&gt;"&amp;$S22)+(COUNTIF($P22:$S22,$S22)-1)/2</f>
        <v>4</v>
      </c>
      <c r="AB22" s="0" t="n">
        <f aca="false">1+COUNTIF($T22:$W22,"&gt;"&amp;$T22)+(COUNTIF($T22:$W22,$T22)-1)/2</f>
        <v>3</v>
      </c>
      <c r="AC22" s="0" t="n">
        <f aca="false">1+COUNTIF($T22:$W22,"&gt;"&amp;$U22)+(COUNTIF($T22:$W22,$U22)-1)/2</f>
        <v>4</v>
      </c>
      <c r="AD22" s="0" t="n">
        <f aca="false">1+COUNTIF($T22:$W22,"&gt;"&amp;$V22)+(COUNTIF($T22:$W22,$V22)-1)/2</f>
        <v>1</v>
      </c>
      <c r="AE22" s="0" t="n">
        <f aca="false">1+COUNTIF($T22:$W22,"&gt;"&amp;$W22)+(COUNTIF($T22:$W22,$W22)-1)/2</f>
        <v>2</v>
      </c>
      <c r="AF22" s="0" t="n">
        <f aca="false">IFERROR(CORREL($P22:$S22,$T22:$W22),"")</f>
        <v>0.713654610238313</v>
      </c>
      <c r="AG22" s="0" t="n">
        <f aca="false">IFERROR(CORREL($X22:$AA22,$AB22:$AE22),"")</f>
        <v>0.4</v>
      </c>
      <c r="AH22" s="0" t="n">
        <f aca="false">IFERROR((SIGN($P22-$Q22)*SIGN($T22-$U22)+SIGN($P22-$R22)*SIGN($T22-$V22)+SIGN($P22-$S22)*SIGN($T22-$W22)+SIGN($Q22-$R22)*SIGN($U22-$V22)+SIGN($Q22-$S22)*SIGN($U22-$W22)+SIGN($R22-$S22)*SIGN($V22-$W22))/SQRT((6-(($P22=$Q22)*1+($P22=$R22)*1+($P22=$S22)*1+($Q22=$R22)*1+($Q22=$S22)*1+($R22=$S22)*1))*(6-(($T22=$U22)*1+($T22=$V22)*1+($T22=$W22)*1+($U22=$V22)*1+($U22=$W22)*1+($V22=$W22)*1))),"")</f>
        <v>0.333333333333333</v>
      </c>
      <c r="AI22" s="0" t="n">
        <f aca="false">MATCH(MAX($K22:$O22),$K22:$O22,0)</f>
        <v>1</v>
      </c>
      <c r="AJ22" s="0" t="n">
        <f aca="false">IF(AI22&lt;&gt;$E22,1,0)</f>
        <v>0</v>
      </c>
      <c r="AK22" s="0" t="str">
        <f aca="false">IF(AJ22=1,INDEX($F22:$J22,AI22)/MAX($P22:$S22),"")</f>
        <v/>
      </c>
      <c r="AL22" s="0" t="str">
        <f aca="false">IF(AJ22=1,1+COUNTIF($P22:$S22,"&gt;"&amp;INDEX($F22:$J22,AI22)),"")</f>
        <v/>
      </c>
      <c r="AM22" s="0" t="n">
        <f aca="false">AVERAGE($P22:$S22)/MAX($P22:$S22)</f>
        <v>0.760355029585799</v>
      </c>
      <c r="AN22" s="0" t="n">
        <f aca="false">100-INDEX($F22:$J22,$E22)</f>
        <v>51.4</v>
      </c>
    </row>
    <row r="23" customFormat="false" ht="15" hidden="false" customHeight="false" outlineLevel="0" collapsed="false">
      <c r="A23" s="0" t="s">
        <v>40</v>
      </c>
      <c r="B23" s="0" t="n">
        <v>2025</v>
      </c>
      <c r="C23" s="0" t="s">
        <v>50</v>
      </c>
      <c r="D23" s="0" t="s">
        <v>44</v>
      </c>
      <c r="E23" s="0" t="n">
        <v>3</v>
      </c>
      <c r="F23" s="0" t="n">
        <v>11.7</v>
      </c>
      <c r="G23" s="0" t="n">
        <v>15.1</v>
      </c>
      <c r="H23" s="0" t="n">
        <v>51.5</v>
      </c>
      <c r="I23" s="0" t="n">
        <v>10.8</v>
      </c>
      <c r="J23" s="0" t="n">
        <v>10.9</v>
      </c>
      <c r="K23" s="0" t="n">
        <v>4.26589611136</v>
      </c>
      <c r="L23" s="0" t="n">
        <v>40.2592622971</v>
      </c>
      <c r="M23" s="0" t="n">
        <v>48.9775543775</v>
      </c>
      <c r="N23" s="0" t="n">
        <v>4.62947575744</v>
      </c>
      <c r="O23" s="0" t="n">
        <v>1.86781145659</v>
      </c>
      <c r="P23" s="0" t="n">
        <f aca="false">INDEX($F23:$J23,IF(1&lt;$E23,1,1+1))</f>
        <v>11.7</v>
      </c>
      <c r="Q23" s="0" t="n">
        <f aca="false">INDEX($F23:$J23,IF(2&lt;$E23,2,2+1))</f>
        <v>15.1</v>
      </c>
      <c r="R23" s="0" t="n">
        <f aca="false">INDEX($F23:$J23,IF(3&lt;$E23,3,3+1))</f>
        <v>10.8</v>
      </c>
      <c r="S23" s="0" t="n">
        <f aca="false">INDEX($F23:$J23,IF(4&lt;$E23,4,4+1))</f>
        <v>10.9</v>
      </c>
      <c r="T23" s="0" t="n">
        <f aca="false">INDEX($K23:$O23,IF(1&lt;$E23,1,1+1))</f>
        <v>4.26589611136</v>
      </c>
      <c r="U23" s="0" t="n">
        <f aca="false">INDEX($K23:$O23,IF(2&lt;$E23,2,2+1))</f>
        <v>40.2592622971</v>
      </c>
      <c r="V23" s="0" t="n">
        <f aca="false">INDEX($K23:$O23,IF(3&lt;$E23,3,3+1))</f>
        <v>4.62947575744</v>
      </c>
      <c r="W23" s="0" t="n">
        <f aca="false">INDEX($K23:$O23,IF(4&lt;$E23,4,4+1))</f>
        <v>1.86781145659</v>
      </c>
      <c r="X23" s="0" t="n">
        <f aca="false">1+COUNTIF($P23:$S23,"&gt;"&amp;$P23)+(COUNTIF($P23:$S23,$P23)-1)/2</f>
        <v>2</v>
      </c>
      <c r="Y23" s="0" t="n">
        <f aca="false">1+COUNTIF($P23:$S23,"&gt;"&amp;$Q23)+(COUNTIF($P23:$S23,$Q23)-1)/2</f>
        <v>1</v>
      </c>
      <c r="Z23" s="0" t="n">
        <f aca="false">1+COUNTIF($P23:$S23,"&gt;"&amp;$R23)+(COUNTIF($P23:$S23,$R23)-1)/2</f>
        <v>4</v>
      </c>
      <c r="AA23" s="0" t="n">
        <f aca="false">1+COUNTIF($P23:$S23,"&gt;"&amp;$S23)+(COUNTIF($P23:$S23,$S23)-1)/2</f>
        <v>3</v>
      </c>
      <c r="AB23" s="0" t="n">
        <f aca="false">1+COUNTIF($T23:$W23,"&gt;"&amp;$T23)+(COUNTIF($T23:$W23,$T23)-1)/2</f>
        <v>3</v>
      </c>
      <c r="AC23" s="0" t="n">
        <f aca="false">1+COUNTIF($T23:$W23,"&gt;"&amp;$U23)+(COUNTIF($T23:$W23,$U23)-1)/2</f>
        <v>1</v>
      </c>
      <c r="AD23" s="0" t="n">
        <f aca="false">1+COUNTIF($T23:$W23,"&gt;"&amp;$V23)+(COUNTIF($T23:$W23,$V23)-1)/2</f>
        <v>2</v>
      </c>
      <c r="AE23" s="0" t="n">
        <f aca="false">1+COUNTIF($T23:$W23,"&gt;"&amp;$W23)+(COUNTIF($T23:$W23,$W23)-1)/2</f>
        <v>4</v>
      </c>
      <c r="AF23" s="0" t="n">
        <f aca="false">IFERROR(CORREL($P23:$S23,$T23:$W23),"")</f>
        <v>0.981745042479039</v>
      </c>
      <c r="AG23" s="0" t="n">
        <f aca="false">IFERROR(CORREL($X23:$AA23,$AB23:$AE23),"")</f>
        <v>0.4</v>
      </c>
      <c r="AH23" s="0" t="n">
        <f aca="false">IFERROR((SIGN($P23-$Q23)*SIGN($T23-$U23)+SIGN($P23-$R23)*SIGN($T23-$V23)+SIGN($P23-$S23)*SIGN($T23-$W23)+SIGN($Q23-$R23)*SIGN($U23-$V23)+SIGN($Q23-$S23)*SIGN($U23-$W23)+SIGN($R23-$S23)*SIGN($V23-$W23))/SQRT((6-(($P23=$Q23)*1+($P23=$R23)*1+($P23=$S23)*1+($Q23=$R23)*1+($Q23=$S23)*1+($R23=$S23)*1))*(6-(($T23=$U23)*1+($T23=$V23)*1+($T23=$W23)*1+($U23=$V23)*1+($U23=$W23)*1+($V23=$W23)*1))),"")</f>
        <v>0.333333333333333</v>
      </c>
      <c r="AI23" s="0" t="n">
        <f aca="false">MATCH(MAX($K23:$O23),$K23:$O23,0)</f>
        <v>3</v>
      </c>
      <c r="AJ23" s="0" t="n">
        <f aca="false">IF(AI23&lt;&gt;$E23,1,0)</f>
        <v>0</v>
      </c>
      <c r="AK23" s="0" t="str">
        <f aca="false">IF(AJ23=1,INDEX($F23:$J23,AI23)/MAX($P23:$S23),"")</f>
        <v/>
      </c>
      <c r="AL23" s="0" t="str">
        <f aca="false">IF(AJ23=1,1+COUNTIF($P23:$S23,"&gt;"&amp;INDEX($F23:$J23,AI23)),"")</f>
        <v/>
      </c>
      <c r="AM23" s="0" t="n">
        <f aca="false">AVERAGE($P23:$S23)/MAX($P23:$S23)</f>
        <v>0.802980132450331</v>
      </c>
      <c r="AN23" s="0" t="n">
        <f aca="false">100-INDEX($F23:$J23,$E23)</f>
        <v>48.5</v>
      </c>
    </row>
    <row r="24" customFormat="false" ht="15" hidden="false" customHeight="false" outlineLevel="0" collapsed="false">
      <c r="A24" s="0" t="s">
        <v>40</v>
      </c>
      <c r="B24" s="0" t="n">
        <v>2025</v>
      </c>
      <c r="C24" s="0" t="s">
        <v>50</v>
      </c>
      <c r="D24" s="0" t="s">
        <v>45</v>
      </c>
      <c r="E24" s="0" t="n">
        <v>5</v>
      </c>
      <c r="F24" s="0" t="n">
        <v>17.1</v>
      </c>
      <c r="G24" s="0" t="n">
        <v>20.4</v>
      </c>
      <c r="H24" s="0" t="n">
        <v>19</v>
      </c>
      <c r="I24" s="0" t="n">
        <v>16.7</v>
      </c>
      <c r="J24" s="0" t="n">
        <v>26.8</v>
      </c>
      <c r="K24" s="0" t="n">
        <v>1.14004161078</v>
      </c>
      <c r="L24" s="0" t="n">
        <v>2.70604622308</v>
      </c>
      <c r="M24" s="0" t="n">
        <v>4.01273666533</v>
      </c>
      <c r="N24" s="0" t="n">
        <v>46.5783129922</v>
      </c>
      <c r="O24" s="0" t="n">
        <v>45.5628625086</v>
      </c>
      <c r="P24" s="0" t="n">
        <f aca="false">INDEX($F24:$J24,IF(1&lt;$E24,1,1+1))</f>
        <v>17.1</v>
      </c>
      <c r="Q24" s="0" t="n">
        <f aca="false">INDEX($F24:$J24,IF(2&lt;$E24,2,2+1))</f>
        <v>20.4</v>
      </c>
      <c r="R24" s="0" t="n">
        <f aca="false">INDEX($F24:$J24,IF(3&lt;$E24,3,3+1))</f>
        <v>19</v>
      </c>
      <c r="S24" s="0" t="n">
        <f aca="false">INDEX($F24:$J24,IF(4&lt;$E24,4,4+1))</f>
        <v>16.7</v>
      </c>
      <c r="T24" s="0" t="n">
        <f aca="false">INDEX($K24:$O24,IF(1&lt;$E24,1,1+1))</f>
        <v>1.14004161078</v>
      </c>
      <c r="U24" s="0" t="n">
        <f aca="false">INDEX($K24:$O24,IF(2&lt;$E24,2,2+1))</f>
        <v>2.70604622308</v>
      </c>
      <c r="V24" s="0" t="n">
        <f aca="false">INDEX($K24:$O24,IF(3&lt;$E24,3,3+1))</f>
        <v>4.01273666533</v>
      </c>
      <c r="W24" s="0" t="n">
        <f aca="false">INDEX($K24:$O24,IF(4&lt;$E24,4,4+1))</f>
        <v>46.5783129922</v>
      </c>
      <c r="X24" s="0" t="n">
        <f aca="false">1+COUNTIF($P24:$S24,"&gt;"&amp;$P24)+(COUNTIF($P24:$S24,$P24)-1)/2</f>
        <v>3</v>
      </c>
      <c r="Y24" s="0" t="n">
        <f aca="false">1+COUNTIF($P24:$S24,"&gt;"&amp;$Q24)+(COUNTIF($P24:$S24,$Q24)-1)/2</f>
        <v>1</v>
      </c>
      <c r="Z24" s="0" t="n">
        <f aca="false">1+COUNTIF($P24:$S24,"&gt;"&amp;$R24)+(COUNTIF($P24:$S24,$R24)-1)/2</f>
        <v>2</v>
      </c>
      <c r="AA24" s="0" t="n">
        <f aca="false">1+COUNTIF($P24:$S24,"&gt;"&amp;$S24)+(COUNTIF($P24:$S24,$S24)-1)/2</f>
        <v>4</v>
      </c>
      <c r="AB24" s="0" t="n">
        <f aca="false">1+COUNTIF($T24:$W24,"&gt;"&amp;$T24)+(COUNTIF($T24:$W24,$T24)-1)/2</f>
        <v>4</v>
      </c>
      <c r="AC24" s="0" t="n">
        <f aca="false">1+COUNTIF($T24:$W24,"&gt;"&amp;$U24)+(COUNTIF($T24:$W24,$U24)-1)/2</f>
        <v>3</v>
      </c>
      <c r="AD24" s="0" t="n">
        <f aca="false">1+COUNTIF($T24:$W24,"&gt;"&amp;$V24)+(COUNTIF($T24:$W24,$V24)-1)/2</f>
        <v>2</v>
      </c>
      <c r="AE24" s="0" t="n">
        <f aca="false">1+COUNTIF($T24:$W24,"&gt;"&amp;$W24)+(COUNTIF($T24:$W24,$W24)-1)/2</f>
        <v>1</v>
      </c>
      <c r="AF24" s="0" t="n">
        <f aca="false">IFERROR(CORREL($P24:$S24,$T24:$W24),"")</f>
        <v>-0.592627148453139</v>
      </c>
      <c r="AG24" s="0" t="n">
        <f aca="false">IFERROR(CORREL($X24:$AA24,$AB24:$AE24),"")</f>
        <v>-0.4</v>
      </c>
      <c r="AH24" s="0" t="n">
        <f aca="false">IFERROR((SIGN($P24-$Q24)*SIGN($T24-$U24)+SIGN($P24-$R24)*SIGN($T24-$V24)+SIGN($P24-$S24)*SIGN($T24-$W24)+SIGN($Q24-$R24)*SIGN($U24-$V24)+SIGN($Q24-$S24)*SIGN($U24-$W24)+SIGN($R24-$S24)*SIGN($V24-$W24))/SQRT((6-(($P24=$Q24)*1+($P24=$R24)*1+($P24=$S24)*1+($Q24=$R24)*1+($Q24=$S24)*1+($R24=$S24)*1))*(6-(($T24=$U24)*1+($T24=$V24)*1+($T24=$W24)*1+($U24=$V24)*1+($U24=$W24)*1+($V24=$W24)*1))),"")</f>
        <v>-0.333333333333333</v>
      </c>
      <c r="AI24" s="0" t="n">
        <f aca="false">MATCH(MAX($K24:$O24),$K24:$O24,0)</f>
        <v>4</v>
      </c>
      <c r="AJ24" s="0" t="n">
        <f aca="false">IF(AI24&lt;&gt;$E24,1,0)</f>
        <v>1</v>
      </c>
      <c r="AK24" s="0" t="n">
        <f aca="false">IF(AJ24=1,INDEX($F24:$J24,AI24)/MAX($P24:$S24),"")</f>
        <v>0.818627450980392</v>
      </c>
      <c r="AL24" s="0" t="n">
        <f aca="false">IF(AJ24=1,1+COUNTIF($P24:$S24,"&gt;"&amp;INDEX($F24:$J24,AI24)),"")</f>
        <v>4</v>
      </c>
      <c r="AM24" s="0" t="n">
        <f aca="false">AVERAGE($P24:$S24)/MAX($P24:$S24)</f>
        <v>0.897058823529412</v>
      </c>
      <c r="AN24" s="0" t="n">
        <f aca="false">100-INDEX($F24:$J24,$E24)</f>
        <v>73.2</v>
      </c>
    </row>
    <row r="25" customFormat="false" ht="15" hidden="false" customHeight="false" outlineLevel="0" collapsed="false">
      <c r="A25" s="0" t="s">
        <v>40</v>
      </c>
      <c r="B25" s="0" t="n">
        <v>2025</v>
      </c>
      <c r="C25" s="0" t="s">
        <v>51</v>
      </c>
      <c r="D25" s="0" t="s">
        <v>42</v>
      </c>
      <c r="E25" s="0" t="n">
        <v>5</v>
      </c>
      <c r="F25" s="0" t="n">
        <v>10.3</v>
      </c>
      <c r="G25" s="0" t="n">
        <v>16.8</v>
      </c>
      <c r="H25" s="0" t="n">
        <v>11.2</v>
      </c>
      <c r="I25" s="0" t="n">
        <v>17.2</v>
      </c>
      <c r="J25" s="0" t="n">
        <v>44.6</v>
      </c>
      <c r="K25" s="0" t="n">
        <v>1.74468896818</v>
      </c>
      <c r="L25" s="0" t="n">
        <v>0.045034356751</v>
      </c>
      <c r="M25" s="0" t="n">
        <v>0.277482725441</v>
      </c>
      <c r="N25" s="0" t="n">
        <v>8.06888800225</v>
      </c>
      <c r="O25" s="0" t="n">
        <v>89.8639059474</v>
      </c>
      <c r="P25" s="0" t="n">
        <f aca="false">INDEX($F25:$J25,IF(1&lt;$E25,1,1+1))</f>
        <v>10.3</v>
      </c>
      <c r="Q25" s="0" t="n">
        <f aca="false">INDEX($F25:$J25,IF(2&lt;$E25,2,2+1))</f>
        <v>16.8</v>
      </c>
      <c r="R25" s="0" t="n">
        <f aca="false">INDEX($F25:$J25,IF(3&lt;$E25,3,3+1))</f>
        <v>11.2</v>
      </c>
      <c r="S25" s="0" t="n">
        <f aca="false">INDEX($F25:$J25,IF(4&lt;$E25,4,4+1))</f>
        <v>17.2</v>
      </c>
      <c r="T25" s="0" t="n">
        <f aca="false">INDEX($K25:$O25,IF(1&lt;$E25,1,1+1))</f>
        <v>1.74468896818</v>
      </c>
      <c r="U25" s="0" t="n">
        <f aca="false">INDEX($K25:$O25,IF(2&lt;$E25,2,2+1))</f>
        <v>0.045034356751</v>
      </c>
      <c r="V25" s="0" t="n">
        <f aca="false">INDEX($K25:$O25,IF(3&lt;$E25,3,3+1))</f>
        <v>0.277482725441</v>
      </c>
      <c r="W25" s="0" t="n">
        <f aca="false">INDEX($K25:$O25,IF(4&lt;$E25,4,4+1))</f>
        <v>8.06888800225</v>
      </c>
      <c r="X25" s="0" t="n">
        <f aca="false">1+COUNTIF($P25:$S25,"&gt;"&amp;$P25)+(COUNTIF($P25:$S25,$P25)-1)/2</f>
        <v>4</v>
      </c>
      <c r="Y25" s="0" t="n">
        <f aca="false">1+COUNTIF($P25:$S25,"&gt;"&amp;$Q25)+(COUNTIF($P25:$S25,$Q25)-1)/2</f>
        <v>2</v>
      </c>
      <c r="Z25" s="0" t="n">
        <f aca="false">1+COUNTIF($P25:$S25,"&gt;"&amp;$R25)+(COUNTIF($P25:$S25,$R25)-1)/2</f>
        <v>3</v>
      </c>
      <c r="AA25" s="0" t="n">
        <f aca="false">1+COUNTIF($P25:$S25,"&gt;"&amp;$S25)+(COUNTIF($P25:$S25,$S25)-1)/2</f>
        <v>1</v>
      </c>
      <c r="AB25" s="0" t="n">
        <f aca="false">1+COUNTIF($T25:$W25,"&gt;"&amp;$T25)+(COUNTIF($T25:$W25,$T25)-1)/2</f>
        <v>2</v>
      </c>
      <c r="AC25" s="0" t="n">
        <f aca="false">1+COUNTIF($T25:$W25,"&gt;"&amp;$U25)+(COUNTIF($T25:$W25,$U25)-1)/2</f>
        <v>4</v>
      </c>
      <c r="AD25" s="0" t="n">
        <f aca="false">1+COUNTIF($T25:$W25,"&gt;"&amp;$V25)+(COUNTIF($T25:$W25,$V25)-1)/2</f>
        <v>3</v>
      </c>
      <c r="AE25" s="0" t="n">
        <f aca="false">1+COUNTIF($T25:$W25,"&gt;"&amp;$W25)+(COUNTIF($T25:$W25,$W25)-1)/2</f>
        <v>1</v>
      </c>
      <c r="AF25" s="0" t="n">
        <f aca="false">IFERROR(CORREL($P25:$S25,$T25:$W25),"")</f>
        <v>0.4871242808512</v>
      </c>
      <c r="AG25" s="0" t="n">
        <f aca="false">IFERROR(CORREL($X25:$AA25,$AB25:$AE25),"")</f>
        <v>0.2</v>
      </c>
      <c r="AH25" s="0" t="n">
        <f aca="false">IFERROR((SIGN($P25-$Q25)*SIGN($T25-$U25)+SIGN($P25-$R25)*SIGN($T25-$V25)+SIGN($P25-$S25)*SIGN($T25-$W25)+SIGN($Q25-$R25)*SIGN($U25-$V25)+SIGN($Q25-$S25)*SIGN($U25-$W25)+SIGN($R25-$S25)*SIGN($V25-$W25))/SQRT((6-(($P25=$Q25)*1+($P25=$R25)*1+($P25=$S25)*1+($Q25=$R25)*1+($Q25=$S25)*1+($R25=$S25)*1))*(6-(($T25=$U25)*1+($T25=$V25)*1+($T25=$W25)*1+($U25=$V25)*1+($U25=$W25)*1+($V25=$W25)*1))),"")</f>
        <v>0</v>
      </c>
      <c r="AI25" s="0" t="n">
        <f aca="false">MATCH(MAX($K25:$O25),$K25:$O25,0)</f>
        <v>5</v>
      </c>
      <c r="AJ25" s="0" t="n">
        <f aca="false">IF(AI25&lt;&gt;$E25,1,0)</f>
        <v>0</v>
      </c>
      <c r="AK25" s="0" t="str">
        <f aca="false">IF(AJ25=1,INDEX($F25:$J25,AI25)/MAX($P25:$S25),"")</f>
        <v/>
      </c>
      <c r="AL25" s="0" t="str">
        <f aca="false">IF(AJ25=1,1+COUNTIF($P25:$S25,"&gt;"&amp;INDEX($F25:$J25,AI25)),"")</f>
        <v/>
      </c>
      <c r="AM25" s="0" t="n">
        <f aca="false">AVERAGE($P25:$S25)/MAX($P25:$S25)</f>
        <v>0.806686046511628</v>
      </c>
      <c r="AN25" s="0" t="n">
        <f aca="false">100-INDEX($F25:$J25,$E25)</f>
        <v>55.4</v>
      </c>
    </row>
    <row r="26" customFormat="false" ht="15" hidden="false" customHeight="false" outlineLevel="0" collapsed="false">
      <c r="A26" s="0" t="s">
        <v>40</v>
      </c>
      <c r="B26" s="0" t="n">
        <v>2025</v>
      </c>
      <c r="C26" s="0" t="s">
        <v>51</v>
      </c>
      <c r="D26" s="0" t="s">
        <v>43</v>
      </c>
      <c r="E26" s="0" t="n">
        <v>1</v>
      </c>
      <c r="F26" s="0" t="n">
        <v>43.9</v>
      </c>
      <c r="G26" s="0" t="n">
        <v>10.8</v>
      </c>
      <c r="H26" s="0" t="n">
        <v>13.2</v>
      </c>
      <c r="I26" s="0" t="n">
        <v>13.6</v>
      </c>
      <c r="J26" s="0" t="n">
        <v>18.4</v>
      </c>
      <c r="K26" s="0" t="n">
        <v>59.6178392032</v>
      </c>
      <c r="L26" s="0" t="n">
        <v>13.6693447413</v>
      </c>
      <c r="M26" s="0" t="n">
        <v>17.8551974392</v>
      </c>
      <c r="N26" s="0" t="n">
        <v>5.98259823809</v>
      </c>
      <c r="O26" s="0" t="n">
        <v>2.87502037818</v>
      </c>
      <c r="P26" s="0" t="n">
        <f aca="false">INDEX($F26:$J26,IF(1&lt;$E26,1,1+1))</f>
        <v>10.8</v>
      </c>
      <c r="Q26" s="0" t="n">
        <f aca="false">INDEX($F26:$J26,IF(2&lt;$E26,2,2+1))</f>
        <v>13.2</v>
      </c>
      <c r="R26" s="0" t="n">
        <f aca="false">INDEX($F26:$J26,IF(3&lt;$E26,3,3+1))</f>
        <v>13.6</v>
      </c>
      <c r="S26" s="0" t="n">
        <f aca="false">INDEX($F26:$J26,IF(4&lt;$E26,4,4+1))</f>
        <v>18.4</v>
      </c>
      <c r="T26" s="0" t="n">
        <f aca="false">INDEX($K26:$O26,IF(1&lt;$E26,1,1+1))</f>
        <v>13.6693447413</v>
      </c>
      <c r="U26" s="0" t="n">
        <f aca="false">INDEX($K26:$O26,IF(2&lt;$E26,2,2+1))</f>
        <v>17.8551974392</v>
      </c>
      <c r="V26" s="0" t="n">
        <f aca="false">INDEX($K26:$O26,IF(3&lt;$E26,3,3+1))</f>
        <v>5.98259823809</v>
      </c>
      <c r="W26" s="0" t="n">
        <f aca="false">INDEX($K26:$O26,IF(4&lt;$E26,4,4+1))</f>
        <v>2.87502037818</v>
      </c>
      <c r="X26" s="0" t="n">
        <f aca="false">1+COUNTIF($P26:$S26,"&gt;"&amp;$P26)+(COUNTIF($P26:$S26,$P26)-1)/2</f>
        <v>4</v>
      </c>
      <c r="Y26" s="0" t="n">
        <f aca="false">1+COUNTIF($P26:$S26,"&gt;"&amp;$Q26)+(COUNTIF($P26:$S26,$Q26)-1)/2</f>
        <v>3</v>
      </c>
      <c r="Z26" s="0" t="n">
        <f aca="false">1+COUNTIF($P26:$S26,"&gt;"&amp;$R26)+(COUNTIF($P26:$S26,$R26)-1)/2</f>
        <v>2</v>
      </c>
      <c r="AA26" s="0" t="n">
        <f aca="false">1+COUNTIF($P26:$S26,"&gt;"&amp;$S26)+(COUNTIF($P26:$S26,$S26)-1)/2</f>
        <v>1</v>
      </c>
      <c r="AB26" s="0" t="n">
        <f aca="false">1+COUNTIF($T26:$W26,"&gt;"&amp;$T26)+(COUNTIF($T26:$W26,$T26)-1)/2</f>
        <v>2</v>
      </c>
      <c r="AC26" s="0" t="n">
        <f aca="false">1+COUNTIF($T26:$W26,"&gt;"&amp;$U26)+(COUNTIF($T26:$W26,$U26)-1)/2</f>
        <v>1</v>
      </c>
      <c r="AD26" s="0" t="n">
        <f aca="false">1+COUNTIF($T26:$W26,"&gt;"&amp;$V26)+(COUNTIF($T26:$W26,$V26)-1)/2</f>
        <v>3</v>
      </c>
      <c r="AE26" s="0" t="n">
        <f aca="false">1+COUNTIF($T26:$W26,"&gt;"&amp;$W26)+(COUNTIF($T26:$W26,$W26)-1)/2</f>
        <v>4</v>
      </c>
      <c r="AF26" s="0" t="n">
        <f aca="false">IFERROR(CORREL($P26:$S26,$T26:$W26),"")</f>
        <v>-0.726958111671519</v>
      </c>
      <c r="AG26" s="0" t="n">
        <f aca="false">IFERROR(CORREL($X26:$AA26,$AB26:$AE26),"")</f>
        <v>-0.8</v>
      </c>
      <c r="AH26" s="0" t="n">
        <f aca="false">IFERROR((SIGN($P26-$Q26)*SIGN($T26-$U26)+SIGN($P26-$R26)*SIGN($T26-$V26)+SIGN($P26-$S26)*SIGN($T26-$W26)+SIGN($Q26-$R26)*SIGN($U26-$V26)+SIGN($Q26-$S26)*SIGN($U26-$W26)+SIGN($R26-$S26)*SIGN($V26-$W26))/SQRT((6-(($P26=$Q26)*1+($P26=$R26)*1+($P26=$S26)*1+($Q26=$R26)*1+($Q26=$S26)*1+($R26=$S26)*1))*(6-(($T26=$U26)*1+($T26=$V26)*1+($T26=$W26)*1+($U26=$V26)*1+($U26=$W26)*1+($V26=$W26)*1))),"")</f>
        <v>-0.666666666666667</v>
      </c>
      <c r="AI26" s="0" t="n">
        <f aca="false">MATCH(MAX($K26:$O26),$K26:$O26,0)</f>
        <v>1</v>
      </c>
      <c r="AJ26" s="0" t="n">
        <f aca="false">IF(AI26&lt;&gt;$E26,1,0)</f>
        <v>0</v>
      </c>
      <c r="AK26" s="0" t="str">
        <f aca="false">IF(AJ26=1,INDEX($F26:$J26,AI26)/MAX($P26:$S26),"")</f>
        <v/>
      </c>
      <c r="AL26" s="0" t="str">
        <f aca="false">IF(AJ26=1,1+COUNTIF($P26:$S26,"&gt;"&amp;INDEX($F26:$J26,AI26)),"")</f>
        <v/>
      </c>
      <c r="AM26" s="0" t="n">
        <f aca="false">AVERAGE($P26:$S26)/MAX($P26:$S26)</f>
        <v>0.760869565217391</v>
      </c>
      <c r="AN26" s="0" t="n">
        <f aca="false">100-INDEX($F26:$J26,$E26)</f>
        <v>56.1</v>
      </c>
    </row>
    <row r="27" customFormat="false" ht="15" hidden="false" customHeight="false" outlineLevel="0" collapsed="false">
      <c r="A27" s="0" t="s">
        <v>40</v>
      </c>
      <c r="B27" s="0" t="n">
        <v>2025</v>
      </c>
      <c r="C27" s="0" t="s">
        <v>51</v>
      </c>
      <c r="D27" s="0" t="s">
        <v>44</v>
      </c>
      <c r="E27" s="0" t="n">
        <v>4</v>
      </c>
      <c r="F27" s="0" t="n">
        <v>21.5</v>
      </c>
      <c r="G27" s="0" t="n">
        <v>21.1</v>
      </c>
      <c r="H27" s="0" t="n">
        <v>11.8</v>
      </c>
      <c r="I27" s="0" t="n">
        <v>38.1</v>
      </c>
      <c r="J27" s="0" t="n">
        <v>7.5</v>
      </c>
      <c r="K27" s="0" t="n">
        <v>19.7520656026</v>
      </c>
      <c r="L27" s="0" t="n">
        <v>19.3201130128</v>
      </c>
      <c r="M27" s="0" t="n">
        <v>7.20416701662</v>
      </c>
      <c r="N27" s="0" t="n">
        <v>47.1580326614</v>
      </c>
      <c r="O27" s="0" t="n">
        <v>6.56562170661</v>
      </c>
      <c r="P27" s="0" t="n">
        <f aca="false">INDEX($F27:$J27,IF(1&lt;$E27,1,1+1))</f>
        <v>21.5</v>
      </c>
      <c r="Q27" s="0" t="n">
        <f aca="false">INDEX($F27:$J27,IF(2&lt;$E27,2,2+1))</f>
        <v>21.1</v>
      </c>
      <c r="R27" s="0" t="n">
        <f aca="false">INDEX($F27:$J27,IF(3&lt;$E27,3,3+1))</f>
        <v>11.8</v>
      </c>
      <c r="S27" s="0" t="n">
        <f aca="false">INDEX($F27:$J27,IF(4&lt;$E27,4,4+1))</f>
        <v>7.5</v>
      </c>
      <c r="T27" s="0" t="n">
        <f aca="false">INDEX($K27:$O27,IF(1&lt;$E27,1,1+1))</f>
        <v>19.7520656026</v>
      </c>
      <c r="U27" s="0" t="n">
        <f aca="false">INDEX($K27:$O27,IF(2&lt;$E27,2,2+1))</f>
        <v>19.3201130128</v>
      </c>
      <c r="V27" s="0" t="n">
        <f aca="false">INDEX($K27:$O27,IF(3&lt;$E27,3,3+1))</f>
        <v>7.20416701662</v>
      </c>
      <c r="W27" s="0" t="n">
        <f aca="false">INDEX($K27:$O27,IF(4&lt;$E27,4,4+1))</f>
        <v>6.56562170661</v>
      </c>
      <c r="X27" s="0" t="n">
        <f aca="false">1+COUNTIF($P27:$S27,"&gt;"&amp;$P27)+(COUNTIF($P27:$S27,$P27)-1)/2</f>
        <v>1</v>
      </c>
      <c r="Y27" s="0" t="n">
        <f aca="false">1+COUNTIF($P27:$S27,"&gt;"&amp;$Q27)+(COUNTIF($P27:$S27,$Q27)-1)/2</f>
        <v>2</v>
      </c>
      <c r="Z27" s="0" t="n">
        <f aca="false">1+COUNTIF($P27:$S27,"&gt;"&amp;$R27)+(COUNTIF($P27:$S27,$R27)-1)/2</f>
        <v>3</v>
      </c>
      <c r="AA27" s="0" t="n">
        <f aca="false">1+COUNTIF($P27:$S27,"&gt;"&amp;$S27)+(COUNTIF($P27:$S27,$S27)-1)/2</f>
        <v>4</v>
      </c>
      <c r="AB27" s="0" t="n">
        <f aca="false">1+COUNTIF($T27:$W27,"&gt;"&amp;$T27)+(COUNTIF($T27:$W27,$T27)-1)/2</f>
        <v>1</v>
      </c>
      <c r="AC27" s="0" t="n">
        <f aca="false">1+COUNTIF($T27:$W27,"&gt;"&amp;$U27)+(COUNTIF($T27:$W27,$U27)-1)/2</f>
        <v>2</v>
      </c>
      <c r="AD27" s="0" t="n">
        <f aca="false">1+COUNTIF($T27:$W27,"&gt;"&amp;$V27)+(COUNTIF($T27:$W27,$V27)-1)/2</f>
        <v>3</v>
      </c>
      <c r="AE27" s="0" t="n">
        <f aca="false">1+COUNTIF($T27:$W27,"&gt;"&amp;$W27)+(COUNTIF($T27:$W27,$W27)-1)/2</f>
        <v>4</v>
      </c>
      <c r="AF27" s="0" t="n">
        <f aca="false">IFERROR(CORREL($P27:$S27,$T27:$W27),"")</f>
        <v>0.975993178532064</v>
      </c>
      <c r="AG27" s="0" t="n">
        <f aca="false">IFERROR(CORREL($X27:$AA27,$AB27:$AE27),"")</f>
        <v>1</v>
      </c>
      <c r="AH27" s="0" t="n">
        <f aca="false">IFERROR((SIGN($P27-$Q27)*SIGN($T27-$U27)+SIGN($P27-$R27)*SIGN($T27-$V27)+SIGN($P27-$S27)*SIGN($T27-$W27)+SIGN($Q27-$R27)*SIGN($U27-$V27)+SIGN($Q27-$S27)*SIGN($U27-$W27)+SIGN($R27-$S27)*SIGN($V27-$W27))/SQRT((6-(($P27=$Q27)*1+($P27=$R27)*1+($P27=$S27)*1+($Q27=$R27)*1+($Q27=$S27)*1+($R27=$S27)*1))*(6-(($T27=$U27)*1+($T27=$V27)*1+($T27=$W27)*1+($U27=$V27)*1+($U27=$W27)*1+($V27=$W27)*1))),"")</f>
        <v>1</v>
      </c>
      <c r="AI27" s="0" t="n">
        <f aca="false">MATCH(MAX($K27:$O27),$K27:$O27,0)</f>
        <v>4</v>
      </c>
      <c r="AJ27" s="0" t="n">
        <f aca="false">IF(AI27&lt;&gt;$E27,1,0)</f>
        <v>0</v>
      </c>
      <c r="AK27" s="0" t="str">
        <f aca="false">IF(AJ27=1,INDEX($F27:$J27,AI27)/MAX($P27:$S27),"")</f>
        <v/>
      </c>
      <c r="AL27" s="0" t="str">
        <f aca="false">IF(AJ27=1,1+COUNTIF($P27:$S27,"&gt;"&amp;INDEX($F27:$J27,AI27)),"")</f>
        <v/>
      </c>
      <c r="AM27" s="0" t="n">
        <f aca="false">AVERAGE($P27:$S27)/MAX($P27:$S27)</f>
        <v>0.719767441860465</v>
      </c>
      <c r="AN27" s="0" t="n">
        <f aca="false">100-INDEX($F27:$J27,$E27)</f>
        <v>61.9</v>
      </c>
    </row>
    <row r="28" customFormat="false" ht="15" hidden="false" customHeight="false" outlineLevel="0" collapsed="false">
      <c r="A28" s="0" t="s">
        <v>40</v>
      </c>
      <c r="B28" s="0" t="n">
        <v>2025</v>
      </c>
      <c r="C28" s="0" t="s">
        <v>51</v>
      </c>
      <c r="D28" s="0" t="s">
        <v>45</v>
      </c>
      <c r="E28" s="0" t="n">
        <v>2</v>
      </c>
      <c r="F28" s="0" t="n">
        <v>14.2</v>
      </c>
      <c r="G28" s="0" t="n">
        <v>44.4</v>
      </c>
      <c r="H28" s="0" t="n">
        <v>15.6</v>
      </c>
      <c r="I28" s="0" t="n">
        <v>12.6</v>
      </c>
      <c r="J28" s="0" t="n">
        <v>13.2</v>
      </c>
      <c r="K28" s="0" t="n">
        <v>2.94052230323</v>
      </c>
      <c r="L28" s="0" t="n">
        <v>29.3029180417</v>
      </c>
      <c r="M28" s="0" t="n">
        <v>26.6483154689</v>
      </c>
      <c r="N28" s="0" t="n">
        <v>22.9031230786</v>
      </c>
      <c r="O28" s="0" t="n">
        <v>18.2051211076</v>
      </c>
      <c r="P28" s="0" t="n">
        <f aca="false">INDEX($F28:$J28,IF(1&lt;$E28,1,1+1))</f>
        <v>14.2</v>
      </c>
      <c r="Q28" s="0" t="n">
        <f aca="false">INDEX($F28:$J28,IF(2&lt;$E28,2,2+1))</f>
        <v>15.6</v>
      </c>
      <c r="R28" s="0" t="n">
        <f aca="false">INDEX($F28:$J28,IF(3&lt;$E28,3,3+1))</f>
        <v>12.6</v>
      </c>
      <c r="S28" s="0" t="n">
        <f aca="false">INDEX($F28:$J28,IF(4&lt;$E28,4,4+1))</f>
        <v>13.2</v>
      </c>
      <c r="T28" s="0" t="n">
        <f aca="false">INDEX($K28:$O28,IF(1&lt;$E28,1,1+1))</f>
        <v>2.94052230323</v>
      </c>
      <c r="U28" s="0" t="n">
        <f aca="false">INDEX($K28:$O28,IF(2&lt;$E28,2,2+1))</f>
        <v>26.6483154689</v>
      </c>
      <c r="V28" s="0" t="n">
        <f aca="false">INDEX($K28:$O28,IF(3&lt;$E28,3,3+1))</f>
        <v>22.9031230786</v>
      </c>
      <c r="W28" s="0" t="n">
        <f aca="false">INDEX($K28:$O28,IF(4&lt;$E28,4,4+1))</f>
        <v>18.2051211076</v>
      </c>
      <c r="X28" s="0" t="n">
        <f aca="false">1+COUNTIF($P28:$S28,"&gt;"&amp;$P28)+(COUNTIF($P28:$S28,$P28)-1)/2</f>
        <v>2</v>
      </c>
      <c r="Y28" s="0" t="n">
        <f aca="false">1+COUNTIF($P28:$S28,"&gt;"&amp;$Q28)+(COUNTIF($P28:$S28,$Q28)-1)/2</f>
        <v>1</v>
      </c>
      <c r="Z28" s="0" t="n">
        <f aca="false">1+COUNTIF($P28:$S28,"&gt;"&amp;$R28)+(COUNTIF($P28:$S28,$R28)-1)/2</f>
        <v>4</v>
      </c>
      <c r="AA28" s="0" t="n">
        <f aca="false">1+COUNTIF($P28:$S28,"&gt;"&amp;$S28)+(COUNTIF($P28:$S28,$S28)-1)/2</f>
        <v>3</v>
      </c>
      <c r="AB28" s="0" t="n">
        <f aca="false">1+COUNTIF($T28:$W28,"&gt;"&amp;$T28)+(COUNTIF($T28:$W28,$T28)-1)/2</f>
        <v>4</v>
      </c>
      <c r="AC28" s="0" t="n">
        <f aca="false">1+COUNTIF($T28:$W28,"&gt;"&amp;$U28)+(COUNTIF($T28:$W28,$U28)-1)/2</f>
        <v>1</v>
      </c>
      <c r="AD28" s="0" t="n">
        <f aca="false">1+COUNTIF($T28:$W28,"&gt;"&amp;$V28)+(COUNTIF($T28:$W28,$V28)-1)/2</f>
        <v>2</v>
      </c>
      <c r="AE28" s="0" t="n">
        <f aca="false">1+COUNTIF($T28:$W28,"&gt;"&amp;$W28)+(COUNTIF($T28:$W28,$W28)-1)/2</f>
        <v>3</v>
      </c>
      <c r="AF28" s="0" t="n">
        <f aca="false">IFERROR(CORREL($P28:$S28,$T28:$W28),"")</f>
        <v>0.0895040603304785</v>
      </c>
      <c r="AG28" s="0" t="n">
        <f aca="false">IFERROR(CORREL($X28:$AA28,$AB28:$AE28),"")</f>
        <v>0.2</v>
      </c>
      <c r="AH28" s="0" t="n">
        <f aca="false">IFERROR((SIGN($P28-$Q28)*SIGN($T28-$U28)+SIGN($P28-$R28)*SIGN($T28-$V28)+SIGN($P28-$S28)*SIGN($T28-$W28)+SIGN($Q28-$R28)*SIGN($U28-$V28)+SIGN($Q28-$S28)*SIGN($U28-$W28)+SIGN($R28-$S28)*SIGN($V28-$W28))/SQRT((6-(($P28=$Q28)*1+($P28=$R28)*1+($P28=$S28)*1+($Q28=$R28)*1+($Q28=$S28)*1+($R28=$S28)*1))*(6-(($T28=$U28)*1+($T28=$V28)*1+($T28=$W28)*1+($U28=$V28)*1+($U28=$W28)*1+($V28=$W28)*1))),"")</f>
        <v>0</v>
      </c>
      <c r="AI28" s="0" t="n">
        <f aca="false">MATCH(MAX($K28:$O28),$K28:$O28,0)</f>
        <v>2</v>
      </c>
      <c r="AJ28" s="0" t="n">
        <f aca="false">IF(AI28&lt;&gt;$E28,1,0)</f>
        <v>0</v>
      </c>
      <c r="AK28" s="0" t="str">
        <f aca="false">IF(AJ28=1,INDEX($F28:$J28,AI28)/MAX($P28:$S28),"")</f>
        <v/>
      </c>
      <c r="AL28" s="0" t="str">
        <f aca="false">IF(AJ28=1,1+COUNTIF($P28:$S28,"&gt;"&amp;INDEX($F28:$J28,AI28)),"")</f>
        <v/>
      </c>
      <c r="AM28" s="0" t="n">
        <f aca="false">AVERAGE($P28:$S28)/MAX($P28:$S28)</f>
        <v>0.891025641025641</v>
      </c>
      <c r="AN28" s="0" t="n">
        <f aca="false">100-INDEX($F28:$J28,$E28)</f>
        <v>55.6</v>
      </c>
    </row>
    <row r="29" customFormat="false" ht="15" hidden="false" customHeight="false" outlineLevel="0" collapsed="false">
      <c r="A29" s="0" t="s">
        <v>40</v>
      </c>
      <c r="B29" s="0" t="n">
        <v>2025</v>
      </c>
      <c r="C29" s="0" t="s">
        <v>41</v>
      </c>
      <c r="D29" s="0" t="s">
        <v>42</v>
      </c>
      <c r="E29" s="0" t="n">
        <v>2</v>
      </c>
      <c r="F29" s="0" t="n">
        <v>20.1</v>
      </c>
      <c r="G29" s="0" t="n">
        <v>38.2</v>
      </c>
      <c r="H29" s="0" t="n">
        <v>12.9</v>
      </c>
      <c r="I29" s="0" t="n">
        <v>15.3</v>
      </c>
      <c r="J29" s="0" t="n">
        <v>13.5</v>
      </c>
      <c r="K29" s="0" t="n">
        <v>1.74468896818</v>
      </c>
      <c r="L29" s="0" t="n">
        <v>0.045034356751</v>
      </c>
      <c r="M29" s="0" t="n">
        <v>0.277482725441</v>
      </c>
      <c r="N29" s="0" t="n">
        <v>8.06888800225</v>
      </c>
      <c r="O29" s="0" t="n">
        <v>89.8639059474</v>
      </c>
      <c r="P29" s="0" t="n">
        <f aca="false">INDEX($F29:$J29,IF(1&lt;$E29,1,1+1))</f>
        <v>20.1</v>
      </c>
      <c r="Q29" s="0" t="n">
        <f aca="false">INDEX($F29:$J29,IF(2&lt;$E29,2,2+1))</f>
        <v>12.9</v>
      </c>
      <c r="R29" s="0" t="n">
        <f aca="false">INDEX($F29:$J29,IF(3&lt;$E29,3,3+1))</f>
        <v>15.3</v>
      </c>
      <c r="S29" s="0" t="n">
        <f aca="false">INDEX($F29:$J29,IF(4&lt;$E29,4,4+1))</f>
        <v>13.5</v>
      </c>
      <c r="T29" s="0" t="n">
        <f aca="false">INDEX($K29:$O29,IF(1&lt;$E29,1,1+1))</f>
        <v>1.74468896818</v>
      </c>
      <c r="U29" s="0" t="n">
        <f aca="false">INDEX($K29:$O29,IF(2&lt;$E29,2,2+1))</f>
        <v>0.277482725441</v>
      </c>
      <c r="V29" s="0" t="n">
        <f aca="false">INDEX($K29:$O29,IF(3&lt;$E29,3,3+1))</f>
        <v>8.06888800225</v>
      </c>
      <c r="W29" s="0" t="n">
        <f aca="false">INDEX($K29:$O29,IF(4&lt;$E29,4,4+1))</f>
        <v>89.8639059474</v>
      </c>
      <c r="X29" s="0" t="n">
        <f aca="false">1+COUNTIF($P29:$S29,"&gt;"&amp;$P29)+(COUNTIF($P29:$S29,$P29)-1)/2</f>
        <v>1</v>
      </c>
      <c r="Y29" s="0" t="n">
        <f aca="false">1+COUNTIF($P29:$S29,"&gt;"&amp;$Q29)+(COUNTIF($P29:$S29,$Q29)-1)/2</f>
        <v>4</v>
      </c>
      <c r="Z29" s="0" t="n">
        <f aca="false">1+COUNTIF($P29:$S29,"&gt;"&amp;$R29)+(COUNTIF($P29:$S29,$R29)-1)/2</f>
        <v>2</v>
      </c>
      <c r="AA29" s="0" t="n">
        <f aca="false">1+COUNTIF($P29:$S29,"&gt;"&amp;$S29)+(COUNTIF($P29:$S29,$S29)-1)/2</f>
        <v>3</v>
      </c>
      <c r="AB29" s="0" t="n">
        <f aca="false">1+COUNTIF($T29:$W29,"&gt;"&amp;$T29)+(COUNTIF($T29:$W29,$T29)-1)/2</f>
        <v>3</v>
      </c>
      <c r="AC29" s="0" t="n">
        <f aca="false">1+COUNTIF($T29:$W29,"&gt;"&amp;$U29)+(COUNTIF($T29:$W29,$U29)-1)/2</f>
        <v>4</v>
      </c>
      <c r="AD29" s="0" t="n">
        <f aca="false">1+COUNTIF($T29:$W29,"&gt;"&amp;$V29)+(COUNTIF($T29:$W29,$V29)-1)/2</f>
        <v>2</v>
      </c>
      <c r="AE29" s="0" t="n">
        <f aca="false">1+COUNTIF($T29:$W29,"&gt;"&amp;$W29)+(COUNTIF($T29:$W29,$W29)-1)/2</f>
        <v>1</v>
      </c>
      <c r="AF29" s="0" t="n">
        <f aca="false">IFERROR(CORREL($P29:$S29,$T29:$W29),"")</f>
        <v>-0.397999831288253</v>
      </c>
      <c r="AG29" s="0" t="n">
        <f aca="false">IFERROR(CORREL($X29:$AA29,$AB29:$AE29),"")</f>
        <v>0.2</v>
      </c>
      <c r="AH29" s="0" t="n">
        <f aca="false">IFERROR((SIGN($P29-$Q29)*SIGN($T29-$U29)+SIGN($P29-$R29)*SIGN($T29-$V29)+SIGN($P29-$S29)*SIGN($T29-$W29)+SIGN($Q29-$R29)*SIGN($U29-$V29)+SIGN($Q29-$S29)*SIGN($U29-$W29)+SIGN($R29-$S29)*SIGN($V29-$W29))/SQRT((6-(($P29=$Q29)*1+($P29=$R29)*1+($P29=$S29)*1+($Q29=$R29)*1+($Q29=$S29)*1+($R29=$S29)*1))*(6-(($T29=$U29)*1+($T29=$V29)*1+($T29=$W29)*1+($U29=$V29)*1+($U29=$W29)*1+($V29=$W29)*1))),"")</f>
        <v>0</v>
      </c>
      <c r="AI29" s="0" t="n">
        <f aca="false">MATCH(MAX($K29:$O29),$K29:$O29,0)</f>
        <v>5</v>
      </c>
      <c r="AJ29" s="0" t="n">
        <f aca="false">IF(AI29&lt;&gt;$E29,1,0)</f>
        <v>1</v>
      </c>
      <c r="AK29" s="0" t="n">
        <f aca="false">IF(AJ29=1,INDEX($F29:$J29,AI29)/MAX($P29:$S29),"")</f>
        <v>0.671641791044776</v>
      </c>
      <c r="AL29" s="0" t="n">
        <f aca="false">IF(AJ29=1,1+COUNTIF($P29:$S29,"&gt;"&amp;INDEX($F29:$J29,AI29)),"")</f>
        <v>3</v>
      </c>
      <c r="AM29" s="0" t="n">
        <f aca="false">AVERAGE($P29:$S29)/MAX($P29:$S29)</f>
        <v>0.76865671641791</v>
      </c>
      <c r="AN29" s="0" t="n">
        <f aca="false">100-INDEX($F29:$J29,$E29)</f>
        <v>61.8</v>
      </c>
    </row>
    <row r="30" customFormat="false" ht="15" hidden="false" customHeight="false" outlineLevel="0" collapsed="false">
      <c r="A30" s="0" t="s">
        <v>40</v>
      </c>
      <c r="B30" s="0" t="n">
        <v>2025</v>
      </c>
      <c r="C30" s="0" t="s">
        <v>41</v>
      </c>
      <c r="D30" s="0" t="s">
        <v>43</v>
      </c>
      <c r="E30" s="0" t="n">
        <v>1</v>
      </c>
      <c r="F30" s="0" t="n">
        <v>35</v>
      </c>
      <c r="G30" s="0" t="n">
        <v>20.9</v>
      </c>
      <c r="H30" s="0" t="n">
        <v>18</v>
      </c>
      <c r="I30" s="0" t="n">
        <v>17.1</v>
      </c>
      <c r="J30" s="0" t="n">
        <v>9</v>
      </c>
      <c r="K30" s="0" t="n">
        <v>2.06870569365</v>
      </c>
      <c r="L30" s="0" t="n">
        <v>9.82548357538</v>
      </c>
      <c r="M30" s="0" t="n">
        <v>65.7686619189</v>
      </c>
      <c r="N30" s="0" t="n">
        <v>20.2651424778</v>
      </c>
      <c r="O30" s="0" t="n">
        <v>2.07200633425</v>
      </c>
      <c r="P30" s="0" t="n">
        <f aca="false">INDEX($F30:$J30,IF(1&lt;$E30,1,1+1))</f>
        <v>20.9</v>
      </c>
      <c r="Q30" s="0" t="n">
        <f aca="false">INDEX($F30:$J30,IF(2&lt;$E30,2,2+1))</f>
        <v>18</v>
      </c>
      <c r="R30" s="0" t="n">
        <f aca="false">INDEX($F30:$J30,IF(3&lt;$E30,3,3+1))</f>
        <v>17.1</v>
      </c>
      <c r="S30" s="0" t="n">
        <f aca="false">INDEX($F30:$J30,IF(4&lt;$E30,4,4+1))</f>
        <v>9</v>
      </c>
      <c r="T30" s="0" t="n">
        <f aca="false">INDEX($K30:$O30,IF(1&lt;$E30,1,1+1))</f>
        <v>9.82548357538</v>
      </c>
      <c r="U30" s="0" t="n">
        <f aca="false">INDEX($K30:$O30,IF(2&lt;$E30,2,2+1))</f>
        <v>65.7686619189</v>
      </c>
      <c r="V30" s="0" t="n">
        <f aca="false">INDEX($K30:$O30,IF(3&lt;$E30,3,3+1))</f>
        <v>20.2651424778</v>
      </c>
      <c r="W30" s="0" t="n">
        <f aca="false">INDEX($K30:$O30,IF(4&lt;$E30,4,4+1))</f>
        <v>2.07200633425</v>
      </c>
      <c r="X30" s="0" t="n">
        <f aca="false">1+COUNTIF($P30:$S30,"&gt;"&amp;$P30)+(COUNTIF($P30:$S30,$P30)-1)/2</f>
        <v>1</v>
      </c>
      <c r="Y30" s="0" t="n">
        <f aca="false">1+COUNTIF($P30:$S30,"&gt;"&amp;$Q30)+(COUNTIF($P30:$S30,$Q30)-1)/2</f>
        <v>2</v>
      </c>
      <c r="Z30" s="0" t="n">
        <f aca="false">1+COUNTIF($P30:$S30,"&gt;"&amp;$R30)+(COUNTIF($P30:$S30,$R30)-1)/2</f>
        <v>3</v>
      </c>
      <c r="AA30" s="0" t="n">
        <f aca="false">1+COUNTIF($P30:$S30,"&gt;"&amp;$S30)+(COUNTIF($P30:$S30,$S30)-1)/2</f>
        <v>4</v>
      </c>
      <c r="AB30" s="0" t="n">
        <f aca="false">1+COUNTIF($T30:$W30,"&gt;"&amp;$T30)+(COUNTIF($T30:$W30,$T30)-1)/2</f>
        <v>3</v>
      </c>
      <c r="AC30" s="0" t="n">
        <f aca="false">1+COUNTIF($T30:$W30,"&gt;"&amp;$U30)+(COUNTIF($T30:$W30,$U30)-1)/2</f>
        <v>1</v>
      </c>
      <c r="AD30" s="0" t="n">
        <f aca="false">1+COUNTIF($T30:$W30,"&gt;"&amp;$V30)+(COUNTIF($T30:$W30,$V30)-1)/2</f>
        <v>2</v>
      </c>
      <c r="AE30" s="0" t="n">
        <f aca="false">1+COUNTIF($T30:$W30,"&gt;"&amp;$W30)+(COUNTIF($T30:$W30,$W30)-1)/2</f>
        <v>4</v>
      </c>
      <c r="AF30" s="0" t="n">
        <f aca="false">IFERROR(CORREL($P30:$S30,$T30:$W30),"")</f>
        <v>0.373721761358581</v>
      </c>
      <c r="AG30" s="0" t="n">
        <f aca="false">IFERROR(CORREL($X30:$AA30,$AB30:$AE30),"")</f>
        <v>0.4</v>
      </c>
      <c r="AH30" s="0" t="n">
        <f aca="false">IFERROR((SIGN($P30-$Q30)*SIGN($T30-$U30)+SIGN($P30-$R30)*SIGN($T30-$V30)+SIGN($P30-$S30)*SIGN($T30-$W30)+SIGN($Q30-$R30)*SIGN($U30-$V30)+SIGN($Q30-$S30)*SIGN($U30-$W30)+SIGN($R30-$S30)*SIGN($V30-$W30))/SQRT((6-(($P30=$Q30)*1+($P30=$R30)*1+($P30=$S30)*1+($Q30=$R30)*1+($Q30=$S30)*1+($R30=$S30)*1))*(6-(($T30=$U30)*1+($T30=$V30)*1+($T30=$W30)*1+($U30=$V30)*1+($U30=$W30)*1+($V30=$W30)*1))),"")</f>
        <v>0.333333333333333</v>
      </c>
      <c r="AI30" s="0" t="n">
        <f aca="false">MATCH(MAX($K30:$O30),$K30:$O30,0)</f>
        <v>3</v>
      </c>
      <c r="AJ30" s="0" t="n">
        <f aca="false">IF(AI30&lt;&gt;$E30,1,0)</f>
        <v>1</v>
      </c>
      <c r="AK30" s="0" t="n">
        <f aca="false">IF(AJ30=1,INDEX($F30:$J30,AI30)/MAX($P30:$S30),"")</f>
        <v>0.861244019138756</v>
      </c>
      <c r="AL30" s="0" t="n">
        <f aca="false">IF(AJ30=1,1+COUNTIF($P30:$S30,"&gt;"&amp;INDEX($F30:$J30,AI30)),"")</f>
        <v>2</v>
      </c>
      <c r="AM30" s="0" t="n">
        <f aca="false">AVERAGE($P30:$S30)/MAX($P30:$S30)</f>
        <v>0.777511961722488</v>
      </c>
      <c r="AN30" s="0" t="n">
        <f aca="false">100-INDEX($F30:$J30,$E30)</f>
        <v>65</v>
      </c>
    </row>
    <row r="31" customFormat="false" ht="15" hidden="false" customHeight="false" outlineLevel="0" collapsed="false">
      <c r="A31" s="0" t="s">
        <v>40</v>
      </c>
      <c r="B31" s="0" t="n">
        <v>2025</v>
      </c>
      <c r="C31" s="0" t="s">
        <v>41</v>
      </c>
      <c r="D31" s="0" t="s">
        <v>44</v>
      </c>
      <c r="E31" s="0" t="n">
        <v>3</v>
      </c>
      <c r="F31" s="0" t="n">
        <v>18.3</v>
      </c>
      <c r="G31" s="0" t="n">
        <v>18.3</v>
      </c>
      <c r="H31" s="0" t="n">
        <v>35.6</v>
      </c>
      <c r="I31" s="0" t="n">
        <v>14</v>
      </c>
      <c r="J31" s="0" t="n">
        <v>13.8</v>
      </c>
      <c r="K31" s="0" t="n">
        <v>10.7224594448</v>
      </c>
      <c r="L31" s="0" t="n">
        <v>3.3421209716</v>
      </c>
      <c r="M31" s="0" t="n">
        <v>71.0155942414</v>
      </c>
      <c r="N31" s="0" t="n">
        <v>7.66488397793</v>
      </c>
      <c r="O31" s="0" t="n">
        <v>7.25494136424</v>
      </c>
      <c r="P31" s="0" t="n">
        <f aca="false">INDEX($F31:$J31,IF(1&lt;$E31,1,1+1))</f>
        <v>18.3</v>
      </c>
      <c r="Q31" s="0" t="n">
        <f aca="false">INDEX($F31:$J31,IF(2&lt;$E31,2,2+1))</f>
        <v>18.3</v>
      </c>
      <c r="R31" s="0" t="n">
        <f aca="false">INDEX($F31:$J31,IF(3&lt;$E31,3,3+1))</f>
        <v>14</v>
      </c>
      <c r="S31" s="0" t="n">
        <f aca="false">INDEX($F31:$J31,IF(4&lt;$E31,4,4+1))</f>
        <v>13.8</v>
      </c>
      <c r="T31" s="0" t="n">
        <f aca="false">INDEX($K31:$O31,IF(1&lt;$E31,1,1+1))</f>
        <v>10.7224594448</v>
      </c>
      <c r="U31" s="0" t="n">
        <f aca="false">INDEX($K31:$O31,IF(2&lt;$E31,2,2+1))</f>
        <v>3.3421209716</v>
      </c>
      <c r="V31" s="0" t="n">
        <f aca="false">INDEX($K31:$O31,IF(3&lt;$E31,3,3+1))</f>
        <v>7.66488397793</v>
      </c>
      <c r="W31" s="0" t="n">
        <f aca="false">INDEX($K31:$O31,IF(4&lt;$E31,4,4+1))</f>
        <v>7.25494136424</v>
      </c>
      <c r="X31" s="0" t="n">
        <f aca="false">1+COUNTIF($P31:$S31,"&gt;"&amp;$P31)+(COUNTIF($P31:$S31,$P31)-1)/2</f>
        <v>1.5</v>
      </c>
      <c r="Y31" s="0" t="n">
        <f aca="false">1+COUNTIF($P31:$S31,"&gt;"&amp;$Q31)+(COUNTIF($P31:$S31,$Q31)-1)/2</f>
        <v>1.5</v>
      </c>
      <c r="Z31" s="0" t="n">
        <f aca="false">1+COUNTIF($P31:$S31,"&gt;"&amp;$R31)+(COUNTIF($P31:$S31,$R31)-1)/2</f>
        <v>3</v>
      </c>
      <c r="AA31" s="0" t="n">
        <f aca="false">1+COUNTIF($P31:$S31,"&gt;"&amp;$S31)+(COUNTIF($P31:$S31,$S31)-1)/2</f>
        <v>4</v>
      </c>
      <c r="AB31" s="0" t="n">
        <f aca="false">1+COUNTIF($T31:$W31,"&gt;"&amp;$T31)+(COUNTIF($T31:$W31,$T31)-1)/2</f>
        <v>1</v>
      </c>
      <c r="AC31" s="0" t="n">
        <f aca="false">1+COUNTIF($T31:$W31,"&gt;"&amp;$U31)+(COUNTIF($T31:$W31,$U31)-1)/2</f>
        <v>4</v>
      </c>
      <c r="AD31" s="0" t="n">
        <f aca="false">1+COUNTIF($T31:$W31,"&gt;"&amp;$V31)+(COUNTIF($T31:$W31,$V31)-1)/2</f>
        <v>2</v>
      </c>
      <c r="AE31" s="0" t="n">
        <f aca="false">1+COUNTIF($T31:$W31,"&gt;"&amp;$W31)+(COUNTIF($T31:$W31,$W31)-1)/2</f>
        <v>3</v>
      </c>
      <c r="AF31" s="0" t="n">
        <f aca="false">IFERROR(CORREL($P31:$S31,$T31:$W31),"")</f>
        <v>-0.0797242767355143</v>
      </c>
      <c r="AG31" s="0" t="n">
        <f aca="false">IFERROR(CORREL($X31:$AA31,$AB31:$AE31),"")</f>
        <v>0.105409255338946</v>
      </c>
      <c r="AH31" s="0" t="n">
        <f aca="false">IFERROR((SIGN($P31-$Q31)*SIGN($T31-$U31)+SIGN($P31-$R31)*SIGN($T31-$V31)+SIGN($P31-$S31)*SIGN($T31-$W31)+SIGN($Q31-$R31)*SIGN($U31-$V31)+SIGN($Q31-$S31)*SIGN($U31-$W31)+SIGN($R31-$S31)*SIGN($V31-$W31))/SQRT((6-(($P31=$Q31)*1+($P31=$R31)*1+($P31=$S31)*1+($Q31=$R31)*1+($Q31=$S31)*1+($R31=$S31)*1))*(6-(($T31=$U31)*1+($T31=$V31)*1+($T31=$W31)*1+($U31=$V31)*1+($U31=$W31)*1+($V31=$W31)*1))),"")</f>
        <v>0.182574185835055</v>
      </c>
      <c r="AI31" s="0" t="n">
        <f aca="false">MATCH(MAX($K31:$O31),$K31:$O31,0)</f>
        <v>3</v>
      </c>
      <c r="AJ31" s="0" t="n">
        <f aca="false">IF(AI31&lt;&gt;$E31,1,0)</f>
        <v>0</v>
      </c>
      <c r="AK31" s="0" t="str">
        <f aca="false">IF(AJ31=1,INDEX($F31:$J31,AI31)/MAX($P31:$S31),"")</f>
        <v/>
      </c>
      <c r="AL31" s="0" t="str">
        <f aca="false">IF(AJ31=1,1+COUNTIF($P31:$S31,"&gt;"&amp;INDEX($F31:$J31,AI31)),"")</f>
        <v/>
      </c>
      <c r="AM31" s="0" t="n">
        <f aca="false">AVERAGE($P31:$S31)/MAX($P31:$S31)</f>
        <v>0.879781420765027</v>
      </c>
      <c r="AN31" s="0" t="n">
        <f aca="false">100-INDEX($F31:$J31,$E31)</f>
        <v>64.4</v>
      </c>
    </row>
    <row r="32" customFormat="false" ht="15" hidden="false" customHeight="false" outlineLevel="0" collapsed="false">
      <c r="A32" s="0" t="s">
        <v>40</v>
      </c>
      <c r="B32" s="0" t="n">
        <v>2025</v>
      </c>
      <c r="C32" s="0" t="s">
        <v>41</v>
      </c>
      <c r="D32" s="0" t="s">
        <v>45</v>
      </c>
      <c r="E32" s="0" t="n">
        <v>4</v>
      </c>
      <c r="F32" s="0" t="n">
        <v>18.2</v>
      </c>
      <c r="G32" s="0" t="n">
        <v>32.6</v>
      </c>
      <c r="H32" s="0" t="n">
        <v>17.3</v>
      </c>
      <c r="I32" s="0" t="n">
        <v>20.6</v>
      </c>
      <c r="J32" s="0" t="n">
        <v>11.3</v>
      </c>
      <c r="K32" s="0" t="n">
        <v>9.36704080012</v>
      </c>
      <c r="L32" s="0" t="n">
        <v>63.0530104911</v>
      </c>
      <c r="M32" s="0" t="n">
        <v>4.89087756325</v>
      </c>
      <c r="N32" s="0" t="n">
        <v>17.6732241201</v>
      </c>
      <c r="O32" s="0" t="n">
        <v>5.01584702544</v>
      </c>
      <c r="P32" s="0" t="n">
        <f aca="false">INDEX($F32:$J32,IF(1&lt;$E32,1,1+1))</f>
        <v>18.2</v>
      </c>
      <c r="Q32" s="0" t="n">
        <f aca="false">INDEX($F32:$J32,IF(2&lt;$E32,2,2+1))</f>
        <v>32.6</v>
      </c>
      <c r="R32" s="0" t="n">
        <f aca="false">INDEX($F32:$J32,IF(3&lt;$E32,3,3+1))</f>
        <v>17.3</v>
      </c>
      <c r="S32" s="0" t="n">
        <f aca="false">INDEX($F32:$J32,IF(4&lt;$E32,4,4+1))</f>
        <v>11.3</v>
      </c>
      <c r="T32" s="0" t="n">
        <f aca="false">INDEX($K32:$O32,IF(1&lt;$E32,1,1+1))</f>
        <v>9.36704080012</v>
      </c>
      <c r="U32" s="0" t="n">
        <f aca="false">INDEX($K32:$O32,IF(2&lt;$E32,2,2+1))</f>
        <v>63.0530104911</v>
      </c>
      <c r="V32" s="0" t="n">
        <f aca="false">INDEX($K32:$O32,IF(3&lt;$E32,3,3+1))</f>
        <v>4.89087756325</v>
      </c>
      <c r="W32" s="0" t="n">
        <f aca="false">INDEX($K32:$O32,IF(4&lt;$E32,4,4+1))</f>
        <v>5.01584702544</v>
      </c>
      <c r="X32" s="0" t="n">
        <f aca="false">1+COUNTIF($P32:$S32,"&gt;"&amp;$P32)+(COUNTIF($P32:$S32,$P32)-1)/2</f>
        <v>2</v>
      </c>
      <c r="Y32" s="0" t="n">
        <f aca="false">1+COUNTIF($P32:$S32,"&gt;"&amp;$Q32)+(COUNTIF($P32:$S32,$Q32)-1)/2</f>
        <v>1</v>
      </c>
      <c r="Z32" s="0" t="n">
        <f aca="false">1+COUNTIF($P32:$S32,"&gt;"&amp;$R32)+(COUNTIF($P32:$S32,$R32)-1)/2</f>
        <v>3</v>
      </c>
      <c r="AA32" s="0" t="n">
        <f aca="false">1+COUNTIF($P32:$S32,"&gt;"&amp;$S32)+(COUNTIF($P32:$S32,$S32)-1)/2</f>
        <v>4</v>
      </c>
      <c r="AB32" s="0" t="n">
        <f aca="false">1+COUNTIF($T32:$W32,"&gt;"&amp;$T32)+(COUNTIF($T32:$W32,$T32)-1)/2</f>
        <v>2</v>
      </c>
      <c r="AC32" s="0" t="n">
        <f aca="false">1+COUNTIF($T32:$W32,"&gt;"&amp;$U32)+(COUNTIF($T32:$W32,$U32)-1)/2</f>
        <v>1</v>
      </c>
      <c r="AD32" s="0" t="n">
        <f aca="false">1+COUNTIF($T32:$W32,"&gt;"&amp;$V32)+(COUNTIF($T32:$W32,$V32)-1)/2</f>
        <v>4</v>
      </c>
      <c r="AE32" s="0" t="n">
        <f aca="false">1+COUNTIF($T32:$W32,"&gt;"&amp;$W32)+(COUNTIF($T32:$W32,$W32)-1)/2</f>
        <v>3</v>
      </c>
      <c r="AF32" s="0" t="n">
        <f aca="false">IFERROR(CORREL($P32:$S32,$T32:$W32),"")</f>
        <v>0.952686959331446</v>
      </c>
      <c r="AG32" s="0" t="n">
        <f aca="false">IFERROR(CORREL($X32:$AA32,$AB32:$AE32),"")</f>
        <v>0.8</v>
      </c>
      <c r="AH32" s="0" t="n">
        <f aca="false">IFERROR((SIGN($P32-$Q32)*SIGN($T32-$U32)+SIGN($P32-$R32)*SIGN($T32-$V32)+SIGN($P32-$S32)*SIGN($T32-$W32)+SIGN($Q32-$R32)*SIGN($U32-$V32)+SIGN($Q32-$S32)*SIGN($U32-$W32)+SIGN($R32-$S32)*SIGN($V32-$W32))/SQRT((6-(($P32=$Q32)*1+($P32=$R32)*1+($P32=$S32)*1+($Q32=$R32)*1+($Q32=$S32)*1+($R32=$S32)*1))*(6-(($T32=$U32)*1+($T32=$V32)*1+($T32=$W32)*1+($U32=$V32)*1+($U32=$W32)*1+($V32=$W32)*1))),"")</f>
        <v>0.666666666666667</v>
      </c>
      <c r="AI32" s="0" t="n">
        <f aca="false">MATCH(MAX($K32:$O32),$K32:$O32,0)</f>
        <v>2</v>
      </c>
      <c r="AJ32" s="0" t="n">
        <f aca="false">IF(AI32&lt;&gt;$E32,1,0)</f>
        <v>1</v>
      </c>
      <c r="AK32" s="0" t="n">
        <f aca="false">IF(AJ32=1,INDEX($F32:$J32,AI32)/MAX($P32:$S32),"")</f>
        <v>1</v>
      </c>
      <c r="AL32" s="0" t="n">
        <f aca="false">IF(AJ32=1,1+COUNTIF($P32:$S32,"&gt;"&amp;INDEX($F32:$J32,AI32)),"")</f>
        <v>1</v>
      </c>
      <c r="AM32" s="0" t="n">
        <f aca="false">AVERAGE($P32:$S32)/MAX($P32:$S32)</f>
        <v>0.608895705521472</v>
      </c>
      <c r="AN32" s="0" t="n">
        <f aca="false">100-INDEX($F32:$J32,$E32)</f>
        <v>79.4</v>
      </c>
    </row>
    <row r="33" customFormat="false" ht="15" hidden="false" customHeight="false" outlineLevel="0" collapsed="false">
      <c r="A33" s="0" t="s">
        <v>40</v>
      </c>
      <c r="B33" s="0" t="n">
        <v>2025</v>
      </c>
      <c r="C33" s="0" t="s">
        <v>46</v>
      </c>
      <c r="D33" s="0" t="s">
        <v>43</v>
      </c>
      <c r="E33" s="0" t="n">
        <v>1</v>
      </c>
      <c r="F33" s="0" t="n">
        <v>48.6</v>
      </c>
      <c r="G33" s="0" t="n">
        <v>15.9</v>
      </c>
      <c r="H33" s="0" t="n">
        <v>12.4</v>
      </c>
      <c r="I33" s="0" t="n">
        <v>11.8</v>
      </c>
      <c r="J33" s="0" t="n">
        <v>11.3</v>
      </c>
      <c r="K33" s="0" t="n">
        <v>16.8131249573</v>
      </c>
      <c r="L33" s="0" t="n">
        <v>34.8627867302</v>
      </c>
      <c r="M33" s="0" t="n">
        <v>3.75813264878</v>
      </c>
      <c r="N33" s="0" t="n">
        <v>26.7880189698</v>
      </c>
      <c r="O33" s="0" t="n">
        <v>17.7779366939</v>
      </c>
      <c r="P33" s="0" t="n">
        <f aca="false">INDEX($F33:$J33,IF(1&lt;$E33,1,1+1))</f>
        <v>15.9</v>
      </c>
      <c r="Q33" s="0" t="n">
        <f aca="false">INDEX($F33:$J33,IF(2&lt;$E33,2,2+1))</f>
        <v>12.4</v>
      </c>
      <c r="R33" s="0" t="n">
        <f aca="false">INDEX($F33:$J33,IF(3&lt;$E33,3,3+1))</f>
        <v>11.8</v>
      </c>
      <c r="S33" s="0" t="n">
        <f aca="false">INDEX($F33:$J33,IF(4&lt;$E33,4,4+1))</f>
        <v>11.3</v>
      </c>
      <c r="T33" s="0" t="n">
        <f aca="false">INDEX($K33:$O33,IF(1&lt;$E33,1,1+1))</f>
        <v>34.8627867302</v>
      </c>
      <c r="U33" s="0" t="n">
        <f aca="false">INDEX($K33:$O33,IF(2&lt;$E33,2,2+1))</f>
        <v>3.75813264878</v>
      </c>
      <c r="V33" s="0" t="n">
        <f aca="false">INDEX($K33:$O33,IF(3&lt;$E33,3,3+1))</f>
        <v>26.7880189698</v>
      </c>
      <c r="W33" s="0" t="n">
        <f aca="false">INDEX($K33:$O33,IF(4&lt;$E33,4,4+1))</f>
        <v>17.7779366939</v>
      </c>
      <c r="X33" s="0" t="n">
        <f aca="false">1+COUNTIF($P33:$S33,"&gt;"&amp;$P33)+(COUNTIF($P33:$S33,$P33)-1)/2</f>
        <v>1</v>
      </c>
      <c r="Y33" s="0" t="n">
        <f aca="false">1+COUNTIF($P33:$S33,"&gt;"&amp;$Q33)+(COUNTIF($P33:$S33,$Q33)-1)/2</f>
        <v>2</v>
      </c>
      <c r="Z33" s="0" t="n">
        <f aca="false">1+COUNTIF($P33:$S33,"&gt;"&amp;$R33)+(COUNTIF($P33:$S33,$R33)-1)/2</f>
        <v>3</v>
      </c>
      <c r="AA33" s="0" t="n">
        <f aca="false">1+COUNTIF($P33:$S33,"&gt;"&amp;$S33)+(COUNTIF($P33:$S33,$S33)-1)/2</f>
        <v>4</v>
      </c>
      <c r="AB33" s="0" t="n">
        <f aca="false">1+COUNTIF($T33:$W33,"&gt;"&amp;$T33)+(COUNTIF($T33:$W33,$T33)-1)/2</f>
        <v>1</v>
      </c>
      <c r="AC33" s="0" t="n">
        <f aca="false">1+COUNTIF($T33:$W33,"&gt;"&amp;$U33)+(COUNTIF($T33:$W33,$U33)-1)/2</f>
        <v>4</v>
      </c>
      <c r="AD33" s="0" t="n">
        <f aca="false">1+COUNTIF($T33:$W33,"&gt;"&amp;$V33)+(COUNTIF($T33:$W33,$V33)-1)/2</f>
        <v>2</v>
      </c>
      <c r="AE33" s="0" t="n">
        <f aca="false">1+COUNTIF($T33:$W33,"&gt;"&amp;$W33)+(COUNTIF($T33:$W33,$W33)-1)/2</f>
        <v>3</v>
      </c>
      <c r="AF33" s="0" t="n">
        <f aca="false">IFERROR(CORREL($P33:$S33,$T33:$W33),"")</f>
        <v>0.587816447386858</v>
      </c>
      <c r="AG33" s="0" t="n">
        <f aca="false">IFERROR(CORREL($X33:$AA33,$AB33:$AE33),"")</f>
        <v>0.4</v>
      </c>
      <c r="AH33" s="0" t="n">
        <f aca="false">IFERROR((SIGN($P33-$Q33)*SIGN($T33-$U33)+SIGN($P33-$R33)*SIGN($T33-$V33)+SIGN($P33-$S33)*SIGN($T33-$W33)+SIGN($Q33-$R33)*SIGN($U33-$V33)+SIGN($Q33-$S33)*SIGN($U33-$W33)+SIGN($R33-$S33)*SIGN($V33-$W33))/SQRT((6-(($P33=$Q33)*1+($P33=$R33)*1+($P33=$S33)*1+($Q33=$R33)*1+($Q33=$S33)*1+($R33=$S33)*1))*(6-(($T33=$U33)*1+($T33=$V33)*1+($T33=$W33)*1+($U33=$V33)*1+($U33=$W33)*1+($V33=$W33)*1))),"")</f>
        <v>0.333333333333333</v>
      </c>
      <c r="AI33" s="0" t="n">
        <f aca="false">MATCH(MAX($K33:$O33),$K33:$O33,0)</f>
        <v>2</v>
      </c>
      <c r="AJ33" s="0" t="n">
        <f aca="false">IF(AI33&lt;&gt;$E33,1,0)</f>
        <v>1</v>
      </c>
      <c r="AK33" s="0" t="n">
        <f aca="false">IF(AJ33=1,INDEX($F33:$J33,AI33)/MAX($P33:$S33),"")</f>
        <v>1</v>
      </c>
      <c r="AL33" s="0" t="n">
        <f aca="false">IF(AJ33=1,1+COUNTIF($P33:$S33,"&gt;"&amp;INDEX($F33:$J33,AI33)),"")</f>
        <v>1</v>
      </c>
      <c r="AM33" s="0" t="n">
        <f aca="false">AVERAGE($P33:$S33)/MAX($P33:$S33)</f>
        <v>0.808176100628931</v>
      </c>
      <c r="AN33" s="0" t="n">
        <f aca="false">100-INDEX($F33:$J33,$E33)</f>
        <v>51.4</v>
      </c>
    </row>
    <row r="34" customFormat="false" ht="15" hidden="false" customHeight="false" outlineLevel="0" collapsed="false">
      <c r="A34" s="0" t="s">
        <v>40</v>
      </c>
      <c r="B34" s="0" t="n">
        <v>2025</v>
      </c>
      <c r="C34" s="0" t="s">
        <v>46</v>
      </c>
      <c r="D34" s="0" t="s">
        <v>44</v>
      </c>
      <c r="E34" s="0" t="n">
        <v>2</v>
      </c>
      <c r="F34" s="0" t="n">
        <v>20.4</v>
      </c>
      <c r="G34" s="0" t="n">
        <v>35.8</v>
      </c>
      <c r="H34" s="0" t="n">
        <v>14.3</v>
      </c>
      <c r="I34" s="0" t="n">
        <v>16.3</v>
      </c>
      <c r="J34" s="0" t="n">
        <v>13.2</v>
      </c>
      <c r="K34" s="0" t="n">
        <v>13.1764726835</v>
      </c>
      <c r="L34" s="0" t="n">
        <v>17.4589187655</v>
      </c>
      <c r="M34" s="0" t="n">
        <v>14.2717694545</v>
      </c>
      <c r="N34" s="0" t="n">
        <v>32.6405239387</v>
      </c>
      <c r="O34" s="0" t="n">
        <v>22.4523151579</v>
      </c>
      <c r="P34" s="0" t="n">
        <f aca="false">INDEX($F34:$J34,IF(1&lt;$E34,1,1+1))</f>
        <v>20.4</v>
      </c>
      <c r="Q34" s="0" t="n">
        <f aca="false">INDEX($F34:$J34,IF(2&lt;$E34,2,2+1))</f>
        <v>14.3</v>
      </c>
      <c r="R34" s="0" t="n">
        <f aca="false">INDEX($F34:$J34,IF(3&lt;$E34,3,3+1))</f>
        <v>16.3</v>
      </c>
      <c r="S34" s="0" t="n">
        <f aca="false">INDEX($F34:$J34,IF(4&lt;$E34,4,4+1))</f>
        <v>13.2</v>
      </c>
      <c r="T34" s="0" t="n">
        <f aca="false">INDEX($K34:$O34,IF(1&lt;$E34,1,1+1))</f>
        <v>13.1764726835</v>
      </c>
      <c r="U34" s="0" t="n">
        <f aca="false">INDEX($K34:$O34,IF(2&lt;$E34,2,2+1))</f>
        <v>14.2717694545</v>
      </c>
      <c r="V34" s="0" t="n">
        <f aca="false">INDEX($K34:$O34,IF(3&lt;$E34,3,3+1))</f>
        <v>32.6405239387</v>
      </c>
      <c r="W34" s="0" t="n">
        <f aca="false">INDEX($K34:$O34,IF(4&lt;$E34,4,4+1))</f>
        <v>22.4523151579</v>
      </c>
      <c r="X34" s="0" t="n">
        <f aca="false">1+COUNTIF($P34:$S34,"&gt;"&amp;$P34)+(COUNTIF($P34:$S34,$P34)-1)/2</f>
        <v>1</v>
      </c>
      <c r="Y34" s="0" t="n">
        <f aca="false">1+COUNTIF($P34:$S34,"&gt;"&amp;$Q34)+(COUNTIF($P34:$S34,$Q34)-1)/2</f>
        <v>3</v>
      </c>
      <c r="Z34" s="0" t="n">
        <f aca="false">1+COUNTIF($P34:$S34,"&gt;"&amp;$R34)+(COUNTIF($P34:$S34,$R34)-1)/2</f>
        <v>2</v>
      </c>
      <c r="AA34" s="0" t="n">
        <f aca="false">1+COUNTIF($P34:$S34,"&gt;"&amp;$S34)+(COUNTIF($P34:$S34,$S34)-1)/2</f>
        <v>4</v>
      </c>
      <c r="AB34" s="0" t="n">
        <f aca="false">1+COUNTIF($T34:$W34,"&gt;"&amp;$T34)+(COUNTIF($T34:$W34,$T34)-1)/2</f>
        <v>4</v>
      </c>
      <c r="AC34" s="0" t="n">
        <f aca="false">1+COUNTIF($T34:$W34,"&gt;"&amp;$U34)+(COUNTIF($T34:$W34,$U34)-1)/2</f>
        <v>3</v>
      </c>
      <c r="AD34" s="0" t="n">
        <f aca="false">1+COUNTIF($T34:$W34,"&gt;"&amp;$V34)+(COUNTIF($T34:$W34,$V34)-1)/2</f>
        <v>1</v>
      </c>
      <c r="AE34" s="0" t="n">
        <f aca="false">1+COUNTIF($T34:$W34,"&gt;"&amp;$W34)+(COUNTIF($T34:$W34,$W34)-1)/2</f>
        <v>2</v>
      </c>
      <c r="AF34" s="0" t="n">
        <f aca="false">IFERROR(CORREL($P34:$S34,$T34:$W34),"")</f>
        <v>-0.273992799148561</v>
      </c>
      <c r="AG34" s="0" t="n">
        <f aca="false">IFERROR(CORREL($X34:$AA34,$AB34:$AE34),"")</f>
        <v>-0.4</v>
      </c>
      <c r="AH34" s="0" t="n">
        <f aca="false">IFERROR((SIGN($P34-$Q34)*SIGN($T34-$U34)+SIGN($P34-$R34)*SIGN($T34-$V34)+SIGN($P34-$S34)*SIGN($T34-$W34)+SIGN($Q34-$R34)*SIGN($U34-$V34)+SIGN($Q34-$S34)*SIGN($U34-$W34)+SIGN($R34-$S34)*SIGN($V34-$W34))/SQRT((6-(($P34=$Q34)*1+($P34=$R34)*1+($P34=$S34)*1+($Q34=$R34)*1+($Q34=$S34)*1+($R34=$S34)*1))*(6-(($T34=$U34)*1+($T34=$V34)*1+($T34=$W34)*1+($U34=$V34)*1+($U34=$W34)*1+($V34=$W34)*1))),"")</f>
        <v>-0.333333333333333</v>
      </c>
      <c r="AI34" s="0" t="n">
        <f aca="false">MATCH(MAX($K34:$O34),$K34:$O34,0)</f>
        <v>4</v>
      </c>
      <c r="AJ34" s="0" t="n">
        <f aca="false">IF(AI34&lt;&gt;$E34,1,0)</f>
        <v>1</v>
      </c>
      <c r="AK34" s="0" t="n">
        <f aca="false">IF(AJ34=1,INDEX($F34:$J34,AI34)/MAX($P34:$S34),"")</f>
        <v>0.799019607843137</v>
      </c>
      <c r="AL34" s="0" t="n">
        <f aca="false">IF(AJ34=1,1+COUNTIF($P34:$S34,"&gt;"&amp;INDEX($F34:$J34,AI34)),"")</f>
        <v>2</v>
      </c>
      <c r="AM34" s="0" t="n">
        <f aca="false">AVERAGE($P34:$S34)/MAX($P34:$S34)</f>
        <v>0.786764705882353</v>
      </c>
      <c r="AN34" s="0" t="n">
        <f aca="false">100-INDEX($F34:$J34,$E34)</f>
        <v>64.2</v>
      </c>
    </row>
    <row r="35" customFormat="false" ht="15" hidden="false" customHeight="false" outlineLevel="0" collapsed="false">
      <c r="A35" s="0" t="s">
        <v>40</v>
      </c>
      <c r="B35" s="0" t="n">
        <v>2025</v>
      </c>
      <c r="C35" s="0" t="s">
        <v>46</v>
      </c>
      <c r="D35" s="0" t="s">
        <v>45</v>
      </c>
      <c r="E35" s="0" t="n">
        <v>1</v>
      </c>
      <c r="F35" s="0" t="n">
        <v>36.6</v>
      </c>
      <c r="G35" s="0" t="n">
        <v>17.3</v>
      </c>
      <c r="H35" s="0" t="n">
        <v>13.3</v>
      </c>
      <c r="I35" s="0" t="n">
        <v>23.8</v>
      </c>
      <c r="J35" s="0" t="n">
        <v>9</v>
      </c>
      <c r="K35" s="0" t="n">
        <v>45.2610436572</v>
      </c>
      <c r="L35" s="0" t="n">
        <v>6.97647343176</v>
      </c>
      <c r="M35" s="0" t="n">
        <v>28.2680007334</v>
      </c>
      <c r="N35" s="0" t="n">
        <v>15.3737578658</v>
      </c>
      <c r="O35" s="0" t="n">
        <v>4.12072431179</v>
      </c>
      <c r="P35" s="0" t="n">
        <f aca="false">INDEX($F35:$J35,IF(1&lt;$E35,1,1+1))</f>
        <v>17.3</v>
      </c>
      <c r="Q35" s="0" t="n">
        <f aca="false">INDEX($F35:$J35,IF(2&lt;$E35,2,2+1))</f>
        <v>13.3</v>
      </c>
      <c r="R35" s="0" t="n">
        <f aca="false">INDEX($F35:$J35,IF(3&lt;$E35,3,3+1))</f>
        <v>23.8</v>
      </c>
      <c r="S35" s="0" t="n">
        <f aca="false">INDEX($F35:$J35,IF(4&lt;$E35,4,4+1))</f>
        <v>9</v>
      </c>
      <c r="T35" s="0" t="n">
        <f aca="false">INDEX($K35:$O35,IF(1&lt;$E35,1,1+1))</f>
        <v>6.97647343176</v>
      </c>
      <c r="U35" s="0" t="n">
        <f aca="false">INDEX($K35:$O35,IF(2&lt;$E35,2,2+1))</f>
        <v>28.2680007334</v>
      </c>
      <c r="V35" s="0" t="n">
        <f aca="false">INDEX($K35:$O35,IF(3&lt;$E35,3,3+1))</f>
        <v>15.3737578658</v>
      </c>
      <c r="W35" s="0" t="n">
        <f aca="false">INDEX($K35:$O35,IF(4&lt;$E35,4,4+1))</f>
        <v>4.12072431179</v>
      </c>
      <c r="X35" s="0" t="n">
        <f aca="false">1+COUNTIF($P35:$S35,"&gt;"&amp;$P35)+(COUNTIF($P35:$S35,$P35)-1)/2</f>
        <v>2</v>
      </c>
      <c r="Y35" s="0" t="n">
        <f aca="false">1+COUNTIF($P35:$S35,"&gt;"&amp;$Q35)+(COUNTIF($P35:$S35,$Q35)-1)/2</f>
        <v>3</v>
      </c>
      <c r="Z35" s="0" t="n">
        <f aca="false">1+COUNTIF($P35:$S35,"&gt;"&amp;$R35)+(COUNTIF($P35:$S35,$R35)-1)/2</f>
        <v>1</v>
      </c>
      <c r="AA35" s="0" t="n">
        <f aca="false">1+COUNTIF($P35:$S35,"&gt;"&amp;$S35)+(COUNTIF($P35:$S35,$S35)-1)/2</f>
        <v>4</v>
      </c>
      <c r="AB35" s="0" t="n">
        <f aca="false">1+COUNTIF($T35:$W35,"&gt;"&amp;$T35)+(COUNTIF($T35:$W35,$T35)-1)/2</f>
        <v>3</v>
      </c>
      <c r="AC35" s="0" t="n">
        <f aca="false">1+COUNTIF($T35:$W35,"&gt;"&amp;$U35)+(COUNTIF($T35:$W35,$U35)-1)/2</f>
        <v>1</v>
      </c>
      <c r="AD35" s="0" t="n">
        <f aca="false">1+COUNTIF($T35:$W35,"&gt;"&amp;$V35)+(COUNTIF($T35:$W35,$V35)-1)/2</f>
        <v>2</v>
      </c>
      <c r="AE35" s="0" t="n">
        <f aca="false">1+COUNTIF($T35:$W35,"&gt;"&amp;$W35)+(COUNTIF($T35:$W35,$W35)-1)/2</f>
        <v>4</v>
      </c>
      <c r="AF35" s="0" t="n">
        <f aca="false">IFERROR(CORREL($P35:$S35,$T35:$W35),"")</f>
        <v>0.156662871093436</v>
      </c>
      <c r="AG35" s="0" t="n">
        <f aca="false">IFERROR(CORREL($X35:$AA35,$AB35:$AE35),"")</f>
        <v>0.4</v>
      </c>
      <c r="AH35" s="0" t="n">
        <f aca="false">IFERROR((SIGN($P35-$Q35)*SIGN($T35-$U35)+SIGN($P35-$R35)*SIGN($T35-$V35)+SIGN($P35-$S35)*SIGN($T35-$W35)+SIGN($Q35-$R35)*SIGN($U35-$V35)+SIGN($Q35-$S35)*SIGN($U35-$W35)+SIGN($R35-$S35)*SIGN($V35-$W35))/SQRT((6-(($P35=$Q35)*1+($P35=$R35)*1+($P35=$S35)*1+($Q35=$R35)*1+($Q35=$S35)*1+($R35=$S35)*1))*(6-(($T35=$U35)*1+($T35=$V35)*1+($T35=$W35)*1+($U35=$V35)*1+($U35=$W35)*1+($V35=$W35)*1))),"")</f>
        <v>0.333333333333333</v>
      </c>
      <c r="AI35" s="0" t="n">
        <f aca="false">MATCH(MAX($K35:$O35),$K35:$O35,0)</f>
        <v>1</v>
      </c>
      <c r="AJ35" s="0" t="n">
        <f aca="false">IF(AI35&lt;&gt;$E35,1,0)</f>
        <v>0</v>
      </c>
      <c r="AK35" s="0" t="str">
        <f aca="false">IF(AJ35=1,INDEX($F35:$J35,AI35)/MAX($P35:$S35),"")</f>
        <v/>
      </c>
      <c r="AL35" s="0" t="str">
        <f aca="false">IF(AJ35=1,1+COUNTIF($P35:$S35,"&gt;"&amp;INDEX($F35:$J35,AI35)),"")</f>
        <v/>
      </c>
      <c r="AM35" s="0" t="n">
        <f aca="false">AVERAGE($P35:$S35)/MAX($P35:$S35)</f>
        <v>0.665966386554622</v>
      </c>
      <c r="AN35" s="0" t="n">
        <f aca="false">100-INDEX($F35:$J35,$E35)</f>
        <v>63.4</v>
      </c>
    </row>
    <row r="36" customFormat="false" ht="15" hidden="false" customHeight="false" outlineLevel="0" collapsed="false">
      <c r="A36" s="0" t="s">
        <v>40</v>
      </c>
      <c r="B36" s="0" t="n">
        <v>2025</v>
      </c>
      <c r="C36" s="0" t="s">
        <v>47</v>
      </c>
      <c r="D36" s="0" t="s">
        <v>42</v>
      </c>
      <c r="E36" s="0" t="n">
        <v>5</v>
      </c>
      <c r="F36" s="0" t="n">
        <v>18.7</v>
      </c>
      <c r="G36" s="0" t="n">
        <v>31.1</v>
      </c>
      <c r="H36" s="0" t="n">
        <v>14.8</v>
      </c>
      <c r="I36" s="0" t="n">
        <v>9.1</v>
      </c>
      <c r="J36" s="0" t="n">
        <v>26.4</v>
      </c>
      <c r="K36" s="0" t="n">
        <v>4.71317065515</v>
      </c>
      <c r="L36" s="0" t="n">
        <v>3.75652295873</v>
      </c>
      <c r="M36" s="0" t="n">
        <v>74.6980108003</v>
      </c>
      <c r="N36" s="0" t="n">
        <v>3.95642640021</v>
      </c>
      <c r="O36" s="0" t="n">
        <v>12.8758691856</v>
      </c>
      <c r="P36" s="0" t="n">
        <f aca="false">INDEX($F36:$J36,IF(1&lt;$E36,1,1+1))</f>
        <v>18.7</v>
      </c>
      <c r="Q36" s="0" t="n">
        <f aca="false">INDEX($F36:$J36,IF(2&lt;$E36,2,2+1))</f>
        <v>31.1</v>
      </c>
      <c r="R36" s="0" t="n">
        <f aca="false">INDEX($F36:$J36,IF(3&lt;$E36,3,3+1))</f>
        <v>14.8</v>
      </c>
      <c r="S36" s="0" t="n">
        <f aca="false">INDEX($F36:$J36,IF(4&lt;$E36,4,4+1))</f>
        <v>9.1</v>
      </c>
      <c r="T36" s="0" t="n">
        <f aca="false">INDEX($K36:$O36,IF(1&lt;$E36,1,1+1))</f>
        <v>4.71317065515</v>
      </c>
      <c r="U36" s="0" t="n">
        <f aca="false">INDEX($K36:$O36,IF(2&lt;$E36,2,2+1))</f>
        <v>3.75652295873</v>
      </c>
      <c r="V36" s="0" t="n">
        <f aca="false">INDEX($K36:$O36,IF(3&lt;$E36,3,3+1))</f>
        <v>74.6980108003</v>
      </c>
      <c r="W36" s="0" t="n">
        <f aca="false">INDEX($K36:$O36,IF(4&lt;$E36,4,4+1))</f>
        <v>3.95642640021</v>
      </c>
      <c r="X36" s="0" t="n">
        <f aca="false">1+COUNTIF($P36:$S36,"&gt;"&amp;$P36)+(COUNTIF($P36:$S36,$P36)-1)/2</f>
        <v>2</v>
      </c>
      <c r="Y36" s="0" t="n">
        <f aca="false">1+COUNTIF($P36:$S36,"&gt;"&amp;$Q36)+(COUNTIF($P36:$S36,$Q36)-1)/2</f>
        <v>1</v>
      </c>
      <c r="Z36" s="0" t="n">
        <f aca="false">1+COUNTIF($P36:$S36,"&gt;"&amp;$R36)+(COUNTIF($P36:$S36,$R36)-1)/2</f>
        <v>3</v>
      </c>
      <c r="AA36" s="0" t="n">
        <f aca="false">1+COUNTIF($P36:$S36,"&gt;"&amp;$S36)+(COUNTIF($P36:$S36,$S36)-1)/2</f>
        <v>4</v>
      </c>
      <c r="AB36" s="0" t="n">
        <f aca="false">1+COUNTIF($T36:$W36,"&gt;"&amp;$T36)+(COUNTIF($T36:$W36,$T36)-1)/2</f>
        <v>2</v>
      </c>
      <c r="AC36" s="0" t="n">
        <f aca="false">1+COUNTIF($T36:$W36,"&gt;"&amp;$U36)+(COUNTIF($T36:$W36,$U36)-1)/2</f>
        <v>4</v>
      </c>
      <c r="AD36" s="0" t="n">
        <f aca="false">1+COUNTIF($T36:$W36,"&gt;"&amp;$V36)+(COUNTIF($T36:$W36,$V36)-1)/2</f>
        <v>1</v>
      </c>
      <c r="AE36" s="0" t="n">
        <f aca="false">1+COUNTIF($T36:$W36,"&gt;"&amp;$W36)+(COUNTIF($T36:$W36,$W36)-1)/2</f>
        <v>3</v>
      </c>
      <c r="AF36" s="0" t="n">
        <f aca="false">IFERROR(CORREL($P36:$S36,$T36:$W36),"")</f>
        <v>-0.262200190710706</v>
      </c>
      <c r="AG36" s="0" t="n">
        <f aca="false">IFERROR(CORREL($X36:$AA36,$AB36:$AE36),"")</f>
        <v>-0.4</v>
      </c>
      <c r="AH36" s="0" t="n">
        <f aca="false">IFERROR((SIGN($P36-$Q36)*SIGN($T36-$U36)+SIGN($P36-$R36)*SIGN($T36-$V36)+SIGN($P36-$S36)*SIGN($T36-$W36)+SIGN($Q36-$R36)*SIGN($U36-$V36)+SIGN($Q36-$S36)*SIGN($U36-$W36)+SIGN($R36-$S36)*SIGN($V36-$W36))/SQRT((6-(($P36=$Q36)*1+($P36=$R36)*1+($P36=$S36)*1+($Q36=$R36)*1+($Q36=$S36)*1+($R36=$S36)*1))*(6-(($T36=$U36)*1+($T36=$V36)*1+($T36=$W36)*1+($U36=$V36)*1+($U36=$W36)*1+($V36=$W36)*1))),"")</f>
        <v>-0.333333333333333</v>
      </c>
      <c r="AI36" s="0" t="n">
        <f aca="false">MATCH(MAX($K36:$O36),$K36:$O36,0)</f>
        <v>3</v>
      </c>
      <c r="AJ36" s="0" t="n">
        <f aca="false">IF(AI36&lt;&gt;$E36,1,0)</f>
        <v>1</v>
      </c>
      <c r="AK36" s="0" t="n">
        <f aca="false">IF(AJ36=1,INDEX($F36:$J36,AI36)/MAX($P36:$S36),"")</f>
        <v>0.47588424437299</v>
      </c>
      <c r="AL36" s="0" t="n">
        <f aca="false">IF(AJ36=1,1+COUNTIF($P36:$S36,"&gt;"&amp;INDEX($F36:$J36,AI36)),"")</f>
        <v>3</v>
      </c>
      <c r="AM36" s="0" t="n">
        <f aca="false">AVERAGE($P36:$S36)/MAX($P36:$S36)</f>
        <v>0.592443729903537</v>
      </c>
      <c r="AN36" s="0" t="n">
        <f aca="false">100-INDEX($F36:$J36,$E36)</f>
        <v>73.6</v>
      </c>
    </row>
    <row r="37" customFormat="false" ht="15" hidden="false" customHeight="false" outlineLevel="0" collapsed="false">
      <c r="A37" s="0" t="s">
        <v>40</v>
      </c>
      <c r="B37" s="0" t="n">
        <v>2025</v>
      </c>
      <c r="C37" s="0" t="s">
        <v>47</v>
      </c>
      <c r="D37" s="0" t="s">
        <v>43</v>
      </c>
      <c r="E37" s="0" t="n">
        <v>3</v>
      </c>
      <c r="F37" s="0" t="n">
        <v>29.5</v>
      </c>
      <c r="G37" s="0" t="n">
        <v>27.3</v>
      </c>
      <c r="H37" s="0" t="n">
        <v>17.4</v>
      </c>
      <c r="I37" s="0" t="n">
        <v>13.6</v>
      </c>
      <c r="J37" s="0" t="n">
        <v>12.2</v>
      </c>
      <c r="K37" s="0" t="n">
        <v>2.28281359667</v>
      </c>
      <c r="L37" s="0" t="n">
        <v>3.08894259685</v>
      </c>
      <c r="M37" s="0" t="n">
        <v>52.7029956064</v>
      </c>
      <c r="N37" s="0" t="n">
        <v>29.6079574227</v>
      </c>
      <c r="O37" s="0" t="n">
        <v>12.3172907774</v>
      </c>
      <c r="P37" s="0" t="n">
        <f aca="false">INDEX($F37:$J37,IF(1&lt;$E37,1,1+1))</f>
        <v>29.5</v>
      </c>
      <c r="Q37" s="0" t="n">
        <f aca="false">INDEX($F37:$J37,IF(2&lt;$E37,2,2+1))</f>
        <v>27.3</v>
      </c>
      <c r="R37" s="0" t="n">
        <f aca="false">INDEX($F37:$J37,IF(3&lt;$E37,3,3+1))</f>
        <v>13.6</v>
      </c>
      <c r="S37" s="0" t="n">
        <f aca="false">INDEX($F37:$J37,IF(4&lt;$E37,4,4+1))</f>
        <v>12.2</v>
      </c>
      <c r="T37" s="0" t="n">
        <f aca="false">INDEX($K37:$O37,IF(1&lt;$E37,1,1+1))</f>
        <v>2.28281359667</v>
      </c>
      <c r="U37" s="0" t="n">
        <f aca="false">INDEX($K37:$O37,IF(2&lt;$E37,2,2+1))</f>
        <v>3.08894259685</v>
      </c>
      <c r="V37" s="0" t="n">
        <f aca="false">INDEX($K37:$O37,IF(3&lt;$E37,3,3+1))</f>
        <v>29.6079574227</v>
      </c>
      <c r="W37" s="0" t="n">
        <f aca="false">INDEX($K37:$O37,IF(4&lt;$E37,4,4+1))</f>
        <v>12.3172907774</v>
      </c>
      <c r="X37" s="0" t="n">
        <f aca="false">1+COUNTIF($P37:$S37,"&gt;"&amp;$P37)+(COUNTIF($P37:$S37,$P37)-1)/2</f>
        <v>1</v>
      </c>
      <c r="Y37" s="0" t="n">
        <f aca="false">1+COUNTIF($P37:$S37,"&gt;"&amp;$Q37)+(COUNTIF($P37:$S37,$Q37)-1)/2</f>
        <v>2</v>
      </c>
      <c r="Z37" s="0" t="n">
        <f aca="false">1+COUNTIF($P37:$S37,"&gt;"&amp;$R37)+(COUNTIF($P37:$S37,$R37)-1)/2</f>
        <v>3</v>
      </c>
      <c r="AA37" s="0" t="n">
        <f aca="false">1+COUNTIF($P37:$S37,"&gt;"&amp;$S37)+(COUNTIF($P37:$S37,$S37)-1)/2</f>
        <v>4</v>
      </c>
      <c r="AB37" s="0" t="n">
        <f aca="false">1+COUNTIF($T37:$W37,"&gt;"&amp;$T37)+(COUNTIF($T37:$W37,$T37)-1)/2</f>
        <v>4</v>
      </c>
      <c r="AC37" s="0" t="n">
        <f aca="false">1+COUNTIF($T37:$W37,"&gt;"&amp;$U37)+(COUNTIF($T37:$W37,$U37)-1)/2</f>
        <v>3</v>
      </c>
      <c r="AD37" s="0" t="n">
        <f aca="false">1+COUNTIF($T37:$W37,"&gt;"&amp;$V37)+(COUNTIF($T37:$W37,$V37)-1)/2</f>
        <v>1</v>
      </c>
      <c r="AE37" s="0" t="n">
        <f aca="false">1+COUNTIF($T37:$W37,"&gt;"&amp;$W37)+(COUNTIF($T37:$W37,$W37)-1)/2</f>
        <v>2</v>
      </c>
      <c r="AF37" s="0" t="n">
        <f aca="false">IFERROR(CORREL($P37:$S37,$T37:$W37),"")</f>
        <v>-0.792405588702857</v>
      </c>
      <c r="AG37" s="0" t="n">
        <f aca="false">IFERROR(CORREL($X37:$AA37,$AB37:$AE37),"")</f>
        <v>-0.8</v>
      </c>
      <c r="AH37" s="0" t="n">
        <f aca="false">IFERROR((SIGN($P37-$Q37)*SIGN($T37-$U37)+SIGN($P37-$R37)*SIGN($T37-$V37)+SIGN($P37-$S37)*SIGN($T37-$W37)+SIGN($Q37-$R37)*SIGN($U37-$V37)+SIGN($Q37-$S37)*SIGN($U37-$W37)+SIGN($R37-$S37)*SIGN($V37-$W37))/SQRT((6-(($P37=$Q37)*1+($P37=$R37)*1+($P37=$S37)*1+($Q37=$R37)*1+($Q37=$S37)*1+($R37=$S37)*1))*(6-(($T37=$U37)*1+($T37=$V37)*1+($T37=$W37)*1+($U37=$V37)*1+($U37=$W37)*1+($V37=$W37)*1))),"")</f>
        <v>-0.666666666666667</v>
      </c>
      <c r="AI37" s="0" t="n">
        <f aca="false">MATCH(MAX($K37:$O37),$K37:$O37,0)</f>
        <v>3</v>
      </c>
      <c r="AJ37" s="0" t="n">
        <f aca="false">IF(AI37&lt;&gt;$E37,1,0)</f>
        <v>0</v>
      </c>
      <c r="AK37" s="0" t="str">
        <f aca="false">IF(AJ37=1,INDEX($F37:$J37,AI37)/MAX($P37:$S37),"")</f>
        <v/>
      </c>
      <c r="AL37" s="0" t="str">
        <f aca="false">IF(AJ37=1,1+COUNTIF($P37:$S37,"&gt;"&amp;INDEX($F37:$J37,AI37)),"")</f>
        <v/>
      </c>
      <c r="AM37" s="0" t="n">
        <f aca="false">AVERAGE($P37:$S37)/MAX($P37:$S37)</f>
        <v>0.7</v>
      </c>
      <c r="AN37" s="0" t="n">
        <f aca="false">100-INDEX($F37:$J37,$E37)</f>
        <v>82.6</v>
      </c>
    </row>
    <row r="38" customFormat="false" ht="15" hidden="false" customHeight="false" outlineLevel="0" collapsed="false">
      <c r="A38" s="0" t="s">
        <v>40</v>
      </c>
      <c r="B38" s="0" t="n">
        <v>2025</v>
      </c>
      <c r="C38" s="0" t="s">
        <v>47</v>
      </c>
      <c r="D38" s="0" t="s">
        <v>44</v>
      </c>
      <c r="E38" s="0" t="n">
        <v>2</v>
      </c>
      <c r="F38" s="0" t="n">
        <v>32.3</v>
      </c>
      <c r="G38" s="0" t="n">
        <v>35.7</v>
      </c>
      <c r="H38" s="0" t="n">
        <v>9.7</v>
      </c>
      <c r="I38" s="0" t="n">
        <v>8.9</v>
      </c>
      <c r="J38" s="0" t="n">
        <v>13.4</v>
      </c>
      <c r="K38" s="0" t="n">
        <v>48.6218756708</v>
      </c>
      <c r="L38" s="0" t="n">
        <v>10.3749583789</v>
      </c>
      <c r="M38" s="0" t="n">
        <v>28.9067326444</v>
      </c>
      <c r="N38" s="0" t="n">
        <v>8.8798397654</v>
      </c>
      <c r="O38" s="0" t="n">
        <v>3.21659354044</v>
      </c>
      <c r="P38" s="0" t="n">
        <f aca="false">INDEX($F38:$J38,IF(1&lt;$E38,1,1+1))</f>
        <v>32.3</v>
      </c>
      <c r="Q38" s="0" t="n">
        <f aca="false">INDEX($F38:$J38,IF(2&lt;$E38,2,2+1))</f>
        <v>9.7</v>
      </c>
      <c r="R38" s="0" t="n">
        <f aca="false">INDEX($F38:$J38,IF(3&lt;$E38,3,3+1))</f>
        <v>8.9</v>
      </c>
      <c r="S38" s="0" t="n">
        <f aca="false">INDEX($F38:$J38,IF(4&lt;$E38,4,4+1))</f>
        <v>13.4</v>
      </c>
      <c r="T38" s="0" t="n">
        <f aca="false">INDEX($K38:$O38,IF(1&lt;$E38,1,1+1))</f>
        <v>48.6218756708</v>
      </c>
      <c r="U38" s="0" t="n">
        <f aca="false">INDEX($K38:$O38,IF(2&lt;$E38,2,2+1))</f>
        <v>28.9067326444</v>
      </c>
      <c r="V38" s="0" t="n">
        <f aca="false">INDEX($K38:$O38,IF(3&lt;$E38,3,3+1))</f>
        <v>8.8798397654</v>
      </c>
      <c r="W38" s="0" t="n">
        <f aca="false">INDEX($K38:$O38,IF(4&lt;$E38,4,4+1))</f>
        <v>3.21659354044</v>
      </c>
      <c r="X38" s="0" t="n">
        <f aca="false">1+COUNTIF($P38:$S38,"&gt;"&amp;$P38)+(COUNTIF($P38:$S38,$P38)-1)/2</f>
        <v>1</v>
      </c>
      <c r="Y38" s="0" t="n">
        <f aca="false">1+COUNTIF($P38:$S38,"&gt;"&amp;$Q38)+(COUNTIF($P38:$S38,$Q38)-1)/2</f>
        <v>3</v>
      </c>
      <c r="Z38" s="0" t="n">
        <f aca="false">1+COUNTIF($P38:$S38,"&gt;"&amp;$R38)+(COUNTIF($P38:$S38,$R38)-1)/2</f>
        <v>4</v>
      </c>
      <c r="AA38" s="0" t="n">
        <f aca="false">1+COUNTIF($P38:$S38,"&gt;"&amp;$S38)+(COUNTIF($P38:$S38,$S38)-1)/2</f>
        <v>2</v>
      </c>
      <c r="AB38" s="0" t="n">
        <f aca="false">1+COUNTIF($T38:$W38,"&gt;"&amp;$T38)+(COUNTIF($T38:$W38,$T38)-1)/2</f>
        <v>1</v>
      </c>
      <c r="AC38" s="0" t="n">
        <f aca="false">1+COUNTIF($T38:$W38,"&gt;"&amp;$U38)+(COUNTIF($T38:$W38,$U38)-1)/2</f>
        <v>2</v>
      </c>
      <c r="AD38" s="0" t="n">
        <f aca="false">1+COUNTIF($T38:$W38,"&gt;"&amp;$V38)+(COUNTIF($T38:$W38,$V38)-1)/2</f>
        <v>3</v>
      </c>
      <c r="AE38" s="0" t="n">
        <f aca="false">1+COUNTIF($T38:$W38,"&gt;"&amp;$W38)+(COUNTIF($T38:$W38,$W38)-1)/2</f>
        <v>4</v>
      </c>
      <c r="AF38" s="0" t="n">
        <f aca="false">IFERROR(CORREL($P38:$S38,$T38:$W38),"")</f>
        <v>0.781182041801144</v>
      </c>
      <c r="AG38" s="0" t="n">
        <f aca="false">IFERROR(CORREL($X38:$AA38,$AB38:$AE38),"")</f>
        <v>0.4</v>
      </c>
      <c r="AH38" s="0" t="n">
        <f aca="false">IFERROR((SIGN($P38-$Q38)*SIGN($T38-$U38)+SIGN($P38-$R38)*SIGN($T38-$V38)+SIGN($P38-$S38)*SIGN($T38-$W38)+SIGN($Q38-$R38)*SIGN($U38-$V38)+SIGN($Q38-$S38)*SIGN($U38-$W38)+SIGN($R38-$S38)*SIGN($V38-$W38))/SQRT((6-(($P38=$Q38)*1+($P38=$R38)*1+($P38=$S38)*1+($Q38=$R38)*1+($Q38=$S38)*1+($R38=$S38)*1))*(6-(($T38=$U38)*1+($T38=$V38)*1+($T38=$W38)*1+($U38=$V38)*1+($U38=$W38)*1+($V38=$W38)*1))),"")</f>
        <v>0.333333333333333</v>
      </c>
      <c r="AI38" s="0" t="n">
        <f aca="false">MATCH(MAX($K38:$O38),$K38:$O38,0)</f>
        <v>1</v>
      </c>
      <c r="AJ38" s="0" t="n">
        <f aca="false">IF(AI38&lt;&gt;$E38,1,0)</f>
        <v>1</v>
      </c>
      <c r="AK38" s="0" t="n">
        <f aca="false">IF(AJ38=1,INDEX($F38:$J38,AI38)/MAX($P38:$S38),"")</f>
        <v>1</v>
      </c>
      <c r="AL38" s="0" t="n">
        <f aca="false">IF(AJ38=1,1+COUNTIF($P38:$S38,"&gt;"&amp;INDEX($F38:$J38,AI38)),"")</f>
        <v>1</v>
      </c>
      <c r="AM38" s="0" t="n">
        <f aca="false">AVERAGE($P38:$S38)/MAX($P38:$S38)</f>
        <v>0.497678018575851</v>
      </c>
      <c r="AN38" s="0" t="n">
        <f aca="false">100-INDEX($F38:$J38,$E38)</f>
        <v>64.3</v>
      </c>
    </row>
    <row r="39" customFormat="false" ht="15" hidden="false" customHeight="false" outlineLevel="0" collapsed="false">
      <c r="A39" s="0" t="s">
        <v>40</v>
      </c>
      <c r="B39" s="0" t="n">
        <v>2025</v>
      </c>
      <c r="C39" s="0" t="s">
        <v>47</v>
      </c>
      <c r="D39" s="0" t="s">
        <v>45</v>
      </c>
      <c r="E39" s="0" t="n">
        <v>5</v>
      </c>
      <c r="F39" s="0" t="n">
        <v>16.7</v>
      </c>
      <c r="G39" s="0" t="n">
        <v>30.6</v>
      </c>
      <c r="H39" s="0" t="n">
        <v>9.1</v>
      </c>
      <c r="I39" s="0" t="n">
        <v>16.9</v>
      </c>
      <c r="J39" s="0" t="n">
        <v>26.8</v>
      </c>
      <c r="K39" s="0" t="n">
        <v>14.9185418857</v>
      </c>
      <c r="L39" s="0" t="n">
        <v>52.9454436827</v>
      </c>
      <c r="M39" s="0" t="n">
        <v>17.3088099349</v>
      </c>
      <c r="N39" s="0" t="n">
        <v>4.96961686456</v>
      </c>
      <c r="O39" s="0" t="n">
        <v>9.85758763211</v>
      </c>
      <c r="P39" s="0" t="n">
        <f aca="false">INDEX($F39:$J39,IF(1&lt;$E39,1,1+1))</f>
        <v>16.7</v>
      </c>
      <c r="Q39" s="0" t="n">
        <f aca="false">INDEX($F39:$J39,IF(2&lt;$E39,2,2+1))</f>
        <v>30.6</v>
      </c>
      <c r="R39" s="0" t="n">
        <f aca="false">INDEX($F39:$J39,IF(3&lt;$E39,3,3+1))</f>
        <v>9.1</v>
      </c>
      <c r="S39" s="0" t="n">
        <f aca="false">INDEX($F39:$J39,IF(4&lt;$E39,4,4+1))</f>
        <v>16.9</v>
      </c>
      <c r="T39" s="0" t="n">
        <f aca="false">INDEX($K39:$O39,IF(1&lt;$E39,1,1+1))</f>
        <v>14.9185418857</v>
      </c>
      <c r="U39" s="0" t="n">
        <f aca="false">INDEX($K39:$O39,IF(2&lt;$E39,2,2+1))</f>
        <v>52.9454436827</v>
      </c>
      <c r="V39" s="0" t="n">
        <f aca="false">INDEX($K39:$O39,IF(3&lt;$E39,3,3+1))</f>
        <v>17.3088099349</v>
      </c>
      <c r="W39" s="0" t="n">
        <f aca="false">INDEX($K39:$O39,IF(4&lt;$E39,4,4+1))</f>
        <v>4.96961686456</v>
      </c>
      <c r="X39" s="0" t="n">
        <f aca="false">1+COUNTIF($P39:$S39,"&gt;"&amp;$P39)+(COUNTIF($P39:$S39,$P39)-1)/2</f>
        <v>3</v>
      </c>
      <c r="Y39" s="0" t="n">
        <f aca="false">1+COUNTIF($P39:$S39,"&gt;"&amp;$Q39)+(COUNTIF($P39:$S39,$Q39)-1)/2</f>
        <v>1</v>
      </c>
      <c r="Z39" s="0" t="n">
        <f aca="false">1+COUNTIF($P39:$S39,"&gt;"&amp;$R39)+(COUNTIF($P39:$S39,$R39)-1)/2</f>
        <v>4</v>
      </c>
      <c r="AA39" s="0" t="n">
        <f aca="false">1+COUNTIF($P39:$S39,"&gt;"&amp;$S39)+(COUNTIF($P39:$S39,$S39)-1)/2</f>
        <v>2</v>
      </c>
      <c r="AB39" s="0" t="n">
        <f aca="false">1+COUNTIF($T39:$W39,"&gt;"&amp;$T39)+(COUNTIF($T39:$W39,$T39)-1)/2</f>
        <v>3</v>
      </c>
      <c r="AC39" s="0" t="n">
        <f aca="false">1+COUNTIF($T39:$W39,"&gt;"&amp;$U39)+(COUNTIF($T39:$W39,$U39)-1)/2</f>
        <v>1</v>
      </c>
      <c r="AD39" s="0" t="n">
        <f aca="false">1+COUNTIF($T39:$W39,"&gt;"&amp;$V39)+(COUNTIF($T39:$W39,$V39)-1)/2</f>
        <v>2</v>
      </c>
      <c r="AE39" s="0" t="n">
        <f aca="false">1+COUNTIF($T39:$W39,"&gt;"&amp;$W39)+(COUNTIF($T39:$W39,$W39)-1)/2</f>
        <v>4</v>
      </c>
      <c r="AF39" s="0" t="n">
        <f aca="false">IFERROR(CORREL($P39:$S39,$T39:$W39),"")</f>
        <v>0.814982208886111</v>
      </c>
      <c r="AG39" s="0" t="n">
        <f aca="false">IFERROR(CORREL($X39:$AA39,$AB39:$AE39),"")</f>
        <v>0.2</v>
      </c>
      <c r="AH39" s="0" t="n">
        <f aca="false">IFERROR((SIGN($P39-$Q39)*SIGN($T39-$U39)+SIGN($P39-$R39)*SIGN($T39-$V39)+SIGN($P39-$S39)*SIGN($T39-$W39)+SIGN($Q39-$R39)*SIGN($U39-$V39)+SIGN($Q39-$S39)*SIGN($U39-$W39)+SIGN($R39-$S39)*SIGN($V39-$W39))/SQRT((6-(($P39=$Q39)*1+($P39=$R39)*1+($P39=$S39)*1+($Q39=$R39)*1+($Q39=$S39)*1+($R39=$S39)*1))*(6-(($T39=$U39)*1+($T39=$V39)*1+($T39=$W39)*1+($U39=$V39)*1+($U39=$W39)*1+($V39=$W39)*1))),"")</f>
        <v>0</v>
      </c>
      <c r="AI39" s="0" t="n">
        <f aca="false">MATCH(MAX($K39:$O39),$K39:$O39,0)</f>
        <v>2</v>
      </c>
      <c r="AJ39" s="0" t="n">
        <f aca="false">IF(AI39&lt;&gt;$E39,1,0)</f>
        <v>1</v>
      </c>
      <c r="AK39" s="0" t="n">
        <f aca="false">IF(AJ39=1,INDEX($F39:$J39,AI39)/MAX($P39:$S39),"")</f>
        <v>1</v>
      </c>
      <c r="AL39" s="0" t="n">
        <f aca="false">IF(AJ39=1,1+COUNTIF($P39:$S39,"&gt;"&amp;INDEX($F39:$J39,AI39)),"")</f>
        <v>1</v>
      </c>
      <c r="AM39" s="0" t="n">
        <f aca="false">AVERAGE($P39:$S39)/MAX($P39:$S39)</f>
        <v>0.598856209150327</v>
      </c>
      <c r="AN39" s="0" t="n">
        <f aca="false">100-INDEX($F39:$J39,$E39)</f>
        <v>73.2</v>
      </c>
    </row>
    <row r="40" customFormat="false" ht="15" hidden="false" customHeight="false" outlineLevel="0" collapsed="false">
      <c r="A40" s="0" t="s">
        <v>40</v>
      </c>
      <c r="B40" s="0" t="n">
        <v>2024</v>
      </c>
      <c r="C40" s="0" t="s">
        <v>48</v>
      </c>
      <c r="D40" s="0" t="s">
        <v>42</v>
      </c>
      <c r="E40" s="0" t="n">
        <v>1</v>
      </c>
      <c r="F40" s="0" t="n">
        <v>45.5</v>
      </c>
      <c r="G40" s="0" t="n">
        <v>19.5</v>
      </c>
      <c r="H40" s="0" t="n">
        <v>14.1</v>
      </c>
      <c r="I40" s="0" t="n">
        <v>10.8</v>
      </c>
      <c r="J40" s="0" t="n">
        <v>10.1</v>
      </c>
      <c r="K40" s="0" t="n">
        <v>43.7401564519</v>
      </c>
      <c r="L40" s="0" t="n">
        <v>35.8546039258</v>
      </c>
      <c r="M40" s="0" t="n">
        <v>0.467742516101</v>
      </c>
      <c r="N40" s="0" t="n">
        <v>0.0210766074492</v>
      </c>
      <c r="O40" s="0" t="n">
        <v>19.9164204987</v>
      </c>
      <c r="P40" s="0" t="n">
        <f aca="false">INDEX($F40:$J40,IF(1&lt;$E40,1,1+1))</f>
        <v>19.5</v>
      </c>
      <c r="Q40" s="0" t="n">
        <f aca="false">INDEX($F40:$J40,IF(2&lt;$E40,2,2+1))</f>
        <v>14.1</v>
      </c>
      <c r="R40" s="0" t="n">
        <f aca="false">INDEX($F40:$J40,IF(3&lt;$E40,3,3+1))</f>
        <v>10.8</v>
      </c>
      <c r="S40" s="0" t="n">
        <f aca="false">INDEX($F40:$J40,IF(4&lt;$E40,4,4+1))</f>
        <v>10.1</v>
      </c>
      <c r="T40" s="0" t="n">
        <f aca="false">INDEX($K40:$O40,IF(1&lt;$E40,1,1+1))</f>
        <v>35.8546039258</v>
      </c>
      <c r="U40" s="0" t="n">
        <f aca="false">INDEX($K40:$O40,IF(2&lt;$E40,2,2+1))</f>
        <v>0.467742516101</v>
      </c>
      <c r="V40" s="0" t="n">
        <f aca="false">INDEX($K40:$O40,IF(3&lt;$E40,3,3+1))</f>
        <v>0.0210766074492</v>
      </c>
      <c r="W40" s="0" t="n">
        <f aca="false">INDEX($K40:$O40,IF(4&lt;$E40,4,4+1))</f>
        <v>19.9164204987</v>
      </c>
      <c r="X40" s="0" t="n">
        <f aca="false">1+COUNTIF($P40:$S40,"&gt;"&amp;$P40)+(COUNTIF($P40:$S40,$P40)-1)/2</f>
        <v>1</v>
      </c>
      <c r="Y40" s="0" t="n">
        <f aca="false">1+COUNTIF($P40:$S40,"&gt;"&amp;$Q40)+(COUNTIF($P40:$S40,$Q40)-1)/2</f>
        <v>2</v>
      </c>
      <c r="Z40" s="0" t="n">
        <f aca="false">1+COUNTIF($P40:$S40,"&gt;"&amp;$R40)+(COUNTIF($P40:$S40,$R40)-1)/2</f>
        <v>3</v>
      </c>
      <c r="AA40" s="0" t="n">
        <f aca="false">1+COUNTIF($P40:$S40,"&gt;"&amp;$S40)+(COUNTIF($P40:$S40,$S40)-1)/2</f>
        <v>4</v>
      </c>
      <c r="AB40" s="0" t="n">
        <f aca="false">1+COUNTIF($T40:$W40,"&gt;"&amp;$T40)+(COUNTIF($T40:$W40,$T40)-1)/2</f>
        <v>1</v>
      </c>
      <c r="AC40" s="0" t="n">
        <f aca="false">1+COUNTIF($T40:$W40,"&gt;"&amp;$U40)+(COUNTIF($T40:$W40,$U40)-1)/2</f>
        <v>3</v>
      </c>
      <c r="AD40" s="0" t="n">
        <f aca="false">1+COUNTIF($T40:$W40,"&gt;"&amp;$V40)+(COUNTIF($T40:$W40,$V40)-1)/2</f>
        <v>4</v>
      </c>
      <c r="AE40" s="0" t="n">
        <f aca="false">1+COUNTIF($T40:$W40,"&gt;"&amp;$W40)+(COUNTIF($T40:$W40,$W40)-1)/2</f>
        <v>2</v>
      </c>
      <c r="AF40" s="0" t="n">
        <f aca="false">IFERROR(CORREL($P40:$S40,$T40:$W40),"")</f>
        <v>0.634246523281403</v>
      </c>
      <c r="AG40" s="0" t="n">
        <f aca="false">IFERROR(CORREL($X40:$AA40,$AB40:$AE40),"")</f>
        <v>0.4</v>
      </c>
      <c r="AH40" s="0" t="n">
        <f aca="false">IFERROR((SIGN($P40-$Q40)*SIGN($T40-$U40)+SIGN($P40-$R40)*SIGN($T40-$V40)+SIGN($P40-$S40)*SIGN($T40-$W40)+SIGN($Q40-$R40)*SIGN($U40-$V40)+SIGN($Q40-$S40)*SIGN($U40-$W40)+SIGN($R40-$S40)*SIGN($V40-$W40))/SQRT((6-(($P40=$Q40)*1+($P40=$R40)*1+($P40=$S40)*1+($Q40=$R40)*1+($Q40=$S40)*1+($R40=$S40)*1))*(6-(($T40=$U40)*1+($T40=$V40)*1+($T40=$W40)*1+($U40=$V40)*1+($U40=$W40)*1+($V40=$W40)*1))),"")</f>
        <v>0.333333333333333</v>
      </c>
      <c r="AI40" s="0" t="n">
        <f aca="false">MATCH(MAX($K40:$O40),$K40:$O40,0)</f>
        <v>1</v>
      </c>
      <c r="AJ40" s="0" t="n">
        <f aca="false">IF(AI40&lt;&gt;$E40,1,0)</f>
        <v>0</v>
      </c>
      <c r="AK40" s="0" t="str">
        <f aca="false">IF(AJ40=1,INDEX($F40:$J40,AI40)/MAX($P40:$S40),"")</f>
        <v/>
      </c>
      <c r="AL40" s="0" t="str">
        <f aca="false">IF(AJ40=1,1+COUNTIF($P40:$S40,"&gt;"&amp;INDEX($F40:$J40,AI40)),"")</f>
        <v/>
      </c>
      <c r="AM40" s="0" t="n">
        <f aca="false">AVERAGE($P40:$S40)/MAX($P40:$S40)</f>
        <v>0.698717948717949</v>
      </c>
      <c r="AN40" s="0" t="n">
        <f aca="false">100-INDEX($F40:$J40,$E40)</f>
        <v>54.5</v>
      </c>
    </row>
    <row r="41" customFormat="false" ht="15" hidden="false" customHeight="false" outlineLevel="0" collapsed="false">
      <c r="A41" s="0" t="s">
        <v>40</v>
      </c>
      <c r="B41" s="0" t="n">
        <v>2024</v>
      </c>
      <c r="C41" s="0" t="s">
        <v>48</v>
      </c>
      <c r="D41" s="0" t="s">
        <v>43</v>
      </c>
      <c r="E41" s="0" t="n">
        <v>2</v>
      </c>
      <c r="F41" s="0" t="n">
        <v>17.3</v>
      </c>
      <c r="G41" s="0" t="n">
        <v>52.5</v>
      </c>
      <c r="H41" s="0" t="n">
        <v>11.3</v>
      </c>
      <c r="I41" s="0" t="n">
        <v>12.9</v>
      </c>
      <c r="J41" s="0" t="n">
        <v>6</v>
      </c>
      <c r="K41" s="0" t="n">
        <v>8.65534526148</v>
      </c>
      <c r="L41" s="0" t="n">
        <v>35.4592807934</v>
      </c>
      <c r="M41" s="0" t="n">
        <v>8.52967853068</v>
      </c>
      <c r="N41" s="0" t="n">
        <v>20.0564083493</v>
      </c>
      <c r="O41" s="0" t="n">
        <v>27.2992870651</v>
      </c>
      <c r="P41" s="0" t="n">
        <f aca="false">INDEX($F41:$J41,IF(1&lt;$E41,1,1+1))</f>
        <v>17.3</v>
      </c>
      <c r="Q41" s="0" t="n">
        <f aca="false">INDEX($F41:$J41,IF(2&lt;$E41,2,2+1))</f>
        <v>11.3</v>
      </c>
      <c r="R41" s="0" t="n">
        <f aca="false">INDEX($F41:$J41,IF(3&lt;$E41,3,3+1))</f>
        <v>12.9</v>
      </c>
      <c r="S41" s="0" t="n">
        <f aca="false">INDEX($F41:$J41,IF(4&lt;$E41,4,4+1))</f>
        <v>6</v>
      </c>
      <c r="T41" s="0" t="n">
        <f aca="false">INDEX($K41:$O41,IF(1&lt;$E41,1,1+1))</f>
        <v>8.65534526148</v>
      </c>
      <c r="U41" s="0" t="n">
        <f aca="false">INDEX($K41:$O41,IF(2&lt;$E41,2,2+1))</f>
        <v>8.52967853068</v>
      </c>
      <c r="V41" s="0" t="n">
        <f aca="false">INDEX($K41:$O41,IF(3&lt;$E41,3,3+1))</f>
        <v>20.0564083493</v>
      </c>
      <c r="W41" s="0" t="n">
        <f aca="false">INDEX($K41:$O41,IF(4&lt;$E41,4,4+1))</f>
        <v>27.2992870651</v>
      </c>
      <c r="X41" s="0" t="n">
        <f aca="false">1+COUNTIF($P41:$S41,"&gt;"&amp;$P41)+(COUNTIF($P41:$S41,$P41)-1)/2</f>
        <v>1</v>
      </c>
      <c r="Y41" s="0" t="n">
        <f aca="false">1+COUNTIF($P41:$S41,"&gt;"&amp;$Q41)+(COUNTIF($P41:$S41,$Q41)-1)/2</f>
        <v>3</v>
      </c>
      <c r="Z41" s="0" t="n">
        <f aca="false">1+COUNTIF($P41:$S41,"&gt;"&amp;$R41)+(COUNTIF($P41:$S41,$R41)-1)/2</f>
        <v>2</v>
      </c>
      <c r="AA41" s="0" t="n">
        <f aca="false">1+COUNTIF($P41:$S41,"&gt;"&amp;$S41)+(COUNTIF($P41:$S41,$S41)-1)/2</f>
        <v>4</v>
      </c>
      <c r="AB41" s="0" t="n">
        <f aca="false">1+COUNTIF($T41:$W41,"&gt;"&amp;$T41)+(COUNTIF($T41:$W41,$T41)-1)/2</f>
        <v>3</v>
      </c>
      <c r="AC41" s="0" t="n">
        <f aca="false">1+COUNTIF($T41:$W41,"&gt;"&amp;$U41)+(COUNTIF($T41:$W41,$U41)-1)/2</f>
        <v>4</v>
      </c>
      <c r="AD41" s="0" t="n">
        <f aca="false">1+COUNTIF($T41:$W41,"&gt;"&amp;$V41)+(COUNTIF($T41:$W41,$V41)-1)/2</f>
        <v>2</v>
      </c>
      <c r="AE41" s="0" t="n">
        <f aca="false">1+COUNTIF($T41:$W41,"&gt;"&amp;$W41)+(COUNTIF($T41:$W41,$W41)-1)/2</f>
        <v>1</v>
      </c>
      <c r="AF41" s="0" t="n">
        <f aca="false">IFERROR(CORREL($P41:$S41,$T41:$W41),"")</f>
        <v>-0.75932720788718</v>
      </c>
      <c r="AG41" s="0" t="n">
        <f aca="false">IFERROR(CORREL($X41:$AA41,$AB41:$AE41),"")</f>
        <v>-0.4</v>
      </c>
      <c r="AH41" s="0" t="n">
        <f aca="false">IFERROR((SIGN($P41-$Q41)*SIGN($T41-$U41)+SIGN($P41-$R41)*SIGN($T41-$V41)+SIGN($P41-$S41)*SIGN($T41-$W41)+SIGN($Q41-$R41)*SIGN($U41-$V41)+SIGN($Q41-$S41)*SIGN($U41-$W41)+SIGN($R41-$S41)*SIGN($V41-$W41))/SQRT((6-(($P41=$Q41)*1+($P41=$R41)*1+($P41=$S41)*1+($Q41=$R41)*1+($Q41=$S41)*1+($R41=$S41)*1))*(6-(($T41=$U41)*1+($T41=$V41)*1+($T41=$W41)*1+($U41=$V41)*1+($U41=$W41)*1+($V41=$W41)*1))),"")</f>
        <v>-0.333333333333333</v>
      </c>
      <c r="AI41" s="0" t="n">
        <f aca="false">MATCH(MAX($K41:$O41),$K41:$O41,0)</f>
        <v>2</v>
      </c>
      <c r="AJ41" s="0" t="n">
        <f aca="false">IF(AI41&lt;&gt;$E41,1,0)</f>
        <v>0</v>
      </c>
      <c r="AK41" s="0" t="str">
        <f aca="false">IF(AJ41=1,INDEX($F41:$J41,AI41)/MAX($P41:$S41),"")</f>
        <v/>
      </c>
      <c r="AL41" s="0" t="str">
        <f aca="false">IF(AJ41=1,1+COUNTIF($P41:$S41,"&gt;"&amp;INDEX($F41:$J41,AI41)),"")</f>
        <v/>
      </c>
      <c r="AM41" s="0" t="n">
        <f aca="false">AVERAGE($P41:$S41)/MAX($P41:$S41)</f>
        <v>0.686416184971098</v>
      </c>
      <c r="AN41" s="0" t="n">
        <f aca="false">100-INDEX($F41:$J41,$E41)</f>
        <v>47.5</v>
      </c>
    </row>
    <row r="42" customFormat="false" ht="15" hidden="false" customHeight="false" outlineLevel="0" collapsed="false">
      <c r="A42" s="0" t="s">
        <v>40</v>
      </c>
      <c r="B42" s="0" t="n">
        <v>2024</v>
      </c>
      <c r="C42" s="0" t="s">
        <v>48</v>
      </c>
      <c r="D42" s="0" t="s">
        <v>44</v>
      </c>
      <c r="E42" s="0" t="n">
        <v>2</v>
      </c>
      <c r="F42" s="0" t="n">
        <v>14.8</v>
      </c>
      <c r="G42" s="0" t="n">
        <v>46.3</v>
      </c>
      <c r="H42" s="0" t="n">
        <v>14</v>
      </c>
      <c r="I42" s="0" t="n">
        <v>14.9</v>
      </c>
      <c r="J42" s="0" t="n">
        <v>10</v>
      </c>
      <c r="K42" s="0" t="n">
        <v>14.6716755988</v>
      </c>
      <c r="L42" s="0" t="n">
        <v>29.0599786972</v>
      </c>
      <c r="M42" s="0" t="n">
        <v>2.99605008235</v>
      </c>
      <c r="N42" s="0" t="n">
        <v>15.6800878826</v>
      </c>
      <c r="O42" s="0" t="n">
        <v>37.5922077391</v>
      </c>
      <c r="P42" s="0" t="n">
        <f aca="false">INDEX($F42:$J42,IF(1&lt;$E42,1,1+1))</f>
        <v>14.8</v>
      </c>
      <c r="Q42" s="0" t="n">
        <f aca="false">INDEX($F42:$J42,IF(2&lt;$E42,2,2+1))</f>
        <v>14</v>
      </c>
      <c r="R42" s="0" t="n">
        <f aca="false">INDEX($F42:$J42,IF(3&lt;$E42,3,3+1))</f>
        <v>14.9</v>
      </c>
      <c r="S42" s="0" t="n">
        <f aca="false">INDEX($F42:$J42,IF(4&lt;$E42,4,4+1))</f>
        <v>10</v>
      </c>
      <c r="T42" s="0" t="n">
        <f aca="false">INDEX($K42:$O42,IF(1&lt;$E42,1,1+1))</f>
        <v>14.6716755988</v>
      </c>
      <c r="U42" s="0" t="n">
        <f aca="false">INDEX($K42:$O42,IF(2&lt;$E42,2,2+1))</f>
        <v>2.99605008235</v>
      </c>
      <c r="V42" s="0" t="n">
        <f aca="false">INDEX($K42:$O42,IF(3&lt;$E42,3,3+1))</f>
        <v>15.6800878826</v>
      </c>
      <c r="W42" s="0" t="n">
        <f aca="false">INDEX($K42:$O42,IF(4&lt;$E42,4,4+1))</f>
        <v>37.5922077391</v>
      </c>
      <c r="X42" s="0" t="n">
        <f aca="false">1+COUNTIF($P42:$S42,"&gt;"&amp;$P42)+(COUNTIF($P42:$S42,$P42)-1)/2</f>
        <v>2</v>
      </c>
      <c r="Y42" s="0" t="n">
        <f aca="false">1+COUNTIF($P42:$S42,"&gt;"&amp;$Q42)+(COUNTIF($P42:$S42,$Q42)-1)/2</f>
        <v>3</v>
      </c>
      <c r="Z42" s="0" t="n">
        <f aca="false">1+COUNTIF($P42:$S42,"&gt;"&amp;$R42)+(COUNTIF($P42:$S42,$R42)-1)/2</f>
        <v>1</v>
      </c>
      <c r="AA42" s="0" t="n">
        <f aca="false">1+COUNTIF($P42:$S42,"&gt;"&amp;$S42)+(COUNTIF($P42:$S42,$S42)-1)/2</f>
        <v>4</v>
      </c>
      <c r="AB42" s="0" t="n">
        <f aca="false">1+COUNTIF($T42:$W42,"&gt;"&amp;$T42)+(COUNTIF($T42:$W42,$T42)-1)/2</f>
        <v>3</v>
      </c>
      <c r="AC42" s="0" t="n">
        <f aca="false">1+COUNTIF($T42:$W42,"&gt;"&amp;$U42)+(COUNTIF($T42:$W42,$U42)-1)/2</f>
        <v>4</v>
      </c>
      <c r="AD42" s="0" t="n">
        <f aca="false">1+COUNTIF($T42:$W42,"&gt;"&amp;$V42)+(COUNTIF($T42:$W42,$V42)-1)/2</f>
        <v>2</v>
      </c>
      <c r="AE42" s="0" t="n">
        <f aca="false">1+COUNTIF($T42:$W42,"&gt;"&amp;$W42)+(COUNTIF($T42:$W42,$W42)-1)/2</f>
        <v>1</v>
      </c>
      <c r="AF42" s="0" t="n">
        <f aca="false">IFERROR(CORREL($P42:$S42,$T42:$W42),"")</f>
        <v>-0.833871356154875</v>
      </c>
      <c r="AG42" s="0" t="n">
        <f aca="false">IFERROR(CORREL($X42:$AA42,$AB42:$AE42),"")</f>
        <v>-0.2</v>
      </c>
      <c r="AH42" s="0" t="n">
        <f aca="false">IFERROR((SIGN($P42-$Q42)*SIGN($T42-$U42)+SIGN($P42-$R42)*SIGN($T42-$V42)+SIGN($P42-$S42)*SIGN($T42-$W42)+SIGN($Q42-$R42)*SIGN($U42-$V42)+SIGN($Q42-$S42)*SIGN($U42-$W42)+SIGN($R42-$S42)*SIGN($V42-$W42))/SQRT((6-(($P42=$Q42)*1+($P42=$R42)*1+($P42=$S42)*1+($Q42=$R42)*1+($Q42=$S42)*1+($R42=$S42)*1))*(6-(($T42=$U42)*1+($T42=$V42)*1+($T42=$W42)*1+($U42=$V42)*1+($U42=$W42)*1+($V42=$W42)*1))),"")</f>
        <v>0</v>
      </c>
      <c r="AI42" s="0" t="n">
        <f aca="false">MATCH(MAX($K42:$O42),$K42:$O42,0)</f>
        <v>5</v>
      </c>
      <c r="AJ42" s="0" t="n">
        <f aca="false">IF(AI42&lt;&gt;$E42,1,0)</f>
        <v>1</v>
      </c>
      <c r="AK42" s="0" t="n">
        <f aca="false">IF(AJ42=1,INDEX($F42:$J42,AI42)/MAX($P42:$S42),"")</f>
        <v>0.671140939597316</v>
      </c>
      <c r="AL42" s="0" t="n">
        <f aca="false">IF(AJ42=1,1+COUNTIF($P42:$S42,"&gt;"&amp;INDEX($F42:$J42,AI42)),"")</f>
        <v>4</v>
      </c>
      <c r="AM42" s="0" t="n">
        <f aca="false">AVERAGE($P42:$S42)/MAX($P42:$S42)</f>
        <v>0.901006711409396</v>
      </c>
      <c r="AN42" s="0" t="n">
        <f aca="false">100-INDEX($F42:$J42,$E42)</f>
        <v>53.7</v>
      </c>
    </row>
    <row r="43" customFormat="false" ht="15" hidden="false" customHeight="false" outlineLevel="0" collapsed="false">
      <c r="A43" s="0" t="s">
        <v>40</v>
      </c>
      <c r="B43" s="0" t="n">
        <v>2024</v>
      </c>
      <c r="C43" s="0" t="s">
        <v>48</v>
      </c>
      <c r="D43" s="0" t="s">
        <v>45</v>
      </c>
      <c r="E43" s="0" t="n">
        <v>2</v>
      </c>
      <c r="F43" s="0" t="n">
        <v>20</v>
      </c>
      <c r="G43" s="0" t="n">
        <v>40.1</v>
      </c>
      <c r="H43" s="0" t="n">
        <v>12.8</v>
      </c>
      <c r="I43" s="0" t="n">
        <v>13</v>
      </c>
      <c r="J43" s="0" t="n">
        <v>14.2</v>
      </c>
      <c r="K43" s="0" t="n">
        <v>14.1344781942</v>
      </c>
      <c r="L43" s="0" t="n">
        <v>50.9901514787</v>
      </c>
      <c r="M43" s="0" t="n">
        <v>3.6541775122</v>
      </c>
      <c r="N43" s="0" t="n">
        <v>21.1772994012</v>
      </c>
      <c r="O43" s="0" t="n">
        <v>10.0438934137</v>
      </c>
      <c r="P43" s="0" t="n">
        <f aca="false">INDEX($F43:$J43,IF(1&lt;$E43,1,1+1))</f>
        <v>20</v>
      </c>
      <c r="Q43" s="0" t="n">
        <f aca="false">INDEX($F43:$J43,IF(2&lt;$E43,2,2+1))</f>
        <v>12.8</v>
      </c>
      <c r="R43" s="0" t="n">
        <f aca="false">INDEX($F43:$J43,IF(3&lt;$E43,3,3+1))</f>
        <v>13</v>
      </c>
      <c r="S43" s="0" t="n">
        <f aca="false">INDEX($F43:$J43,IF(4&lt;$E43,4,4+1))</f>
        <v>14.2</v>
      </c>
      <c r="T43" s="0" t="n">
        <f aca="false">INDEX($K43:$O43,IF(1&lt;$E43,1,1+1))</f>
        <v>14.1344781942</v>
      </c>
      <c r="U43" s="0" t="n">
        <f aca="false">INDEX($K43:$O43,IF(2&lt;$E43,2,2+1))</f>
        <v>3.6541775122</v>
      </c>
      <c r="V43" s="0" t="n">
        <f aca="false">INDEX($K43:$O43,IF(3&lt;$E43,3,3+1))</f>
        <v>21.1772994012</v>
      </c>
      <c r="W43" s="0" t="n">
        <f aca="false">INDEX($K43:$O43,IF(4&lt;$E43,4,4+1))</f>
        <v>10.0438934137</v>
      </c>
      <c r="X43" s="0" t="n">
        <f aca="false">1+COUNTIF($P43:$S43,"&gt;"&amp;$P43)+(COUNTIF($P43:$S43,$P43)-1)/2</f>
        <v>1</v>
      </c>
      <c r="Y43" s="0" t="n">
        <f aca="false">1+COUNTIF($P43:$S43,"&gt;"&amp;$Q43)+(COUNTIF($P43:$S43,$Q43)-1)/2</f>
        <v>4</v>
      </c>
      <c r="Z43" s="0" t="n">
        <f aca="false">1+COUNTIF($P43:$S43,"&gt;"&amp;$R43)+(COUNTIF($P43:$S43,$R43)-1)/2</f>
        <v>3</v>
      </c>
      <c r="AA43" s="0" t="n">
        <f aca="false">1+COUNTIF($P43:$S43,"&gt;"&amp;$S43)+(COUNTIF($P43:$S43,$S43)-1)/2</f>
        <v>2</v>
      </c>
      <c r="AB43" s="0" t="n">
        <f aca="false">1+COUNTIF($T43:$W43,"&gt;"&amp;$T43)+(COUNTIF($T43:$W43,$T43)-1)/2</f>
        <v>2</v>
      </c>
      <c r="AC43" s="0" t="n">
        <f aca="false">1+COUNTIF($T43:$W43,"&gt;"&amp;$U43)+(COUNTIF($T43:$W43,$U43)-1)/2</f>
        <v>4</v>
      </c>
      <c r="AD43" s="0" t="n">
        <f aca="false">1+COUNTIF($T43:$W43,"&gt;"&amp;$V43)+(COUNTIF($T43:$W43,$V43)-1)/2</f>
        <v>1</v>
      </c>
      <c r="AE43" s="0" t="n">
        <f aca="false">1+COUNTIF($T43:$W43,"&gt;"&amp;$W43)+(COUNTIF($T43:$W43,$W43)-1)/2</f>
        <v>3</v>
      </c>
      <c r="AF43" s="0" t="n">
        <f aca="false">IFERROR(CORREL($P43:$S43,$T43:$W43),"")</f>
        <v>0.163817386288263</v>
      </c>
      <c r="AG43" s="0" t="n">
        <f aca="false">IFERROR(CORREL($X43:$AA43,$AB43:$AE43),"")</f>
        <v>0.4</v>
      </c>
      <c r="AH43" s="0" t="n">
        <f aca="false">IFERROR((SIGN($P43-$Q43)*SIGN($T43-$U43)+SIGN($P43-$R43)*SIGN($T43-$V43)+SIGN($P43-$S43)*SIGN($T43-$W43)+SIGN($Q43-$R43)*SIGN($U43-$V43)+SIGN($Q43-$S43)*SIGN($U43-$W43)+SIGN($R43-$S43)*SIGN($V43-$W43))/SQRT((6-(($P43=$Q43)*1+($P43=$R43)*1+($P43=$S43)*1+($Q43=$R43)*1+($Q43=$S43)*1+($R43=$S43)*1))*(6-(($T43=$U43)*1+($T43=$V43)*1+($T43=$W43)*1+($U43=$V43)*1+($U43=$W43)*1+($V43=$W43)*1))),"")</f>
        <v>0.333333333333333</v>
      </c>
      <c r="AI43" s="0" t="n">
        <f aca="false">MATCH(MAX($K43:$O43),$K43:$O43,0)</f>
        <v>2</v>
      </c>
      <c r="AJ43" s="0" t="n">
        <f aca="false">IF(AI43&lt;&gt;$E43,1,0)</f>
        <v>0</v>
      </c>
      <c r="AK43" s="0" t="str">
        <f aca="false">IF(AJ43=1,INDEX($F43:$J43,AI43)/MAX($P43:$S43),"")</f>
        <v/>
      </c>
      <c r="AL43" s="0" t="str">
        <f aca="false">IF(AJ43=1,1+COUNTIF($P43:$S43,"&gt;"&amp;INDEX($F43:$J43,AI43)),"")</f>
        <v/>
      </c>
      <c r="AM43" s="0" t="n">
        <f aca="false">AVERAGE($P43:$S43)/MAX($P43:$S43)</f>
        <v>0.75</v>
      </c>
      <c r="AN43" s="0" t="n">
        <f aca="false">100-INDEX($F43:$J43,$E43)</f>
        <v>59.9</v>
      </c>
    </row>
    <row r="44" customFormat="false" ht="15" hidden="false" customHeight="false" outlineLevel="0" collapsed="false">
      <c r="A44" s="0" t="s">
        <v>40</v>
      </c>
      <c r="B44" s="0" t="n">
        <v>2024</v>
      </c>
      <c r="C44" s="0" t="s">
        <v>49</v>
      </c>
      <c r="D44" s="0" t="s">
        <v>42</v>
      </c>
      <c r="E44" s="0" t="n">
        <v>2</v>
      </c>
      <c r="F44" s="0" t="n">
        <v>9.2</v>
      </c>
      <c r="G44" s="0" t="n">
        <v>53.6</v>
      </c>
      <c r="H44" s="0" t="n">
        <v>16</v>
      </c>
      <c r="I44" s="0" t="n">
        <v>13.2</v>
      </c>
      <c r="J44" s="0" t="n">
        <v>8</v>
      </c>
      <c r="K44" s="0" t="n">
        <v>7.63586976208</v>
      </c>
      <c r="L44" s="0" t="n">
        <v>50.0845072825</v>
      </c>
      <c r="M44" s="0" t="n">
        <v>16.6274208263</v>
      </c>
      <c r="N44" s="0" t="n">
        <v>19.8889126065</v>
      </c>
      <c r="O44" s="0" t="n">
        <v>5.76328952251</v>
      </c>
      <c r="P44" s="0" t="n">
        <f aca="false">INDEX($F44:$J44,IF(1&lt;$E44,1,1+1))</f>
        <v>9.2</v>
      </c>
      <c r="Q44" s="0" t="n">
        <f aca="false">INDEX($F44:$J44,IF(2&lt;$E44,2,2+1))</f>
        <v>16</v>
      </c>
      <c r="R44" s="0" t="n">
        <f aca="false">INDEX($F44:$J44,IF(3&lt;$E44,3,3+1))</f>
        <v>13.2</v>
      </c>
      <c r="S44" s="0" t="n">
        <f aca="false">INDEX($F44:$J44,IF(4&lt;$E44,4,4+1))</f>
        <v>8</v>
      </c>
      <c r="T44" s="0" t="n">
        <f aca="false">INDEX($K44:$O44,IF(1&lt;$E44,1,1+1))</f>
        <v>7.63586976208</v>
      </c>
      <c r="U44" s="0" t="n">
        <f aca="false">INDEX($K44:$O44,IF(2&lt;$E44,2,2+1))</f>
        <v>16.6274208263</v>
      </c>
      <c r="V44" s="0" t="n">
        <f aca="false">INDEX($K44:$O44,IF(3&lt;$E44,3,3+1))</f>
        <v>19.8889126065</v>
      </c>
      <c r="W44" s="0" t="n">
        <f aca="false">INDEX($K44:$O44,IF(4&lt;$E44,4,4+1))</f>
        <v>5.76328952251</v>
      </c>
      <c r="X44" s="0" t="n">
        <f aca="false">1+COUNTIF($P44:$S44,"&gt;"&amp;$P44)+(COUNTIF($P44:$S44,$P44)-1)/2</f>
        <v>3</v>
      </c>
      <c r="Y44" s="0" t="n">
        <f aca="false">1+COUNTIF($P44:$S44,"&gt;"&amp;$Q44)+(COUNTIF($P44:$S44,$Q44)-1)/2</f>
        <v>1</v>
      </c>
      <c r="Z44" s="0" t="n">
        <f aca="false">1+COUNTIF($P44:$S44,"&gt;"&amp;$R44)+(COUNTIF($P44:$S44,$R44)-1)/2</f>
        <v>2</v>
      </c>
      <c r="AA44" s="0" t="n">
        <f aca="false">1+COUNTIF($P44:$S44,"&gt;"&amp;$S44)+(COUNTIF($P44:$S44,$S44)-1)/2</f>
        <v>4</v>
      </c>
      <c r="AB44" s="0" t="n">
        <f aca="false">1+COUNTIF($T44:$W44,"&gt;"&amp;$T44)+(COUNTIF($T44:$W44,$T44)-1)/2</f>
        <v>3</v>
      </c>
      <c r="AC44" s="0" t="n">
        <f aca="false">1+COUNTIF($T44:$W44,"&gt;"&amp;$U44)+(COUNTIF($T44:$W44,$U44)-1)/2</f>
        <v>2</v>
      </c>
      <c r="AD44" s="0" t="n">
        <f aca="false">1+COUNTIF($T44:$W44,"&gt;"&amp;$V44)+(COUNTIF($T44:$W44,$V44)-1)/2</f>
        <v>1</v>
      </c>
      <c r="AE44" s="0" t="n">
        <f aca="false">1+COUNTIF($T44:$W44,"&gt;"&amp;$W44)+(COUNTIF($T44:$W44,$W44)-1)/2</f>
        <v>4</v>
      </c>
      <c r="AF44" s="0" t="n">
        <f aca="false">IFERROR(CORREL($P44:$S44,$T44:$W44),"")</f>
        <v>0.871691013335667</v>
      </c>
      <c r="AG44" s="0" t="n">
        <f aca="false">IFERROR(CORREL($X44:$AA44,$AB44:$AE44),"")</f>
        <v>0.8</v>
      </c>
      <c r="AH44" s="0" t="n">
        <f aca="false">IFERROR((SIGN($P44-$Q44)*SIGN($T44-$U44)+SIGN($P44-$R44)*SIGN($T44-$V44)+SIGN($P44-$S44)*SIGN($T44-$W44)+SIGN($Q44-$R44)*SIGN($U44-$V44)+SIGN($Q44-$S44)*SIGN($U44-$W44)+SIGN($R44-$S44)*SIGN($V44-$W44))/SQRT((6-(($P44=$Q44)*1+($P44=$R44)*1+($P44=$S44)*1+($Q44=$R44)*1+($Q44=$S44)*1+($R44=$S44)*1))*(6-(($T44=$U44)*1+($T44=$V44)*1+($T44=$W44)*1+($U44=$V44)*1+($U44=$W44)*1+($V44=$W44)*1))),"")</f>
        <v>0.666666666666667</v>
      </c>
      <c r="AI44" s="0" t="n">
        <f aca="false">MATCH(MAX($K44:$O44),$K44:$O44,0)</f>
        <v>2</v>
      </c>
      <c r="AJ44" s="0" t="n">
        <f aca="false">IF(AI44&lt;&gt;$E44,1,0)</f>
        <v>0</v>
      </c>
      <c r="AK44" s="0" t="str">
        <f aca="false">IF(AJ44=1,INDEX($F44:$J44,AI44)/MAX($P44:$S44),"")</f>
        <v/>
      </c>
      <c r="AL44" s="0" t="str">
        <f aca="false">IF(AJ44=1,1+COUNTIF($P44:$S44,"&gt;"&amp;INDEX($F44:$J44,AI44)),"")</f>
        <v/>
      </c>
      <c r="AM44" s="0" t="n">
        <f aca="false">AVERAGE($P44:$S44)/MAX($P44:$S44)</f>
        <v>0.725</v>
      </c>
      <c r="AN44" s="0" t="n">
        <f aca="false">100-INDEX($F44:$J44,$E44)</f>
        <v>46.4</v>
      </c>
    </row>
    <row r="45" customFormat="false" ht="15" hidden="false" customHeight="false" outlineLevel="0" collapsed="false">
      <c r="A45" s="0" t="s">
        <v>40</v>
      </c>
      <c r="B45" s="0" t="n">
        <v>2024</v>
      </c>
      <c r="C45" s="0" t="s">
        <v>49</v>
      </c>
      <c r="D45" s="0" t="s">
        <v>43</v>
      </c>
      <c r="E45" s="0" t="n">
        <v>2</v>
      </c>
      <c r="F45" s="0" t="n">
        <v>24.2</v>
      </c>
      <c r="G45" s="0" t="n">
        <v>33.7</v>
      </c>
      <c r="H45" s="0" t="n">
        <v>10.8</v>
      </c>
      <c r="I45" s="0" t="n">
        <v>17.2</v>
      </c>
      <c r="J45" s="0" t="n">
        <v>14.1</v>
      </c>
      <c r="K45" s="0" t="n">
        <v>5.5662810327</v>
      </c>
      <c r="L45" s="0" t="n">
        <v>34.8144360802</v>
      </c>
      <c r="M45" s="0" t="n">
        <v>24.3730306793</v>
      </c>
      <c r="N45" s="0" t="n">
        <v>21.4441726412</v>
      </c>
      <c r="O45" s="0" t="n">
        <v>13.8020795666</v>
      </c>
      <c r="P45" s="0" t="n">
        <f aca="false">INDEX($F45:$J45,IF(1&lt;$E45,1,1+1))</f>
        <v>24.2</v>
      </c>
      <c r="Q45" s="0" t="n">
        <f aca="false">INDEX($F45:$J45,IF(2&lt;$E45,2,2+1))</f>
        <v>10.8</v>
      </c>
      <c r="R45" s="0" t="n">
        <f aca="false">INDEX($F45:$J45,IF(3&lt;$E45,3,3+1))</f>
        <v>17.2</v>
      </c>
      <c r="S45" s="0" t="n">
        <f aca="false">INDEX($F45:$J45,IF(4&lt;$E45,4,4+1))</f>
        <v>14.1</v>
      </c>
      <c r="T45" s="0" t="n">
        <f aca="false">INDEX($K45:$O45,IF(1&lt;$E45,1,1+1))</f>
        <v>5.5662810327</v>
      </c>
      <c r="U45" s="0" t="n">
        <f aca="false">INDEX($K45:$O45,IF(2&lt;$E45,2,2+1))</f>
        <v>24.3730306793</v>
      </c>
      <c r="V45" s="0" t="n">
        <f aca="false">INDEX($K45:$O45,IF(3&lt;$E45,3,3+1))</f>
        <v>21.4441726412</v>
      </c>
      <c r="W45" s="0" t="n">
        <f aca="false">INDEX($K45:$O45,IF(4&lt;$E45,4,4+1))</f>
        <v>13.8020795666</v>
      </c>
      <c r="X45" s="0" t="n">
        <f aca="false">1+COUNTIF($P45:$S45,"&gt;"&amp;$P45)+(COUNTIF($P45:$S45,$P45)-1)/2</f>
        <v>1</v>
      </c>
      <c r="Y45" s="0" t="n">
        <f aca="false">1+COUNTIF($P45:$S45,"&gt;"&amp;$Q45)+(COUNTIF($P45:$S45,$Q45)-1)/2</f>
        <v>4</v>
      </c>
      <c r="Z45" s="0" t="n">
        <f aca="false">1+COUNTIF($P45:$S45,"&gt;"&amp;$R45)+(COUNTIF($P45:$S45,$R45)-1)/2</f>
        <v>2</v>
      </c>
      <c r="AA45" s="0" t="n">
        <f aca="false">1+COUNTIF($P45:$S45,"&gt;"&amp;$S45)+(COUNTIF($P45:$S45,$S45)-1)/2</f>
        <v>3</v>
      </c>
      <c r="AB45" s="0" t="n">
        <f aca="false">1+COUNTIF($T45:$W45,"&gt;"&amp;$T45)+(COUNTIF($T45:$W45,$T45)-1)/2</f>
        <v>4</v>
      </c>
      <c r="AC45" s="0" t="n">
        <f aca="false">1+COUNTIF($T45:$W45,"&gt;"&amp;$U45)+(COUNTIF($T45:$W45,$U45)-1)/2</f>
        <v>1</v>
      </c>
      <c r="AD45" s="0" t="n">
        <f aca="false">1+COUNTIF($T45:$W45,"&gt;"&amp;$V45)+(COUNTIF($T45:$W45,$V45)-1)/2</f>
        <v>2</v>
      </c>
      <c r="AE45" s="0" t="n">
        <f aca="false">1+COUNTIF($T45:$W45,"&gt;"&amp;$W45)+(COUNTIF($T45:$W45,$W45)-1)/2</f>
        <v>3</v>
      </c>
      <c r="AF45" s="0" t="n">
        <f aca="false">IFERROR(CORREL($P45:$S45,$T45:$W45),"")</f>
        <v>-0.823926663836493</v>
      </c>
      <c r="AG45" s="0" t="n">
        <f aca="false">IFERROR(CORREL($X45:$AA45,$AB45:$AE45),"")</f>
        <v>-0.8</v>
      </c>
      <c r="AH45" s="0" t="n">
        <f aca="false">IFERROR((SIGN($P45-$Q45)*SIGN($T45-$U45)+SIGN($P45-$R45)*SIGN($T45-$V45)+SIGN($P45-$S45)*SIGN($T45-$W45)+SIGN($Q45-$R45)*SIGN($U45-$V45)+SIGN($Q45-$S45)*SIGN($U45-$W45)+SIGN($R45-$S45)*SIGN($V45-$W45))/SQRT((6-(($P45=$Q45)*1+($P45=$R45)*1+($P45=$S45)*1+($Q45=$R45)*1+($Q45=$S45)*1+($R45=$S45)*1))*(6-(($T45=$U45)*1+($T45=$V45)*1+($T45=$W45)*1+($U45=$V45)*1+($U45=$W45)*1+($V45=$W45)*1))),"")</f>
        <v>-0.666666666666667</v>
      </c>
      <c r="AI45" s="0" t="n">
        <f aca="false">MATCH(MAX($K45:$O45),$K45:$O45,0)</f>
        <v>2</v>
      </c>
      <c r="AJ45" s="0" t="n">
        <f aca="false">IF(AI45&lt;&gt;$E45,1,0)</f>
        <v>0</v>
      </c>
      <c r="AK45" s="0" t="str">
        <f aca="false">IF(AJ45=1,INDEX($F45:$J45,AI45)/MAX($P45:$S45),"")</f>
        <v/>
      </c>
      <c r="AL45" s="0" t="str">
        <f aca="false">IF(AJ45=1,1+COUNTIF($P45:$S45,"&gt;"&amp;INDEX($F45:$J45,AI45)),"")</f>
        <v/>
      </c>
      <c r="AM45" s="0" t="n">
        <f aca="false">AVERAGE($P45:$S45)/MAX($P45:$S45)</f>
        <v>0.684917355371901</v>
      </c>
      <c r="AN45" s="0" t="n">
        <f aca="false">100-INDEX($F45:$J45,$E45)</f>
        <v>66.3</v>
      </c>
    </row>
    <row r="46" customFormat="false" ht="15" hidden="false" customHeight="false" outlineLevel="0" collapsed="false">
      <c r="A46" s="0" t="s">
        <v>40</v>
      </c>
      <c r="B46" s="0" t="n">
        <v>2024</v>
      </c>
      <c r="C46" s="0" t="s">
        <v>49</v>
      </c>
      <c r="D46" s="0" t="s">
        <v>44</v>
      </c>
      <c r="E46" s="0" t="n">
        <v>1</v>
      </c>
      <c r="F46" s="0" t="n">
        <v>33.3</v>
      </c>
      <c r="G46" s="0" t="n">
        <v>24.1</v>
      </c>
      <c r="H46" s="0" t="n">
        <v>14.6</v>
      </c>
      <c r="I46" s="0" t="n">
        <v>19</v>
      </c>
      <c r="J46" s="0" t="n">
        <v>9</v>
      </c>
      <c r="K46" s="0" t="n">
        <v>11.3105437361</v>
      </c>
      <c r="L46" s="0" t="n">
        <v>19.3585149882</v>
      </c>
      <c r="M46" s="0" t="n">
        <v>44.640967231</v>
      </c>
      <c r="N46" s="0" t="n">
        <v>11.0279779375</v>
      </c>
      <c r="O46" s="0" t="n">
        <v>13.6619961071</v>
      </c>
      <c r="P46" s="0" t="n">
        <f aca="false">INDEX($F46:$J46,IF(1&lt;$E46,1,1+1))</f>
        <v>24.1</v>
      </c>
      <c r="Q46" s="0" t="n">
        <f aca="false">INDEX($F46:$J46,IF(2&lt;$E46,2,2+1))</f>
        <v>14.6</v>
      </c>
      <c r="R46" s="0" t="n">
        <f aca="false">INDEX($F46:$J46,IF(3&lt;$E46,3,3+1))</f>
        <v>19</v>
      </c>
      <c r="S46" s="0" t="n">
        <f aca="false">INDEX($F46:$J46,IF(4&lt;$E46,4,4+1))</f>
        <v>9</v>
      </c>
      <c r="T46" s="0" t="n">
        <f aca="false">INDEX($K46:$O46,IF(1&lt;$E46,1,1+1))</f>
        <v>19.3585149882</v>
      </c>
      <c r="U46" s="0" t="n">
        <f aca="false">INDEX($K46:$O46,IF(2&lt;$E46,2,2+1))</f>
        <v>44.640967231</v>
      </c>
      <c r="V46" s="0" t="n">
        <f aca="false">INDEX($K46:$O46,IF(3&lt;$E46,3,3+1))</f>
        <v>11.0279779375</v>
      </c>
      <c r="W46" s="0" t="n">
        <f aca="false">INDEX($K46:$O46,IF(4&lt;$E46,4,4+1))</f>
        <v>13.6619961071</v>
      </c>
      <c r="X46" s="0" t="n">
        <f aca="false">1+COUNTIF($P46:$S46,"&gt;"&amp;$P46)+(COUNTIF($P46:$S46,$P46)-1)/2</f>
        <v>1</v>
      </c>
      <c r="Y46" s="0" t="n">
        <f aca="false">1+COUNTIF($P46:$S46,"&gt;"&amp;$Q46)+(COUNTIF($P46:$S46,$Q46)-1)/2</f>
        <v>3</v>
      </c>
      <c r="Z46" s="0" t="n">
        <f aca="false">1+COUNTIF($P46:$S46,"&gt;"&amp;$R46)+(COUNTIF($P46:$S46,$R46)-1)/2</f>
        <v>2</v>
      </c>
      <c r="AA46" s="0" t="n">
        <f aca="false">1+COUNTIF($P46:$S46,"&gt;"&amp;$S46)+(COUNTIF($P46:$S46,$S46)-1)/2</f>
        <v>4</v>
      </c>
      <c r="AB46" s="0" t="n">
        <f aca="false">1+COUNTIF($T46:$W46,"&gt;"&amp;$T46)+(COUNTIF($T46:$W46,$T46)-1)/2</f>
        <v>2</v>
      </c>
      <c r="AC46" s="0" t="n">
        <f aca="false">1+COUNTIF($T46:$W46,"&gt;"&amp;$U46)+(COUNTIF($T46:$W46,$U46)-1)/2</f>
        <v>1</v>
      </c>
      <c r="AD46" s="0" t="n">
        <f aca="false">1+COUNTIF($T46:$W46,"&gt;"&amp;$V46)+(COUNTIF($T46:$W46,$V46)-1)/2</f>
        <v>4</v>
      </c>
      <c r="AE46" s="0" t="n">
        <f aca="false">1+COUNTIF($T46:$W46,"&gt;"&amp;$W46)+(COUNTIF($T46:$W46,$W46)-1)/2</f>
        <v>3</v>
      </c>
      <c r="AF46" s="0" t="n">
        <f aca="false">IFERROR(CORREL($P46:$S46,$T46:$W46),"")</f>
        <v>-0.0948712928053001</v>
      </c>
      <c r="AG46" s="0" t="n">
        <f aca="false">IFERROR(CORREL($X46:$AA46,$AB46:$AE46),"")</f>
        <v>0</v>
      </c>
      <c r="AH46" s="0" t="n">
        <f aca="false">IFERROR((SIGN($P46-$Q46)*SIGN($T46-$U46)+SIGN($P46-$R46)*SIGN($T46-$V46)+SIGN($P46-$S46)*SIGN($T46-$W46)+SIGN($Q46-$R46)*SIGN($U46-$V46)+SIGN($Q46-$S46)*SIGN($U46-$W46)+SIGN($R46-$S46)*SIGN($V46-$W46))/SQRT((6-(($P46=$Q46)*1+($P46=$R46)*1+($P46=$S46)*1+($Q46=$R46)*1+($Q46=$S46)*1+($R46=$S46)*1))*(6-(($T46=$U46)*1+($T46=$V46)*1+($T46=$W46)*1+($U46=$V46)*1+($U46=$W46)*1+($V46=$W46)*1))),"")</f>
        <v>0</v>
      </c>
      <c r="AI46" s="0" t="n">
        <f aca="false">MATCH(MAX($K46:$O46),$K46:$O46,0)</f>
        <v>3</v>
      </c>
      <c r="AJ46" s="0" t="n">
        <f aca="false">IF(AI46&lt;&gt;$E46,1,0)</f>
        <v>1</v>
      </c>
      <c r="AK46" s="0" t="n">
        <f aca="false">IF(AJ46=1,INDEX($F46:$J46,AI46)/MAX($P46:$S46),"")</f>
        <v>0.605809128630705</v>
      </c>
      <c r="AL46" s="0" t="n">
        <f aca="false">IF(AJ46=1,1+COUNTIF($P46:$S46,"&gt;"&amp;INDEX($F46:$J46,AI46)),"")</f>
        <v>3</v>
      </c>
      <c r="AM46" s="0" t="n">
        <f aca="false">AVERAGE($P46:$S46)/MAX($P46:$S46)</f>
        <v>0.691908713692946</v>
      </c>
      <c r="AN46" s="0" t="n">
        <f aca="false">100-INDEX($F46:$J46,$E46)</f>
        <v>66.7</v>
      </c>
    </row>
    <row r="47" customFormat="false" ht="15" hidden="false" customHeight="false" outlineLevel="0" collapsed="false">
      <c r="A47" s="0" t="s">
        <v>40</v>
      </c>
      <c r="B47" s="0" t="n">
        <v>2024</v>
      </c>
      <c r="C47" s="0" t="s">
        <v>49</v>
      </c>
      <c r="D47" s="0" t="s">
        <v>45</v>
      </c>
      <c r="E47" s="0" t="n">
        <v>3</v>
      </c>
      <c r="F47" s="0" t="n">
        <v>20.6</v>
      </c>
      <c r="G47" s="0" t="n">
        <v>25</v>
      </c>
      <c r="H47" s="0" t="n">
        <v>26.2</v>
      </c>
      <c r="I47" s="0" t="n">
        <v>21.5</v>
      </c>
      <c r="J47" s="0" t="n">
        <v>6.7</v>
      </c>
      <c r="K47" s="0" t="n">
        <v>22.2156577923</v>
      </c>
      <c r="L47" s="0" t="n">
        <v>13.647879929</v>
      </c>
      <c r="M47" s="0" t="n">
        <v>20.6233236997</v>
      </c>
      <c r="N47" s="0" t="n">
        <v>23.6047443716</v>
      </c>
      <c r="O47" s="0" t="n">
        <v>19.9083942075</v>
      </c>
      <c r="P47" s="0" t="n">
        <f aca="false">INDEX($F47:$J47,IF(1&lt;$E47,1,1+1))</f>
        <v>20.6</v>
      </c>
      <c r="Q47" s="0" t="n">
        <f aca="false">INDEX($F47:$J47,IF(2&lt;$E47,2,2+1))</f>
        <v>25</v>
      </c>
      <c r="R47" s="0" t="n">
        <f aca="false">INDEX($F47:$J47,IF(3&lt;$E47,3,3+1))</f>
        <v>21.5</v>
      </c>
      <c r="S47" s="0" t="n">
        <f aca="false">INDEX($F47:$J47,IF(4&lt;$E47,4,4+1))</f>
        <v>6.7</v>
      </c>
      <c r="T47" s="0" t="n">
        <f aca="false">INDEX($K47:$O47,IF(1&lt;$E47,1,1+1))</f>
        <v>22.2156577923</v>
      </c>
      <c r="U47" s="0" t="n">
        <f aca="false">INDEX($K47:$O47,IF(2&lt;$E47,2,2+1))</f>
        <v>13.647879929</v>
      </c>
      <c r="V47" s="0" t="n">
        <f aca="false">INDEX($K47:$O47,IF(3&lt;$E47,3,3+1))</f>
        <v>23.6047443716</v>
      </c>
      <c r="W47" s="0" t="n">
        <f aca="false">INDEX($K47:$O47,IF(4&lt;$E47,4,4+1))</f>
        <v>19.9083942075</v>
      </c>
      <c r="X47" s="0" t="n">
        <f aca="false">1+COUNTIF($P47:$S47,"&gt;"&amp;$P47)+(COUNTIF($P47:$S47,$P47)-1)/2</f>
        <v>3</v>
      </c>
      <c r="Y47" s="0" t="n">
        <f aca="false">1+COUNTIF($P47:$S47,"&gt;"&amp;$Q47)+(COUNTIF($P47:$S47,$Q47)-1)/2</f>
        <v>1</v>
      </c>
      <c r="Z47" s="0" t="n">
        <f aca="false">1+COUNTIF($P47:$S47,"&gt;"&amp;$R47)+(COUNTIF($P47:$S47,$R47)-1)/2</f>
        <v>2</v>
      </c>
      <c r="AA47" s="0" t="n">
        <f aca="false">1+COUNTIF($P47:$S47,"&gt;"&amp;$S47)+(COUNTIF($P47:$S47,$S47)-1)/2</f>
        <v>4</v>
      </c>
      <c r="AB47" s="0" t="n">
        <f aca="false">1+COUNTIF($T47:$W47,"&gt;"&amp;$T47)+(COUNTIF($T47:$W47,$T47)-1)/2</f>
        <v>2</v>
      </c>
      <c r="AC47" s="0" t="n">
        <f aca="false">1+COUNTIF($T47:$W47,"&gt;"&amp;$U47)+(COUNTIF($T47:$W47,$U47)-1)/2</f>
        <v>4</v>
      </c>
      <c r="AD47" s="0" t="n">
        <f aca="false">1+COUNTIF($T47:$W47,"&gt;"&amp;$V47)+(COUNTIF($T47:$W47,$V47)-1)/2</f>
        <v>1</v>
      </c>
      <c r="AE47" s="0" t="n">
        <f aca="false">1+COUNTIF($T47:$W47,"&gt;"&amp;$W47)+(COUNTIF($T47:$W47,$W47)-1)/2</f>
        <v>3</v>
      </c>
      <c r="AF47" s="0" t="n">
        <f aca="false">IFERROR(CORREL($P47:$S47,$T47:$W47),"")</f>
        <v>-0.232668231529073</v>
      </c>
      <c r="AG47" s="0" t="n">
        <f aca="false">IFERROR(CORREL($X47:$AA47,$AB47:$AE47),"")</f>
        <v>-0.2</v>
      </c>
      <c r="AH47" s="0" t="n">
        <f aca="false">IFERROR((SIGN($P47-$Q47)*SIGN($T47-$U47)+SIGN($P47-$R47)*SIGN($T47-$V47)+SIGN($P47-$S47)*SIGN($T47-$W47)+SIGN($Q47-$R47)*SIGN($U47-$V47)+SIGN($Q47-$S47)*SIGN($U47-$W47)+SIGN($R47-$S47)*SIGN($V47-$W47))/SQRT((6-(($P47=$Q47)*1+($P47=$R47)*1+($P47=$S47)*1+($Q47=$R47)*1+($Q47=$S47)*1+($R47=$S47)*1))*(6-(($T47=$U47)*1+($T47=$V47)*1+($T47=$W47)*1+($U47=$V47)*1+($U47=$W47)*1+($V47=$W47)*1))),"")</f>
        <v>0</v>
      </c>
      <c r="AI47" s="0" t="n">
        <f aca="false">MATCH(MAX($K47:$O47),$K47:$O47,0)</f>
        <v>4</v>
      </c>
      <c r="AJ47" s="0" t="n">
        <f aca="false">IF(AI47&lt;&gt;$E47,1,0)</f>
        <v>1</v>
      </c>
      <c r="AK47" s="0" t="n">
        <f aca="false">IF(AJ47=1,INDEX($F47:$J47,AI47)/MAX($P47:$S47),"")</f>
        <v>0.86</v>
      </c>
      <c r="AL47" s="0" t="n">
        <f aca="false">IF(AJ47=1,1+COUNTIF($P47:$S47,"&gt;"&amp;INDEX($F47:$J47,AI47)),"")</f>
        <v>2</v>
      </c>
      <c r="AM47" s="0" t="n">
        <f aca="false">AVERAGE($P47:$S47)/MAX($P47:$S47)</f>
        <v>0.738</v>
      </c>
      <c r="AN47" s="0" t="n">
        <f aca="false">100-INDEX($F47:$J47,$E47)</f>
        <v>73.8</v>
      </c>
    </row>
    <row r="48" customFormat="false" ht="15" hidden="false" customHeight="false" outlineLevel="0" collapsed="false">
      <c r="A48" s="0" t="s">
        <v>40</v>
      </c>
      <c r="B48" s="0" t="n">
        <v>2024</v>
      </c>
      <c r="C48" s="0" t="s">
        <v>50</v>
      </c>
      <c r="D48" s="0" t="s">
        <v>43</v>
      </c>
      <c r="E48" s="0" t="n">
        <v>2</v>
      </c>
      <c r="F48" s="0" t="n">
        <v>21.3</v>
      </c>
      <c r="G48" s="0" t="n">
        <v>37.8</v>
      </c>
      <c r="H48" s="0" t="n">
        <v>15.5</v>
      </c>
      <c r="I48" s="0" t="n">
        <v>12.3</v>
      </c>
      <c r="J48" s="0" t="n">
        <v>13</v>
      </c>
      <c r="K48" s="0" t="n">
        <v>17.3851608781</v>
      </c>
      <c r="L48" s="0" t="n">
        <v>3.21916050954</v>
      </c>
      <c r="M48" s="0" t="n">
        <v>3.10799570997</v>
      </c>
      <c r="N48" s="0" t="n">
        <v>7.29437572094</v>
      </c>
      <c r="O48" s="0" t="n">
        <v>68.9933071815</v>
      </c>
      <c r="P48" s="0" t="n">
        <f aca="false">INDEX($F48:$J48,IF(1&lt;$E48,1,1+1))</f>
        <v>21.3</v>
      </c>
      <c r="Q48" s="0" t="n">
        <f aca="false">INDEX($F48:$J48,IF(2&lt;$E48,2,2+1))</f>
        <v>15.5</v>
      </c>
      <c r="R48" s="0" t="n">
        <f aca="false">INDEX($F48:$J48,IF(3&lt;$E48,3,3+1))</f>
        <v>12.3</v>
      </c>
      <c r="S48" s="0" t="n">
        <f aca="false">INDEX($F48:$J48,IF(4&lt;$E48,4,4+1))</f>
        <v>13</v>
      </c>
      <c r="T48" s="0" t="n">
        <f aca="false">INDEX($K48:$O48,IF(1&lt;$E48,1,1+1))</f>
        <v>17.3851608781</v>
      </c>
      <c r="U48" s="0" t="n">
        <f aca="false">INDEX($K48:$O48,IF(2&lt;$E48,2,2+1))</f>
        <v>3.10799570997</v>
      </c>
      <c r="V48" s="0" t="n">
        <f aca="false">INDEX($K48:$O48,IF(3&lt;$E48,3,3+1))</f>
        <v>7.29437572094</v>
      </c>
      <c r="W48" s="0" t="n">
        <f aca="false">INDEX($K48:$O48,IF(4&lt;$E48,4,4+1))</f>
        <v>68.9933071815</v>
      </c>
      <c r="X48" s="0" t="n">
        <f aca="false">1+COUNTIF($P48:$S48,"&gt;"&amp;$P48)+(COUNTIF($P48:$S48,$P48)-1)/2</f>
        <v>1</v>
      </c>
      <c r="Y48" s="0" t="n">
        <f aca="false">1+COUNTIF($P48:$S48,"&gt;"&amp;$Q48)+(COUNTIF($P48:$S48,$Q48)-1)/2</f>
        <v>2</v>
      </c>
      <c r="Z48" s="0" t="n">
        <f aca="false">1+COUNTIF($P48:$S48,"&gt;"&amp;$R48)+(COUNTIF($P48:$S48,$R48)-1)/2</f>
        <v>4</v>
      </c>
      <c r="AA48" s="0" t="n">
        <f aca="false">1+COUNTIF($P48:$S48,"&gt;"&amp;$S48)+(COUNTIF($P48:$S48,$S48)-1)/2</f>
        <v>3</v>
      </c>
      <c r="AB48" s="0" t="n">
        <f aca="false">1+COUNTIF($T48:$W48,"&gt;"&amp;$T48)+(COUNTIF($T48:$W48,$T48)-1)/2</f>
        <v>2</v>
      </c>
      <c r="AC48" s="0" t="n">
        <f aca="false">1+COUNTIF($T48:$W48,"&gt;"&amp;$U48)+(COUNTIF($T48:$W48,$U48)-1)/2</f>
        <v>4</v>
      </c>
      <c r="AD48" s="0" t="n">
        <f aca="false">1+COUNTIF($T48:$W48,"&gt;"&amp;$V48)+(COUNTIF($T48:$W48,$V48)-1)/2</f>
        <v>3</v>
      </c>
      <c r="AE48" s="0" t="n">
        <f aca="false">1+COUNTIF($T48:$W48,"&gt;"&amp;$W48)+(COUNTIF($T48:$W48,$W48)-1)/2</f>
        <v>1</v>
      </c>
      <c r="AF48" s="0" t="n">
        <f aca="false">IFERROR(CORREL($P48:$S48,$T48:$W48),"")</f>
        <v>-0.260777090963574</v>
      </c>
      <c r="AG48" s="0" t="n">
        <f aca="false">IFERROR(CORREL($X48:$AA48,$AB48:$AE48),"")</f>
        <v>0</v>
      </c>
      <c r="AH48" s="0" t="n">
        <f aca="false">IFERROR((SIGN($P48-$Q48)*SIGN($T48-$U48)+SIGN($P48-$R48)*SIGN($T48-$V48)+SIGN($P48-$S48)*SIGN($T48-$W48)+SIGN($Q48-$R48)*SIGN($U48-$V48)+SIGN($Q48-$S48)*SIGN($U48-$W48)+SIGN($R48-$S48)*SIGN($V48-$W48))/SQRT((6-(($P48=$Q48)*1+($P48=$R48)*1+($P48=$S48)*1+($Q48=$R48)*1+($Q48=$S48)*1+($R48=$S48)*1))*(6-(($T48=$U48)*1+($T48=$V48)*1+($T48=$W48)*1+($U48=$V48)*1+($U48=$W48)*1+($V48=$W48)*1))),"")</f>
        <v>0</v>
      </c>
      <c r="AI48" s="0" t="n">
        <f aca="false">MATCH(MAX($K48:$O48),$K48:$O48,0)</f>
        <v>5</v>
      </c>
      <c r="AJ48" s="0" t="n">
        <f aca="false">IF(AI48&lt;&gt;$E48,1,0)</f>
        <v>1</v>
      </c>
      <c r="AK48" s="0" t="n">
        <f aca="false">IF(AJ48=1,INDEX($F48:$J48,AI48)/MAX($P48:$S48),"")</f>
        <v>0.610328638497653</v>
      </c>
      <c r="AL48" s="0" t="n">
        <f aca="false">IF(AJ48=1,1+COUNTIF($P48:$S48,"&gt;"&amp;INDEX($F48:$J48,AI48)),"")</f>
        <v>3</v>
      </c>
      <c r="AM48" s="0" t="n">
        <f aca="false">AVERAGE($P48:$S48)/MAX($P48:$S48)</f>
        <v>0.72887323943662</v>
      </c>
      <c r="AN48" s="0" t="n">
        <f aca="false">100-INDEX($F48:$J48,$E48)</f>
        <v>62.2</v>
      </c>
    </row>
    <row r="49" customFormat="false" ht="15" hidden="false" customHeight="false" outlineLevel="0" collapsed="false">
      <c r="A49" s="0" t="s">
        <v>40</v>
      </c>
      <c r="B49" s="0" t="n">
        <v>2024</v>
      </c>
      <c r="C49" s="0" t="s">
        <v>50</v>
      </c>
      <c r="D49" s="0" t="s">
        <v>44</v>
      </c>
      <c r="E49" s="0" t="n">
        <v>3</v>
      </c>
      <c r="F49" s="0" t="n">
        <v>14.7</v>
      </c>
      <c r="G49" s="0" t="n">
        <v>15.1</v>
      </c>
      <c r="H49" s="0" t="n">
        <v>48.3</v>
      </c>
      <c r="I49" s="0" t="n">
        <v>16.8</v>
      </c>
      <c r="J49" s="0" t="n">
        <v>5</v>
      </c>
      <c r="K49" s="0" t="n">
        <v>12.9932669743</v>
      </c>
      <c r="L49" s="0" t="n">
        <v>16.6967142432</v>
      </c>
      <c r="M49" s="0" t="n">
        <v>52.9549013415</v>
      </c>
      <c r="N49" s="0" t="n">
        <v>14.6567397112</v>
      </c>
      <c r="O49" s="0" t="n">
        <v>2.69837772975</v>
      </c>
      <c r="P49" s="0" t="n">
        <f aca="false">INDEX($F49:$J49,IF(1&lt;$E49,1,1+1))</f>
        <v>14.7</v>
      </c>
      <c r="Q49" s="0" t="n">
        <f aca="false">INDEX($F49:$J49,IF(2&lt;$E49,2,2+1))</f>
        <v>15.1</v>
      </c>
      <c r="R49" s="0" t="n">
        <f aca="false">INDEX($F49:$J49,IF(3&lt;$E49,3,3+1))</f>
        <v>16.8</v>
      </c>
      <c r="S49" s="0" t="n">
        <f aca="false">INDEX($F49:$J49,IF(4&lt;$E49,4,4+1))</f>
        <v>5</v>
      </c>
      <c r="T49" s="0" t="n">
        <f aca="false">INDEX($K49:$O49,IF(1&lt;$E49,1,1+1))</f>
        <v>12.9932669743</v>
      </c>
      <c r="U49" s="0" t="n">
        <f aca="false">INDEX($K49:$O49,IF(2&lt;$E49,2,2+1))</f>
        <v>16.6967142432</v>
      </c>
      <c r="V49" s="0" t="n">
        <f aca="false">INDEX($K49:$O49,IF(3&lt;$E49,3,3+1))</f>
        <v>14.6567397112</v>
      </c>
      <c r="W49" s="0" t="n">
        <f aca="false">INDEX($K49:$O49,IF(4&lt;$E49,4,4+1))</f>
        <v>2.69837772975</v>
      </c>
      <c r="X49" s="0" t="n">
        <f aca="false">1+COUNTIF($P49:$S49,"&gt;"&amp;$P49)+(COUNTIF($P49:$S49,$P49)-1)/2</f>
        <v>3</v>
      </c>
      <c r="Y49" s="0" t="n">
        <f aca="false">1+COUNTIF($P49:$S49,"&gt;"&amp;$Q49)+(COUNTIF($P49:$S49,$Q49)-1)/2</f>
        <v>2</v>
      </c>
      <c r="Z49" s="0" t="n">
        <f aca="false">1+COUNTIF($P49:$S49,"&gt;"&amp;$R49)+(COUNTIF($P49:$S49,$R49)-1)/2</f>
        <v>1</v>
      </c>
      <c r="AA49" s="0" t="n">
        <f aca="false">1+COUNTIF($P49:$S49,"&gt;"&amp;$S49)+(COUNTIF($P49:$S49,$S49)-1)/2</f>
        <v>4</v>
      </c>
      <c r="AB49" s="0" t="n">
        <f aca="false">1+COUNTIF($T49:$W49,"&gt;"&amp;$T49)+(COUNTIF($T49:$W49,$T49)-1)/2</f>
        <v>3</v>
      </c>
      <c r="AC49" s="0" t="n">
        <f aca="false">1+COUNTIF($T49:$W49,"&gt;"&amp;$U49)+(COUNTIF($T49:$W49,$U49)-1)/2</f>
        <v>1</v>
      </c>
      <c r="AD49" s="0" t="n">
        <f aca="false">1+COUNTIF($T49:$W49,"&gt;"&amp;$V49)+(COUNTIF($T49:$W49,$V49)-1)/2</f>
        <v>2</v>
      </c>
      <c r="AE49" s="0" t="n">
        <f aca="false">1+COUNTIF($T49:$W49,"&gt;"&amp;$W49)+(COUNTIF($T49:$W49,$W49)-1)/2</f>
        <v>4</v>
      </c>
      <c r="AF49" s="0" t="n">
        <f aca="false">IFERROR(CORREL($P49:$S49,$T49:$W49),"")</f>
        <v>0.960841958173385</v>
      </c>
      <c r="AG49" s="0" t="n">
        <f aca="false">IFERROR(CORREL($X49:$AA49,$AB49:$AE49),"")</f>
        <v>0.8</v>
      </c>
      <c r="AH49" s="0" t="n">
        <f aca="false">IFERROR((SIGN($P49-$Q49)*SIGN($T49-$U49)+SIGN($P49-$R49)*SIGN($T49-$V49)+SIGN($P49-$S49)*SIGN($T49-$W49)+SIGN($Q49-$R49)*SIGN($U49-$V49)+SIGN($Q49-$S49)*SIGN($U49-$W49)+SIGN($R49-$S49)*SIGN($V49-$W49))/SQRT((6-(($P49=$Q49)*1+($P49=$R49)*1+($P49=$S49)*1+($Q49=$R49)*1+($Q49=$S49)*1+($R49=$S49)*1))*(6-(($T49=$U49)*1+($T49=$V49)*1+($T49=$W49)*1+($U49=$V49)*1+($U49=$W49)*1+($V49=$W49)*1))),"")</f>
        <v>0.666666666666667</v>
      </c>
      <c r="AI49" s="0" t="n">
        <f aca="false">MATCH(MAX($K49:$O49),$K49:$O49,0)</f>
        <v>3</v>
      </c>
      <c r="AJ49" s="0" t="n">
        <f aca="false">IF(AI49&lt;&gt;$E49,1,0)</f>
        <v>0</v>
      </c>
      <c r="AK49" s="0" t="str">
        <f aca="false">IF(AJ49=1,INDEX($F49:$J49,AI49)/MAX($P49:$S49),"")</f>
        <v/>
      </c>
      <c r="AL49" s="0" t="str">
        <f aca="false">IF(AJ49=1,1+COUNTIF($P49:$S49,"&gt;"&amp;INDEX($F49:$J49,AI49)),"")</f>
        <v/>
      </c>
      <c r="AM49" s="0" t="n">
        <f aca="false">AVERAGE($P49:$S49)/MAX($P49:$S49)</f>
        <v>0.767857142857143</v>
      </c>
      <c r="AN49" s="0" t="n">
        <f aca="false">100-INDEX($F49:$J49,$E49)</f>
        <v>51.7</v>
      </c>
    </row>
    <row r="50" customFormat="false" ht="15" hidden="false" customHeight="false" outlineLevel="0" collapsed="false">
      <c r="A50" s="0" t="s">
        <v>40</v>
      </c>
      <c r="B50" s="0" t="n">
        <v>2024</v>
      </c>
      <c r="C50" s="0" t="s">
        <v>50</v>
      </c>
      <c r="D50" s="0" t="s">
        <v>45</v>
      </c>
      <c r="E50" s="0" t="n">
        <v>5</v>
      </c>
      <c r="F50" s="0" t="n">
        <v>18.2</v>
      </c>
      <c r="G50" s="0" t="n">
        <v>14.8</v>
      </c>
      <c r="H50" s="0" t="n">
        <v>20.9</v>
      </c>
      <c r="I50" s="0" t="n">
        <v>25.7</v>
      </c>
      <c r="J50" s="0" t="n">
        <v>20.4</v>
      </c>
      <c r="K50" s="0" t="n">
        <v>11.788814282</v>
      </c>
      <c r="L50" s="0" t="n">
        <v>18.7451662316</v>
      </c>
      <c r="M50" s="0" t="n">
        <v>7.58656445202</v>
      </c>
      <c r="N50" s="0" t="n">
        <v>50.431272189</v>
      </c>
      <c r="O50" s="0" t="n">
        <v>11.4481828454</v>
      </c>
      <c r="P50" s="0" t="n">
        <f aca="false">INDEX($F50:$J50,IF(1&lt;$E50,1,1+1))</f>
        <v>18.2</v>
      </c>
      <c r="Q50" s="0" t="n">
        <f aca="false">INDEX($F50:$J50,IF(2&lt;$E50,2,2+1))</f>
        <v>14.8</v>
      </c>
      <c r="R50" s="0" t="n">
        <f aca="false">INDEX($F50:$J50,IF(3&lt;$E50,3,3+1))</f>
        <v>20.9</v>
      </c>
      <c r="S50" s="0" t="n">
        <f aca="false">INDEX($F50:$J50,IF(4&lt;$E50,4,4+1))</f>
        <v>25.7</v>
      </c>
      <c r="T50" s="0" t="n">
        <f aca="false">INDEX($K50:$O50,IF(1&lt;$E50,1,1+1))</f>
        <v>11.788814282</v>
      </c>
      <c r="U50" s="0" t="n">
        <f aca="false">INDEX($K50:$O50,IF(2&lt;$E50,2,2+1))</f>
        <v>18.7451662316</v>
      </c>
      <c r="V50" s="0" t="n">
        <f aca="false">INDEX($K50:$O50,IF(3&lt;$E50,3,3+1))</f>
        <v>7.58656445202</v>
      </c>
      <c r="W50" s="0" t="n">
        <f aca="false">INDEX($K50:$O50,IF(4&lt;$E50,4,4+1))</f>
        <v>50.431272189</v>
      </c>
      <c r="X50" s="0" t="n">
        <f aca="false">1+COUNTIF($P50:$S50,"&gt;"&amp;$P50)+(COUNTIF($P50:$S50,$P50)-1)/2</f>
        <v>3</v>
      </c>
      <c r="Y50" s="0" t="n">
        <f aca="false">1+COUNTIF($P50:$S50,"&gt;"&amp;$Q50)+(COUNTIF($P50:$S50,$Q50)-1)/2</f>
        <v>4</v>
      </c>
      <c r="Z50" s="0" t="n">
        <f aca="false">1+COUNTIF($P50:$S50,"&gt;"&amp;$R50)+(COUNTIF($P50:$S50,$R50)-1)/2</f>
        <v>2</v>
      </c>
      <c r="AA50" s="0" t="n">
        <f aca="false">1+COUNTIF($P50:$S50,"&gt;"&amp;$S50)+(COUNTIF($P50:$S50,$S50)-1)/2</f>
        <v>1</v>
      </c>
      <c r="AB50" s="0" t="n">
        <f aca="false">1+COUNTIF($T50:$W50,"&gt;"&amp;$T50)+(COUNTIF($T50:$W50,$T50)-1)/2</f>
        <v>3</v>
      </c>
      <c r="AC50" s="0" t="n">
        <f aca="false">1+COUNTIF($T50:$W50,"&gt;"&amp;$U50)+(COUNTIF($T50:$W50,$U50)-1)/2</f>
        <v>2</v>
      </c>
      <c r="AD50" s="0" t="n">
        <f aca="false">1+COUNTIF($T50:$W50,"&gt;"&amp;$V50)+(COUNTIF($T50:$W50,$V50)-1)/2</f>
        <v>4</v>
      </c>
      <c r="AE50" s="0" t="n">
        <f aca="false">1+COUNTIF($T50:$W50,"&gt;"&amp;$W50)+(COUNTIF($T50:$W50,$W50)-1)/2</f>
        <v>1</v>
      </c>
      <c r="AF50" s="0" t="n">
        <f aca="false">IFERROR(CORREL($P50:$S50,$T50:$W50),"")</f>
        <v>0.688082699595046</v>
      </c>
      <c r="AG50" s="0" t="n">
        <f aca="false">IFERROR(CORREL($X50:$AA50,$AB50:$AE50),"")</f>
        <v>0.2</v>
      </c>
      <c r="AH50" s="0" t="n">
        <f aca="false">IFERROR((SIGN($P50-$Q50)*SIGN($T50-$U50)+SIGN($P50-$R50)*SIGN($T50-$V50)+SIGN($P50-$S50)*SIGN($T50-$W50)+SIGN($Q50-$R50)*SIGN($U50-$V50)+SIGN($Q50-$S50)*SIGN($U50-$W50)+SIGN($R50-$S50)*SIGN($V50-$W50))/SQRT((6-(($P50=$Q50)*1+($P50=$R50)*1+($P50=$S50)*1+($Q50=$R50)*1+($Q50=$S50)*1+($R50=$S50)*1))*(6-(($T50=$U50)*1+($T50=$V50)*1+($T50=$W50)*1+($U50=$V50)*1+($U50=$W50)*1+($V50=$W50)*1))),"")</f>
        <v>0</v>
      </c>
      <c r="AI50" s="0" t="n">
        <f aca="false">MATCH(MAX($K50:$O50),$K50:$O50,0)</f>
        <v>4</v>
      </c>
      <c r="AJ50" s="0" t="n">
        <f aca="false">IF(AI50&lt;&gt;$E50,1,0)</f>
        <v>1</v>
      </c>
      <c r="AK50" s="0" t="n">
        <f aca="false">IF(AJ50=1,INDEX($F50:$J50,AI50)/MAX($P50:$S50),"")</f>
        <v>1</v>
      </c>
      <c r="AL50" s="0" t="n">
        <f aca="false">IF(AJ50=1,1+COUNTIF($P50:$S50,"&gt;"&amp;INDEX($F50:$J50,AI50)),"")</f>
        <v>1</v>
      </c>
      <c r="AM50" s="0" t="n">
        <f aca="false">AVERAGE($P50:$S50)/MAX($P50:$S50)</f>
        <v>0.77431906614786</v>
      </c>
      <c r="AN50" s="0" t="n">
        <f aca="false">100-INDEX($F50:$J50,$E50)</f>
        <v>79.6</v>
      </c>
    </row>
    <row r="51" customFormat="false" ht="15" hidden="false" customHeight="false" outlineLevel="0" collapsed="false">
      <c r="A51" s="0" t="s">
        <v>40</v>
      </c>
      <c r="B51" s="0" t="n">
        <v>2024</v>
      </c>
      <c r="C51" s="0" t="s">
        <v>51</v>
      </c>
      <c r="D51" s="0" t="s">
        <v>42</v>
      </c>
      <c r="E51" s="0" t="n">
        <v>3</v>
      </c>
      <c r="F51" s="0" t="n">
        <v>25.7</v>
      </c>
      <c r="G51" s="0" t="n">
        <v>35</v>
      </c>
      <c r="H51" s="0" t="n">
        <v>17</v>
      </c>
      <c r="I51" s="0" t="n">
        <v>11.9</v>
      </c>
      <c r="J51" s="0" t="n">
        <v>10.5</v>
      </c>
      <c r="K51" s="0" t="n">
        <v>0.317052189759</v>
      </c>
      <c r="L51" s="0" t="n">
        <v>18.8160545945</v>
      </c>
      <c r="M51" s="0" t="n">
        <v>74.9518532885</v>
      </c>
      <c r="N51" s="0" t="n">
        <v>4.61487715932</v>
      </c>
      <c r="O51" s="0" t="n">
        <v>1.3001627679</v>
      </c>
      <c r="P51" s="0" t="n">
        <f aca="false">INDEX($F51:$J51,IF(1&lt;$E51,1,1+1))</f>
        <v>25.7</v>
      </c>
      <c r="Q51" s="0" t="n">
        <f aca="false">INDEX($F51:$J51,IF(2&lt;$E51,2,2+1))</f>
        <v>35</v>
      </c>
      <c r="R51" s="0" t="n">
        <f aca="false">INDEX($F51:$J51,IF(3&lt;$E51,3,3+1))</f>
        <v>11.9</v>
      </c>
      <c r="S51" s="0" t="n">
        <f aca="false">INDEX($F51:$J51,IF(4&lt;$E51,4,4+1))</f>
        <v>10.5</v>
      </c>
      <c r="T51" s="0" t="n">
        <f aca="false">INDEX($K51:$O51,IF(1&lt;$E51,1,1+1))</f>
        <v>0.317052189759</v>
      </c>
      <c r="U51" s="0" t="n">
        <f aca="false">INDEX($K51:$O51,IF(2&lt;$E51,2,2+1))</f>
        <v>18.8160545945</v>
      </c>
      <c r="V51" s="0" t="n">
        <f aca="false">INDEX($K51:$O51,IF(3&lt;$E51,3,3+1))</f>
        <v>4.61487715932</v>
      </c>
      <c r="W51" s="0" t="n">
        <f aca="false">INDEX($K51:$O51,IF(4&lt;$E51,4,4+1))</f>
        <v>1.3001627679</v>
      </c>
      <c r="X51" s="0" t="n">
        <f aca="false">1+COUNTIF($P51:$S51,"&gt;"&amp;$P51)+(COUNTIF($P51:$S51,$P51)-1)/2</f>
        <v>2</v>
      </c>
      <c r="Y51" s="0" t="n">
        <f aca="false">1+COUNTIF($P51:$S51,"&gt;"&amp;$Q51)+(COUNTIF($P51:$S51,$Q51)-1)/2</f>
        <v>1</v>
      </c>
      <c r="Z51" s="0" t="n">
        <f aca="false">1+COUNTIF($P51:$S51,"&gt;"&amp;$R51)+(COUNTIF($P51:$S51,$R51)-1)/2</f>
        <v>3</v>
      </c>
      <c r="AA51" s="0" t="n">
        <f aca="false">1+COUNTIF($P51:$S51,"&gt;"&amp;$S51)+(COUNTIF($P51:$S51,$S51)-1)/2</f>
        <v>4</v>
      </c>
      <c r="AB51" s="0" t="n">
        <f aca="false">1+COUNTIF($T51:$W51,"&gt;"&amp;$T51)+(COUNTIF($T51:$W51,$T51)-1)/2</f>
        <v>4</v>
      </c>
      <c r="AC51" s="0" t="n">
        <f aca="false">1+COUNTIF($T51:$W51,"&gt;"&amp;$U51)+(COUNTIF($T51:$W51,$U51)-1)/2</f>
        <v>1</v>
      </c>
      <c r="AD51" s="0" t="n">
        <f aca="false">1+COUNTIF($T51:$W51,"&gt;"&amp;$V51)+(COUNTIF($T51:$W51,$V51)-1)/2</f>
        <v>2</v>
      </c>
      <c r="AE51" s="0" t="n">
        <f aca="false">1+COUNTIF($T51:$W51,"&gt;"&amp;$W51)+(COUNTIF($T51:$W51,$W51)-1)/2</f>
        <v>3</v>
      </c>
      <c r="AF51" s="0" t="n">
        <f aca="false">IFERROR(CORREL($P51:$S51,$T51:$W51),"")</f>
        <v>0.714271873889751</v>
      </c>
      <c r="AG51" s="0" t="n">
        <f aca="false">IFERROR(CORREL($X51:$AA51,$AB51:$AE51),"")</f>
        <v>0.4</v>
      </c>
      <c r="AH51" s="0" t="n">
        <f aca="false">IFERROR((SIGN($P51-$Q51)*SIGN($T51-$U51)+SIGN($P51-$R51)*SIGN($T51-$V51)+SIGN($P51-$S51)*SIGN($T51-$W51)+SIGN($Q51-$R51)*SIGN($U51-$V51)+SIGN($Q51-$S51)*SIGN($U51-$W51)+SIGN($R51-$S51)*SIGN($V51-$W51))/SQRT((6-(($P51=$Q51)*1+($P51=$R51)*1+($P51=$S51)*1+($Q51=$R51)*1+($Q51=$S51)*1+($R51=$S51)*1))*(6-(($T51=$U51)*1+($T51=$V51)*1+($T51=$W51)*1+($U51=$V51)*1+($U51=$W51)*1+($V51=$W51)*1))),"")</f>
        <v>0.333333333333333</v>
      </c>
      <c r="AI51" s="0" t="n">
        <f aca="false">MATCH(MAX($K51:$O51),$K51:$O51,0)</f>
        <v>3</v>
      </c>
      <c r="AJ51" s="0" t="n">
        <f aca="false">IF(AI51&lt;&gt;$E51,1,0)</f>
        <v>0</v>
      </c>
      <c r="AK51" s="0" t="str">
        <f aca="false">IF(AJ51=1,INDEX($F51:$J51,AI51)/MAX($P51:$S51),"")</f>
        <v/>
      </c>
      <c r="AL51" s="0" t="str">
        <f aca="false">IF(AJ51=1,1+COUNTIF($P51:$S51,"&gt;"&amp;INDEX($F51:$J51,AI51)),"")</f>
        <v/>
      </c>
      <c r="AM51" s="0" t="n">
        <f aca="false">AVERAGE($P51:$S51)/MAX($P51:$S51)</f>
        <v>0.593571428571429</v>
      </c>
      <c r="AN51" s="0" t="n">
        <f aca="false">100-INDEX($F51:$J51,$E51)</f>
        <v>83</v>
      </c>
    </row>
    <row r="52" customFormat="false" ht="15" hidden="false" customHeight="false" outlineLevel="0" collapsed="false">
      <c r="A52" s="0" t="s">
        <v>40</v>
      </c>
      <c r="B52" s="0" t="n">
        <v>2024</v>
      </c>
      <c r="C52" s="0" t="s">
        <v>51</v>
      </c>
      <c r="D52" s="0" t="s">
        <v>43</v>
      </c>
      <c r="E52" s="0" t="n">
        <v>1</v>
      </c>
      <c r="F52" s="0" t="n">
        <v>37.3</v>
      </c>
      <c r="G52" s="0" t="n">
        <v>20.9</v>
      </c>
      <c r="H52" s="0" t="n">
        <v>17.7</v>
      </c>
      <c r="I52" s="0" t="n">
        <v>16.2</v>
      </c>
      <c r="J52" s="0" t="n">
        <v>7.9</v>
      </c>
      <c r="K52" s="0" t="n">
        <v>34.6640926374</v>
      </c>
      <c r="L52" s="0" t="n">
        <v>2.38034401594</v>
      </c>
      <c r="M52" s="0" t="n">
        <v>50.7758328052</v>
      </c>
      <c r="N52" s="0" t="n">
        <v>7.17993155976</v>
      </c>
      <c r="O52" s="0" t="n">
        <v>4.99979898176</v>
      </c>
      <c r="P52" s="0" t="n">
        <f aca="false">INDEX($F52:$J52,IF(1&lt;$E52,1,1+1))</f>
        <v>20.9</v>
      </c>
      <c r="Q52" s="0" t="n">
        <f aca="false">INDEX($F52:$J52,IF(2&lt;$E52,2,2+1))</f>
        <v>17.7</v>
      </c>
      <c r="R52" s="0" t="n">
        <f aca="false">INDEX($F52:$J52,IF(3&lt;$E52,3,3+1))</f>
        <v>16.2</v>
      </c>
      <c r="S52" s="0" t="n">
        <f aca="false">INDEX($F52:$J52,IF(4&lt;$E52,4,4+1))</f>
        <v>7.9</v>
      </c>
      <c r="T52" s="0" t="n">
        <f aca="false">INDEX($K52:$O52,IF(1&lt;$E52,1,1+1))</f>
        <v>2.38034401594</v>
      </c>
      <c r="U52" s="0" t="n">
        <f aca="false">INDEX($K52:$O52,IF(2&lt;$E52,2,2+1))</f>
        <v>50.7758328052</v>
      </c>
      <c r="V52" s="0" t="n">
        <f aca="false">INDEX($K52:$O52,IF(3&lt;$E52,3,3+1))</f>
        <v>7.17993155976</v>
      </c>
      <c r="W52" s="0" t="n">
        <f aca="false">INDEX($K52:$O52,IF(4&lt;$E52,4,4+1))</f>
        <v>4.99979898176</v>
      </c>
      <c r="X52" s="0" t="n">
        <f aca="false">1+COUNTIF($P52:$S52,"&gt;"&amp;$P52)+(COUNTIF($P52:$S52,$P52)-1)/2</f>
        <v>1</v>
      </c>
      <c r="Y52" s="0" t="n">
        <f aca="false">1+COUNTIF($P52:$S52,"&gt;"&amp;$Q52)+(COUNTIF($P52:$S52,$Q52)-1)/2</f>
        <v>2</v>
      </c>
      <c r="Z52" s="0" t="n">
        <f aca="false">1+COUNTIF($P52:$S52,"&gt;"&amp;$R52)+(COUNTIF($P52:$S52,$R52)-1)/2</f>
        <v>3</v>
      </c>
      <c r="AA52" s="0" t="n">
        <f aca="false">1+COUNTIF($P52:$S52,"&gt;"&amp;$S52)+(COUNTIF($P52:$S52,$S52)-1)/2</f>
        <v>4</v>
      </c>
      <c r="AB52" s="0" t="n">
        <f aca="false">1+COUNTIF($T52:$W52,"&gt;"&amp;$T52)+(COUNTIF($T52:$W52,$T52)-1)/2</f>
        <v>4</v>
      </c>
      <c r="AC52" s="0" t="n">
        <f aca="false">1+COUNTIF($T52:$W52,"&gt;"&amp;$U52)+(COUNTIF($T52:$W52,$U52)-1)/2</f>
        <v>1</v>
      </c>
      <c r="AD52" s="0" t="n">
        <f aca="false">1+COUNTIF($T52:$W52,"&gt;"&amp;$V52)+(COUNTIF($T52:$W52,$V52)-1)/2</f>
        <v>2</v>
      </c>
      <c r="AE52" s="0" t="n">
        <f aca="false">1+COUNTIF($T52:$W52,"&gt;"&amp;$W52)+(COUNTIF($T52:$W52,$W52)-1)/2</f>
        <v>3</v>
      </c>
      <c r="AF52" s="0" t="n">
        <f aca="false">IFERROR(CORREL($P52:$S52,$T52:$W52),"")</f>
        <v>0.209216897291069</v>
      </c>
      <c r="AG52" s="0" t="n">
        <f aca="false">IFERROR(CORREL($X52:$AA52,$AB52:$AE52),"")</f>
        <v>-0.2</v>
      </c>
      <c r="AH52" s="0" t="n">
        <f aca="false">IFERROR((SIGN($P52-$Q52)*SIGN($T52-$U52)+SIGN($P52-$R52)*SIGN($T52-$V52)+SIGN($P52-$S52)*SIGN($T52-$W52)+SIGN($Q52-$R52)*SIGN($U52-$V52)+SIGN($Q52-$S52)*SIGN($U52-$W52)+SIGN($R52-$S52)*SIGN($V52-$W52))/SQRT((6-(($P52=$Q52)*1+($P52=$R52)*1+($P52=$S52)*1+($Q52=$R52)*1+($Q52=$S52)*1+($R52=$S52)*1))*(6-(($T52=$U52)*1+($T52=$V52)*1+($T52=$W52)*1+($U52=$V52)*1+($U52=$W52)*1+($V52=$W52)*1))),"")</f>
        <v>0</v>
      </c>
      <c r="AI52" s="0" t="n">
        <f aca="false">MATCH(MAX($K52:$O52),$K52:$O52,0)</f>
        <v>3</v>
      </c>
      <c r="AJ52" s="0" t="n">
        <f aca="false">IF(AI52&lt;&gt;$E52,1,0)</f>
        <v>1</v>
      </c>
      <c r="AK52" s="0" t="n">
        <f aca="false">IF(AJ52=1,INDEX($F52:$J52,AI52)/MAX($P52:$S52),"")</f>
        <v>0.84688995215311</v>
      </c>
      <c r="AL52" s="0" t="n">
        <f aca="false">IF(AJ52=1,1+COUNTIF($P52:$S52,"&gt;"&amp;INDEX($F52:$J52,AI52)),"")</f>
        <v>2</v>
      </c>
      <c r="AM52" s="0" t="n">
        <f aca="false">AVERAGE($P52:$S52)/MAX($P52:$S52)</f>
        <v>0.75</v>
      </c>
      <c r="AN52" s="0" t="n">
        <f aca="false">100-INDEX($F52:$J52,$E52)</f>
        <v>62.7</v>
      </c>
    </row>
    <row r="53" customFormat="false" ht="15" hidden="false" customHeight="false" outlineLevel="0" collapsed="false">
      <c r="A53" s="0" t="s">
        <v>40</v>
      </c>
      <c r="B53" s="0" t="n">
        <v>2024</v>
      </c>
      <c r="C53" s="0" t="s">
        <v>51</v>
      </c>
      <c r="D53" s="0" t="s">
        <v>44</v>
      </c>
      <c r="E53" s="0" t="n">
        <v>1</v>
      </c>
      <c r="F53" s="0" t="n">
        <v>37.4</v>
      </c>
      <c r="G53" s="0" t="n">
        <v>15.9</v>
      </c>
      <c r="H53" s="0" t="n">
        <v>20.4</v>
      </c>
      <c r="I53" s="0" t="n">
        <v>17.8</v>
      </c>
      <c r="J53" s="0" t="n">
        <v>8.5</v>
      </c>
      <c r="K53" s="0" t="n">
        <v>17.3486643832</v>
      </c>
      <c r="L53" s="0" t="n">
        <v>11.2227372764</v>
      </c>
      <c r="M53" s="0" t="n">
        <v>11.3306026635</v>
      </c>
      <c r="N53" s="0" t="n">
        <v>26.412568408</v>
      </c>
      <c r="O53" s="0" t="n">
        <v>33.685427269</v>
      </c>
      <c r="P53" s="0" t="n">
        <f aca="false">INDEX($F53:$J53,IF(1&lt;$E53,1,1+1))</f>
        <v>15.9</v>
      </c>
      <c r="Q53" s="0" t="n">
        <f aca="false">INDEX($F53:$J53,IF(2&lt;$E53,2,2+1))</f>
        <v>20.4</v>
      </c>
      <c r="R53" s="0" t="n">
        <f aca="false">INDEX($F53:$J53,IF(3&lt;$E53,3,3+1))</f>
        <v>17.8</v>
      </c>
      <c r="S53" s="0" t="n">
        <f aca="false">INDEX($F53:$J53,IF(4&lt;$E53,4,4+1))</f>
        <v>8.5</v>
      </c>
      <c r="T53" s="0" t="n">
        <f aca="false">INDEX($K53:$O53,IF(1&lt;$E53,1,1+1))</f>
        <v>11.2227372764</v>
      </c>
      <c r="U53" s="0" t="n">
        <f aca="false">INDEX($K53:$O53,IF(2&lt;$E53,2,2+1))</f>
        <v>11.3306026635</v>
      </c>
      <c r="V53" s="0" t="n">
        <f aca="false">INDEX($K53:$O53,IF(3&lt;$E53,3,3+1))</f>
        <v>26.412568408</v>
      </c>
      <c r="W53" s="0" t="n">
        <f aca="false">INDEX($K53:$O53,IF(4&lt;$E53,4,4+1))</f>
        <v>33.685427269</v>
      </c>
      <c r="X53" s="0" t="n">
        <f aca="false">1+COUNTIF($P53:$S53,"&gt;"&amp;$P53)+(COUNTIF($P53:$S53,$P53)-1)/2</f>
        <v>3</v>
      </c>
      <c r="Y53" s="0" t="n">
        <f aca="false">1+COUNTIF($P53:$S53,"&gt;"&amp;$Q53)+(COUNTIF($P53:$S53,$Q53)-1)/2</f>
        <v>1</v>
      </c>
      <c r="Z53" s="0" t="n">
        <f aca="false">1+COUNTIF($P53:$S53,"&gt;"&amp;$R53)+(COUNTIF($P53:$S53,$R53)-1)/2</f>
        <v>2</v>
      </c>
      <c r="AA53" s="0" t="n">
        <f aca="false">1+COUNTIF($P53:$S53,"&gt;"&amp;$S53)+(COUNTIF($P53:$S53,$S53)-1)/2</f>
        <v>4</v>
      </c>
      <c r="AB53" s="0" t="n">
        <f aca="false">1+COUNTIF($T53:$W53,"&gt;"&amp;$T53)+(COUNTIF($T53:$W53,$T53)-1)/2</f>
        <v>4</v>
      </c>
      <c r="AC53" s="0" t="n">
        <f aca="false">1+COUNTIF($T53:$W53,"&gt;"&amp;$U53)+(COUNTIF($T53:$W53,$U53)-1)/2</f>
        <v>3</v>
      </c>
      <c r="AD53" s="0" t="n">
        <f aca="false">1+COUNTIF($T53:$W53,"&gt;"&amp;$V53)+(COUNTIF($T53:$W53,$V53)-1)/2</f>
        <v>2</v>
      </c>
      <c r="AE53" s="0" t="n">
        <f aca="false">1+COUNTIF($T53:$W53,"&gt;"&amp;$W53)+(COUNTIF($T53:$W53,$W53)-1)/2</f>
        <v>1</v>
      </c>
      <c r="AF53" s="0" t="n">
        <f aca="false">IFERROR(CORREL($P53:$S53,$T53:$W53),"")</f>
        <v>-0.739584087189983</v>
      </c>
      <c r="AG53" s="0" t="n">
        <f aca="false">IFERROR(CORREL($X53:$AA53,$AB53:$AE53),"")</f>
        <v>-0.4</v>
      </c>
      <c r="AH53" s="0" t="n">
        <f aca="false">IFERROR((SIGN($P53-$Q53)*SIGN($T53-$U53)+SIGN($P53-$R53)*SIGN($T53-$V53)+SIGN($P53-$S53)*SIGN($T53-$W53)+SIGN($Q53-$R53)*SIGN($U53-$V53)+SIGN($Q53-$S53)*SIGN($U53-$W53)+SIGN($R53-$S53)*SIGN($V53-$W53))/SQRT((6-(($P53=$Q53)*1+($P53=$R53)*1+($P53=$S53)*1+($Q53=$R53)*1+($Q53=$S53)*1+($R53=$S53)*1))*(6-(($T53=$U53)*1+($T53=$V53)*1+($T53=$W53)*1+($U53=$V53)*1+($U53=$W53)*1+($V53=$W53)*1))),"")</f>
        <v>-0.333333333333333</v>
      </c>
      <c r="AI53" s="0" t="n">
        <f aca="false">MATCH(MAX($K53:$O53),$K53:$O53,0)</f>
        <v>5</v>
      </c>
      <c r="AJ53" s="0" t="n">
        <f aca="false">IF(AI53&lt;&gt;$E53,1,0)</f>
        <v>1</v>
      </c>
      <c r="AK53" s="0" t="n">
        <f aca="false">IF(AJ53=1,INDEX($F53:$J53,AI53)/MAX($P53:$S53),"")</f>
        <v>0.416666666666667</v>
      </c>
      <c r="AL53" s="0" t="n">
        <f aca="false">IF(AJ53=1,1+COUNTIF($P53:$S53,"&gt;"&amp;INDEX($F53:$J53,AI53)),"")</f>
        <v>4</v>
      </c>
      <c r="AM53" s="0" t="n">
        <f aca="false">AVERAGE($P53:$S53)/MAX($P53:$S53)</f>
        <v>0.767156862745098</v>
      </c>
      <c r="AN53" s="0" t="n">
        <f aca="false">100-INDEX($F53:$J53,$E53)</f>
        <v>62.6</v>
      </c>
    </row>
    <row r="54" customFormat="false" ht="15" hidden="false" customHeight="false" outlineLevel="0" collapsed="false">
      <c r="A54" s="0" t="s">
        <v>40</v>
      </c>
      <c r="B54" s="0" t="n">
        <v>2024</v>
      </c>
      <c r="C54" s="0" t="s">
        <v>51</v>
      </c>
      <c r="D54" s="0" t="s">
        <v>45</v>
      </c>
      <c r="E54" s="0" t="n">
        <v>4</v>
      </c>
      <c r="F54" s="0" t="n">
        <v>22.3</v>
      </c>
      <c r="G54" s="0" t="n">
        <v>19.5</v>
      </c>
      <c r="H54" s="0" t="n">
        <v>25.4</v>
      </c>
      <c r="I54" s="0" t="n">
        <v>20.9</v>
      </c>
      <c r="J54" s="0" t="n">
        <v>11.9</v>
      </c>
      <c r="K54" s="0" t="n">
        <v>4.8768484778</v>
      </c>
      <c r="L54" s="0" t="n">
        <v>2.86860464771</v>
      </c>
      <c r="M54" s="0" t="n">
        <v>5.58922846982</v>
      </c>
      <c r="N54" s="0" t="n">
        <v>78.1865827371</v>
      </c>
      <c r="O54" s="0" t="n">
        <v>8.47873566758</v>
      </c>
      <c r="P54" s="0" t="n">
        <f aca="false">INDEX($F54:$J54,IF(1&lt;$E54,1,1+1))</f>
        <v>22.3</v>
      </c>
      <c r="Q54" s="0" t="n">
        <f aca="false">INDEX($F54:$J54,IF(2&lt;$E54,2,2+1))</f>
        <v>19.5</v>
      </c>
      <c r="R54" s="0" t="n">
        <f aca="false">INDEX($F54:$J54,IF(3&lt;$E54,3,3+1))</f>
        <v>25.4</v>
      </c>
      <c r="S54" s="0" t="n">
        <f aca="false">INDEX($F54:$J54,IF(4&lt;$E54,4,4+1))</f>
        <v>11.9</v>
      </c>
      <c r="T54" s="0" t="n">
        <f aca="false">INDEX($K54:$O54,IF(1&lt;$E54,1,1+1))</f>
        <v>4.8768484778</v>
      </c>
      <c r="U54" s="0" t="n">
        <f aca="false">INDEX($K54:$O54,IF(2&lt;$E54,2,2+1))</f>
        <v>2.86860464771</v>
      </c>
      <c r="V54" s="0" t="n">
        <f aca="false">INDEX($K54:$O54,IF(3&lt;$E54,3,3+1))</f>
        <v>5.58922846982</v>
      </c>
      <c r="W54" s="0" t="n">
        <f aca="false">INDEX($K54:$O54,IF(4&lt;$E54,4,4+1))</f>
        <v>8.47873566758</v>
      </c>
      <c r="X54" s="0" t="n">
        <f aca="false">1+COUNTIF($P54:$S54,"&gt;"&amp;$P54)+(COUNTIF($P54:$S54,$P54)-1)/2</f>
        <v>2</v>
      </c>
      <c r="Y54" s="0" t="n">
        <f aca="false">1+COUNTIF($P54:$S54,"&gt;"&amp;$Q54)+(COUNTIF($P54:$S54,$Q54)-1)/2</f>
        <v>3</v>
      </c>
      <c r="Z54" s="0" t="n">
        <f aca="false">1+COUNTIF($P54:$S54,"&gt;"&amp;$R54)+(COUNTIF($P54:$S54,$R54)-1)/2</f>
        <v>1</v>
      </c>
      <c r="AA54" s="0" t="n">
        <f aca="false">1+COUNTIF($P54:$S54,"&gt;"&amp;$S54)+(COUNTIF($P54:$S54,$S54)-1)/2</f>
        <v>4</v>
      </c>
      <c r="AB54" s="0" t="n">
        <f aca="false">1+COUNTIF($T54:$W54,"&gt;"&amp;$T54)+(COUNTIF($T54:$W54,$T54)-1)/2</f>
        <v>3</v>
      </c>
      <c r="AC54" s="0" t="n">
        <f aca="false">1+COUNTIF($T54:$W54,"&gt;"&amp;$U54)+(COUNTIF($T54:$W54,$U54)-1)/2</f>
        <v>4</v>
      </c>
      <c r="AD54" s="0" t="n">
        <f aca="false">1+COUNTIF($T54:$W54,"&gt;"&amp;$V54)+(COUNTIF($T54:$W54,$V54)-1)/2</f>
        <v>2</v>
      </c>
      <c r="AE54" s="0" t="n">
        <f aca="false">1+COUNTIF($T54:$W54,"&gt;"&amp;$W54)+(COUNTIF($T54:$W54,$W54)-1)/2</f>
        <v>1</v>
      </c>
      <c r="AF54" s="0" t="n">
        <f aca="false">IFERROR(CORREL($P54:$S54,$T54:$W54),"")</f>
        <v>-0.591413325878699</v>
      </c>
      <c r="AG54" s="0" t="n">
        <f aca="false">IFERROR(CORREL($X54:$AA54,$AB54:$AE54),"")</f>
        <v>-0.2</v>
      </c>
      <c r="AH54" s="0" t="n">
        <f aca="false">IFERROR((SIGN($P54-$Q54)*SIGN($T54-$U54)+SIGN($P54-$R54)*SIGN($T54-$V54)+SIGN($P54-$S54)*SIGN($T54-$W54)+SIGN($Q54-$R54)*SIGN($U54-$V54)+SIGN($Q54-$S54)*SIGN($U54-$W54)+SIGN($R54-$S54)*SIGN($V54-$W54))/SQRT((6-(($P54=$Q54)*1+($P54=$R54)*1+($P54=$S54)*1+($Q54=$R54)*1+($Q54=$S54)*1+($R54=$S54)*1))*(6-(($T54=$U54)*1+($T54=$V54)*1+($T54=$W54)*1+($U54=$V54)*1+($U54=$W54)*1+($V54=$W54)*1))),"")</f>
        <v>0</v>
      </c>
      <c r="AI54" s="0" t="n">
        <f aca="false">MATCH(MAX($K54:$O54),$K54:$O54,0)</f>
        <v>4</v>
      </c>
      <c r="AJ54" s="0" t="n">
        <f aca="false">IF(AI54&lt;&gt;$E54,1,0)</f>
        <v>0</v>
      </c>
      <c r="AK54" s="0" t="str">
        <f aca="false">IF(AJ54=1,INDEX($F54:$J54,AI54)/MAX($P54:$S54),"")</f>
        <v/>
      </c>
      <c r="AL54" s="0" t="str">
        <f aca="false">IF(AJ54=1,1+COUNTIF($P54:$S54,"&gt;"&amp;INDEX($F54:$J54,AI54)),"")</f>
        <v/>
      </c>
      <c r="AM54" s="0" t="n">
        <f aca="false">AVERAGE($P54:$S54)/MAX($P54:$S54)</f>
        <v>0.778543307086614</v>
      </c>
      <c r="AN54" s="0" t="n">
        <f aca="false">100-INDEX($F54:$J54,$E54)</f>
        <v>79.1</v>
      </c>
    </row>
    <row r="55" customFormat="false" ht="15" hidden="false" customHeight="false" outlineLevel="0" collapsed="false">
      <c r="A55" s="0" t="s">
        <v>40</v>
      </c>
      <c r="B55" s="0" t="n">
        <v>2024</v>
      </c>
      <c r="C55" s="0" t="s">
        <v>52</v>
      </c>
      <c r="D55" s="0" t="s">
        <v>42</v>
      </c>
      <c r="E55" s="0" t="n">
        <v>2</v>
      </c>
      <c r="F55" s="0" t="n">
        <v>23.1</v>
      </c>
      <c r="G55" s="0" t="n">
        <v>45</v>
      </c>
      <c r="H55" s="0" t="n">
        <v>12.2</v>
      </c>
      <c r="I55" s="0" t="n">
        <v>11.5</v>
      </c>
      <c r="J55" s="0" t="n">
        <v>8.1</v>
      </c>
      <c r="K55" s="0" t="n">
        <v>0.472030485651</v>
      </c>
      <c r="L55" s="0" t="n">
        <v>14.3945615702</v>
      </c>
      <c r="M55" s="0" t="n">
        <v>8.30714042896</v>
      </c>
      <c r="N55" s="0" t="n">
        <v>76.7636785583</v>
      </c>
      <c r="O55" s="0" t="n">
        <v>0.0625889568958</v>
      </c>
      <c r="P55" s="0" t="n">
        <f aca="false">INDEX($F55:$J55,IF(1&lt;$E55,1,1+1))</f>
        <v>23.1</v>
      </c>
      <c r="Q55" s="0" t="n">
        <f aca="false">INDEX($F55:$J55,IF(2&lt;$E55,2,2+1))</f>
        <v>12.2</v>
      </c>
      <c r="R55" s="0" t="n">
        <f aca="false">INDEX($F55:$J55,IF(3&lt;$E55,3,3+1))</f>
        <v>11.5</v>
      </c>
      <c r="S55" s="0" t="n">
        <f aca="false">INDEX($F55:$J55,IF(4&lt;$E55,4,4+1))</f>
        <v>8.1</v>
      </c>
      <c r="T55" s="0" t="n">
        <f aca="false">INDEX($K55:$O55,IF(1&lt;$E55,1,1+1))</f>
        <v>0.472030485651</v>
      </c>
      <c r="U55" s="0" t="n">
        <f aca="false">INDEX($K55:$O55,IF(2&lt;$E55,2,2+1))</f>
        <v>8.30714042896</v>
      </c>
      <c r="V55" s="0" t="n">
        <f aca="false">INDEX($K55:$O55,IF(3&lt;$E55,3,3+1))</f>
        <v>76.7636785583</v>
      </c>
      <c r="W55" s="0" t="n">
        <f aca="false">INDEX($K55:$O55,IF(4&lt;$E55,4,4+1))</f>
        <v>0.0625889568958</v>
      </c>
      <c r="X55" s="0" t="n">
        <f aca="false">1+COUNTIF($P55:$S55,"&gt;"&amp;$P55)+(COUNTIF($P55:$S55,$P55)-1)/2</f>
        <v>1</v>
      </c>
      <c r="Y55" s="0" t="n">
        <f aca="false">1+COUNTIF($P55:$S55,"&gt;"&amp;$Q55)+(COUNTIF($P55:$S55,$Q55)-1)/2</f>
        <v>2</v>
      </c>
      <c r="Z55" s="0" t="n">
        <f aca="false">1+COUNTIF($P55:$S55,"&gt;"&amp;$R55)+(COUNTIF($P55:$S55,$R55)-1)/2</f>
        <v>3</v>
      </c>
      <c r="AA55" s="0" t="n">
        <f aca="false">1+COUNTIF($P55:$S55,"&gt;"&amp;$S55)+(COUNTIF($P55:$S55,$S55)-1)/2</f>
        <v>4</v>
      </c>
      <c r="AB55" s="0" t="n">
        <f aca="false">1+COUNTIF($T55:$W55,"&gt;"&amp;$T55)+(COUNTIF($T55:$W55,$T55)-1)/2</f>
        <v>3</v>
      </c>
      <c r="AC55" s="0" t="n">
        <f aca="false">1+COUNTIF($T55:$W55,"&gt;"&amp;$U55)+(COUNTIF($T55:$W55,$U55)-1)/2</f>
        <v>2</v>
      </c>
      <c r="AD55" s="0" t="n">
        <f aca="false">1+COUNTIF($T55:$W55,"&gt;"&amp;$V55)+(COUNTIF($T55:$W55,$V55)-1)/2</f>
        <v>1</v>
      </c>
      <c r="AE55" s="0" t="n">
        <f aca="false">1+COUNTIF($T55:$W55,"&gt;"&amp;$W55)+(COUNTIF($T55:$W55,$W55)-1)/2</f>
        <v>4</v>
      </c>
      <c r="AF55" s="0" t="n">
        <f aca="false">IFERROR(CORREL($P55:$S55,$T55:$W55),"")</f>
        <v>-0.247896545386323</v>
      </c>
      <c r="AG55" s="0" t="n">
        <f aca="false">IFERROR(CORREL($X55:$AA55,$AB55:$AE55),"")</f>
        <v>0.2</v>
      </c>
      <c r="AH55" s="0" t="n">
        <f aca="false">IFERROR((SIGN($P55-$Q55)*SIGN($T55-$U55)+SIGN($P55-$R55)*SIGN($T55-$V55)+SIGN($P55-$S55)*SIGN($T55-$W55)+SIGN($Q55-$R55)*SIGN($U55-$V55)+SIGN($Q55-$S55)*SIGN($U55-$W55)+SIGN($R55-$S55)*SIGN($V55-$W55))/SQRT((6-(($P55=$Q55)*1+($P55=$R55)*1+($P55=$S55)*1+($Q55=$R55)*1+($Q55=$S55)*1+($R55=$S55)*1))*(6-(($T55=$U55)*1+($T55=$V55)*1+($T55=$W55)*1+($U55=$V55)*1+($U55=$W55)*1+($V55=$W55)*1))),"")</f>
        <v>0</v>
      </c>
      <c r="AI55" s="0" t="n">
        <f aca="false">MATCH(MAX($K55:$O55),$K55:$O55,0)</f>
        <v>4</v>
      </c>
      <c r="AJ55" s="0" t="n">
        <f aca="false">IF(AI55&lt;&gt;$E55,1,0)</f>
        <v>1</v>
      </c>
      <c r="AK55" s="0" t="n">
        <f aca="false">IF(AJ55=1,INDEX($F55:$J55,AI55)/MAX($P55:$S55),"")</f>
        <v>0.497835497835498</v>
      </c>
      <c r="AL55" s="0" t="n">
        <f aca="false">IF(AJ55=1,1+COUNTIF($P55:$S55,"&gt;"&amp;INDEX($F55:$J55,AI55)),"")</f>
        <v>3</v>
      </c>
      <c r="AM55" s="0" t="n">
        <f aca="false">AVERAGE($P55:$S55)/MAX($P55:$S55)</f>
        <v>0.594155844155844</v>
      </c>
      <c r="AN55" s="0" t="n">
        <f aca="false">100-INDEX($F55:$J55,$E55)</f>
        <v>55</v>
      </c>
    </row>
    <row r="56" customFormat="false" ht="15" hidden="false" customHeight="false" outlineLevel="0" collapsed="false">
      <c r="A56" s="0" t="s">
        <v>40</v>
      </c>
      <c r="B56" s="0" t="n">
        <v>2024</v>
      </c>
      <c r="C56" s="0" t="s">
        <v>52</v>
      </c>
      <c r="D56" s="0" t="s">
        <v>43</v>
      </c>
      <c r="E56" s="0" t="n">
        <v>1</v>
      </c>
      <c r="F56" s="0" t="n">
        <v>35</v>
      </c>
      <c r="G56" s="0" t="n">
        <v>19.1</v>
      </c>
      <c r="H56" s="0" t="n">
        <v>24.1</v>
      </c>
      <c r="I56" s="0" t="n">
        <v>9.2</v>
      </c>
      <c r="J56" s="0" t="n">
        <v>12.6</v>
      </c>
      <c r="K56" s="0" t="n">
        <v>8.41276431395</v>
      </c>
      <c r="L56" s="0" t="n">
        <v>33.9438882106</v>
      </c>
      <c r="M56" s="0" t="n">
        <v>23.0290010667</v>
      </c>
      <c r="N56" s="0" t="n">
        <v>29.9789911035</v>
      </c>
      <c r="O56" s="0" t="n">
        <v>4.63535530531</v>
      </c>
      <c r="P56" s="0" t="n">
        <f aca="false">INDEX($F56:$J56,IF(1&lt;$E56,1,1+1))</f>
        <v>19.1</v>
      </c>
      <c r="Q56" s="0" t="n">
        <f aca="false">INDEX($F56:$J56,IF(2&lt;$E56,2,2+1))</f>
        <v>24.1</v>
      </c>
      <c r="R56" s="0" t="n">
        <f aca="false">INDEX($F56:$J56,IF(3&lt;$E56,3,3+1))</f>
        <v>9.2</v>
      </c>
      <c r="S56" s="0" t="n">
        <f aca="false">INDEX($F56:$J56,IF(4&lt;$E56,4,4+1))</f>
        <v>12.6</v>
      </c>
      <c r="T56" s="0" t="n">
        <f aca="false">INDEX($K56:$O56,IF(1&lt;$E56,1,1+1))</f>
        <v>33.9438882106</v>
      </c>
      <c r="U56" s="0" t="n">
        <f aca="false">INDEX($K56:$O56,IF(2&lt;$E56,2,2+1))</f>
        <v>23.0290010667</v>
      </c>
      <c r="V56" s="0" t="n">
        <f aca="false">INDEX($K56:$O56,IF(3&lt;$E56,3,3+1))</f>
        <v>29.9789911035</v>
      </c>
      <c r="W56" s="0" t="n">
        <f aca="false">INDEX($K56:$O56,IF(4&lt;$E56,4,4+1))</f>
        <v>4.63535530531</v>
      </c>
      <c r="X56" s="0" t="n">
        <f aca="false">1+COUNTIF($P56:$S56,"&gt;"&amp;$P56)+(COUNTIF($P56:$S56,$P56)-1)/2</f>
        <v>2</v>
      </c>
      <c r="Y56" s="0" t="n">
        <f aca="false">1+COUNTIF($P56:$S56,"&gt;"&amp;$Q56)+(COUNTIF($P56:$S56,$Q56)-1)/2</f>
        <v>1</v>
      </c>
      <c r="Z56" s="0" t="n">
        <f aca="false">1+COUNTIF($P56:$S56,"&gt;"&amp;$R56)+(COUNTIF($P56:$S56,$R56)-1)/2</f>
        <v>4</v>
      </c>
      <c r="AA56" s="0" t="n">
        <f aca="false">1+COUNTIF($P56:$S56,"&gt;"&amp;$S56)+(COUNTIF($P56:$S56,$S56)-1)/2</f>
        <v>3</v>
      </c>
      <c r="AB56" s="0" t="n">
        <f aca="false">1+COUNTIF($T56:$W56,"&gt;"&amp;$T56)+(COUNTIF($T56:$W56,$T56)-1)/2</f>
        <v>1</v>
      </c>
      <c r="AC56" s="0" t="n">
        <f aca="false">1+COUNTIF($T56:$W56,"&gt;"&amp;$U56)+(COUNTIF($T56:$W56,$U56)-1)/2</f>
        <v>3</v>
      </c>
      <c r="AD56" s="0" t="n">
        <f aca="false">1+COUNTIF($T56:$W56,"&gt;"&amp;$V56)+(COUNTIF($T56:$W56,$V56)-1)/2</f>
        <v>2</v>
      </c>
      <c r="AE56" s="0" t="n">
        <f aca="false">1+COUNTIF($T56:$W56,"&gt;"&amp;$W56)+(COUNTIF($T56:$W56,$W56)-1)/2</f>
        <v>4</v>
      </c>
      <c r="AF56" s="0" t="n">
        <f aca="false">IFERROR(CORREL($P56:$S56,$T56:$W56),"")</f>
        <v>0.190057246460531</v>
      </c>
      <c r="AG56" s="0" t="n">
        <f aca="false">IFERROR(CORREL($X56:$AA56,$AB56:$AE56),"")</f>
        <v>0</v>
      </c>
      <c r="AH56" s="0" t="n">
        <f aca="false">IFERROR((SIGN($P56-$Q56)*SIGN($T56-$U56)+SIGN($P56-$R56)*SIGN($T56-$V56)+SIGN($P56-$S56)*SIGN($T56-$W56)+SIGN($Q56-$R56)*SIGN($U56-$V56)+SIGN($Q56-$S56)*SIGN($U56-$W56)+SIGN($R56-$S56)*SIGN($V56-$W56))/SQRT((6-(($P56=$Q56)*1+($P56=$R56)*1+($P56=$S56)*1+($Q56=$R56)*1+($Q56=$S56)*1+($R56=$S56)*1))*(6-(($T56=$U56)*1+($T56=$V56)*1+($T56=$W56)*1+($U56=$V56)*1+($U56=$W56)*1+($V56=$W56)*1))),"")</f>
        <v>0</v>
      </c>
      <c r="AI56" s="0" t="n">
        <f aca="false">MATCH(MAX($K56:$O56),$K56:$O56,0)</f>
        <v>2</v>
      </c>
      <c r="AJ56" s="0" t="n">
        <f aca="false">IF(AI56&lt;&gt;$E56,1,0)</f>
        <v>1</v>
      </c>
      <c r="AK56" s="0" t="n">
        <f aca="false">IF(AJ56=1,INDEX($F56:$J56,AI56)/MAX($P56:$S56),"")</f>
        <v>0.79253112033195</v>
      </c>
      <c r="AL56" s="0" t="n">
        <f aca="false">IF(AJ56=1,1+COUNTIF($P56:$S56,"&gt;"&amp;INDEX($F56:$J56,AI56)),"")</f>
        <v>2</v>
      </c>
      <c r="AM56" s="0" t="n">
        <f aca="false">AVERAGE($P56:$S56)/MAX($P56:$S56)</f>
        <v>0.674273858921162</v>
      </c>
      <c r="AN56" s="0" t="n">
        <f aca="false">100-INDEX($F56:$J56,$E56)</f>
        <v>65</v>
      </c>
    </row>
    <row r="57" customFormat="false" ht="15" hidden="false" customHeight="false" outlineLevel="0" collapsed="false">
      <c r="A57" s="0" t="s">
        <v>40</v>
      </c>
      <c r="B57" s="0" t="n">
        <v>2024</v>
      </c>
      <c r="C57" s="0" t="s">
        <v>52</v>
      </c>
      <c r="D57" s="0" t="s">
        <v>44</v>
      </c>
      <c r="E57" s="0" t="n">
        <v>1</v>
      </c>
      <c r="F57" s="0" t="n">
        <v>28.6</v>
      </c>
      <c r="G57" s="0" t="n">
        <v>18</v>
      </c>
      <c r="H57" s="0" t="n">
        <v>18.8</v>
      </c>
      <c r="I57" s="0" t="n">
        <v>20.6</v>
      </c>
      <c r="J57" s="0" t="n">
        <v>14</v>
      </c>
      <c r="K57" s="0" t="n">
        <v>2.4298726148</v>
      </c>
      <c r="L57" s="0" t="n">
        <v>8.98850189418</v>
      </c>
      <c r="M57" s="0" t="n">
        <v>25.2617150378</v>
      </c>
      <c r="N57" s="0" t="n">
        <v>33.5974697845</v>
      </c>
      <c r="O57" s="0" t="n">
        <v>29.7224406688</v>
      </c>
      <c r="P57" s="0" t="n">
        <f aca="false">INDEX($F57:$J57,IF(1&lt;$E57,1,1+1))</f>
        <v>18</v>
      </c>
      <c r="Q57" s="0" t="n">
        <f aca="false">INDEX($F57:$J57,IF(2&lt;$E57,2,2+1))</f>
        <v>18.8</v>
      </c>
      <c r="R57" s="0" t="n">
        <f aca="false">INDEX($F57:$J57,IF(3&lt;$E57,3,3+1))</f>
        <v>20.6</v>
      </c>
      <c r="S57" s="0" t="n">
        <f aca="false">INDEX($F57:$J57,IF(4&lt;$E57,4,4+1))</f>
        <v>14</v>
      </c>
      <c r="T57" s="0" t="n">
        <f aca="false">INDEX($K57:$O57,IF(1&lt;$E57,1,1+1))</f>
        <v>8.98850189418</v>
      </c>
      <c r="U57" s="0" t="n">
        <f aca="false">INDEX($K57:$O57,IF(2&lt;$E57,2,2+1))</f>
        <v>25.2617150378</v>
      </c>
      <c r="V57" s="0" t="n">
        <f aca="false">INDEX($K57:$O57,IF(3&lt;$E57,3,3+1))</f>
        <v>33.5974697845</v>
      </c>
      <c r="W57" s="0" t="n">
        <f aca="false">INDEX($K57:$O57,IF(4&lt;$E57,4,4+1))</f>
        <v>29.7224406688</v>
      </c>
      <c r="X57" s="0" t="n">
        <f aca="false">1+COUNTIF($P57:$S57,"&gt;"&amp;$P57)+(COUNTIF($P57:$S57,$P57)-1)/2</f>
        <v>3</v>
      </c>
      <c r="Y57" s="0" t="n">
        <f aca="false">1+COUNTIF($P57:$S57,"&gt;"&amp;$Q57)+(COUNTIF($P57:$S57,$Q57)-1)/2</f>
        <v>2</v>
      </c>
      <c r="Z57" s="0" t="n">
        <f aca="false">1+COUNTIF($P57:$S57,"&gt;"&amp;$R57)+(COUNTIF($P57:$S57,$R57)-1)/2</f>
        <v>1</v>
      </c>
      <c r="AA57" s="0" t="n">
        <f aca="false">1+COUNTIF($P57:$S57,"&gt;"&amp;$S57)+(COUNTIF($P57:$S57,$S57)-1)/2</f>
        <v>4</v>
      </c>
      <c r="AB57" s="0" t="n">
        <f aca="false">1+COUNTIF($T57:$W57,"&gt;"&amp;$T57)+(COUNTIF($T57:$W57,$T57)-1)/2</f>
        <v>4</v>
      </c>
      <c r="AC57" s="0" t="n">
        <f aca="false">1+COUNTIF($T57:$W57,"&gt;"&amp;$U57)+(COUNTIF($T57:$W57,$U57)-1)/2</f>
        <v>3</v>
      </c>
      <c r="AD57" s="0" t="n">
        <f aca="false">1+COUNTIF($T57:$W57,"&gt;"&amp;$V57)+(COUNTIF($T57:$W57,$V57)-1)/2</f>
        <v>1</v>
      </c>
      <c r="AE57" s="0" t="n">
        <f aca="false">1+COUNTIF($T57:$W57,"&gt;"&amp;$W57)+(COUNTIF($T57:$W57,$W57)-1)/2</f>
        <v>2</v>
      </c>
      <c r="AF57" s="0" t="n">
        <f aca="false">IFERROR(CORREL($P57:$S57,$T57:$W57),"")</f>
        <v>0.0365681203031272</v>
      </c>
      <c r="AG57" s="0" t="n">
        <f aca="false">IFERROR(CORREL($X57:$AA57,$AB57:$AE57),"")</f>
        <v>0.4</v>
      </c>
      <c r="AH57" s="0" t="n">
        <f aca="false">IFERROR((SIGN($P57-$Q57)*SIGN($T57-$U57)+SIGN($P57-$R57)*SIGN($T57-$V57)+SIGN($P57-$S57)*SIGN($T57-$W57)+SIGN($Q57-$R57)*SIGN($U57-$V57)+SIGN($Q57-$S57)*SIGN($U57-$W57)+SIGN($R57-$S57)*SIGN($V57-$W57))/SQRT((6-(($P57=$Q57)*1+($P57=$R57)*1+($P57=$S57)*1+($Q57=$R57)*1+($Q57=$S57)*1+($R57=$S57)*1))*(6-(($T57=$U57)*1+($T57=$V57)*1+($T57=$W57)*1+($U57=$V57)*1+($U57=$W57)*1+($V57=$W57)*1))),"")</f>
        <v>0.333333333333333</v>
      </c>
      <c r="AI57" s="0" t="n">
        <f aca="false">MATCH(MAX($K57:$O57),$K57:$O57,0)</f>
        <v>4</v>
      </c>
      <c r="AJ57" s="0" t="n">
        <f aca="false">IF(AI57&lt;&gt;$E57,1,0)</f>
        <v>1</v>
      </c>
      <c r="AK57" s="0" t="n">
        <f aca="false">IF(AJ57=1,INDEX($F57:$J57,AI57)/MAX($P57:$S57),"")</f>
        <v>1</v>
      </c>
      <c r="AL57" s="0" t="n">
        <f aca="false">IF(AJ57=1,1+COUNTIF($P57:$S57,"&gt;"&amp;INDEX($F57:$J57,AI57)),"")</f>
        <v>1</v>
      </c>
      <c r="AM57" s="0" t="n">
        <f aca="false">AVERAGE($P57:$S57)/MAX($P57:$S57)</f>
        <v>0.866504854368932</v>
      </c>
      <c r="AN57" s="0" t="n">
        <f aca="false">100-INDEX($F57:$J57,$E57)</f>
        <v>71.4</v>
      </c>
    </row>
    <row r="58" customFormat="false" ht="15" hidden="false" customHeight="false" outlineLevel="0" collapsed="false">
      <c r="A58" s="0" t="s">
        <v>40</v>
      </c>
      <c r="B58" s="0" t="n">
        <v>2024</v>
      </c>
      <c r="C58" s="0" t="s">
        <v>52</v>
      </c>
      <c r="D58" s="0" t="s">
        <v>45</v>
      </c>
      <c r="E58" s="0" t="n">
        <v>2</v>
      </c>
      <c r="F58" s="0" t="n">
        <v>15.5</v>
      </c>
      <c r="G58" s="0" t="n">
        <v>44.8</v>
      </c>
      <c r="H58" s="0" t="n">
        <v>13.1</v>
      </c>
      <c r="I58" s="0" t="n">
        <v>14.5</v>
      </c>
      <c r="J58" s="0" t="n">
        <v>12.1</v>
      </c>
      <c r="K58" s="0" t="n">
        <v>13.7033603837</v>
      </c>
      <c r="L58" s="0" t="n">
        <v>48.4343210794</v>
      </c>
      <c r="M58" s="0" t="n">
        <v>19.7483171443</v>
      </c>
      <c r="N58" s="0" t="n">
        <v>8.86461401257</v>
      </c>
      <c r="O58" s="0" t="n">
        <v>9.24938738003</v>
      </c>
      <c r="P58" s="0" t="n">
        <f aca="false">INDEX($F58:$J58,IF(1&lt;$E58,1,1+1))</f>
        <v>15.5</v>
      </c>
      <c r="Q58" s="0" t="n">
        <f aca="false">INDEX($F58:$J58,IF(2&lt;$E58,2,2+1))</f>
        <v>13.1</v>
      </c>
      <c r="R58" s="0" t="n">
        <f aca="false">INDEX($F58:$J58,IF(3&lt;$E58,3,3+1))</f>
        <v>14.5</v>
      </c>
      <c r="S58" s="0" t="n">
        <f aca="false">INDEX($F58:$J58,IF(4&lt;$E58,4,4+1))</f>
        <v>12.1</v>
      </c>
      <c r="T58" s="0" t="n">
        <f aca="false">INDEX($K58:$O58,IF(1&lt;$E58,1,1+1))</f>
        <v>13.7033603837</v>
      </c>
      <c r="U58" s="0" t="n">
        <f aca="false">INDEX($K58:$O58,IF(2&lt;$E58,2,2+1))</f>
        <v>19.7483171443</v>
      </c>
      <c r="V58" s="0" t="n">
        <f aca="false">INDEX($K58:$O58,IF(3&lt;$E58,3,3+1))</f>
        <v>8.86461401257</v>
      </c>
      <c r="W58" s="0" t="n">
        <f aca="false">INDEX($K58:$O58,IF(4&lt;$E58,4,4+1))</f>
        <v>9.24938738003</v>
      </c>
      <c r="X58" s="0" t="n">
        <f aca="false">1+COUNTIF($P58:$S58,"&gt;"&amp;$P58)+(COUNTIF($P58:$S58,$P58)-1)/2</f>
        <v>1</v>
      </c>
      <c r="Y58" s="0" t="n">
        <f aca="false">1+COUNTIF($P58:$S58,"&gt;"&amp;$Q58)+(COUNTIF($P58:$S58,$Q58)-1)/2</f>
        <v>3</v>
      </c>
      <c r="Z58" s="0" t="n">
        <f aca="false">1+COUNTIF($P58:$S58,"&gt;"&amp;$R58)+(COUNTIF($P58:$S58,$R58)-1)/2</f>
        <v>2</v>
      </c>
      <c r="AA58" s="0" t="n">
        <f aca="false">1+COUNTIF($P58:$S58,"&gt;"&amp;$S58)+(COUNTIF($P58:$S58,$S58)-1)/2</f>
        <v>4</v>
      </c>
      <c r="AB58" s="0" t="n">
        <f aca="false">1+COUNTIF($T58:$W58,"&gt;"&amp;$T58)+(COUNTIF($T58:$W58,$T58)-1)/2</f>
        <v>2</v>
      </c>
      <c r="AC58" s="0" t="n">
        <f aca="false">1+COUNTIF($T58:$W58,"&gt;"&amp;$U58)+(COUNTIF($T58:$W58,$U58)-1)/2</f>
        <v>1</v>
      </c>
      <c r="AD58" s="0" t="n">
        <f aca="false">1+COUNTIF($T58:$W58,"&gt;"&amp;$V58)+(COUNTIF($T58:$W58,$V58)-1)/2</f>
        <v>4</v>
      </c>
      <c r="AE58" s="0" t="n">
        <f aca="false">1+COUNTIF($T58:$W58,"&gt;"&amp;$W58)+(COUNTIF($T58:$W58,$W58)-1)/2</f>
        <v>3</v>
      </c>
      <c r="AF58" s="0" t="n">
        <f aca="false">IFERROR(CORREL($P58:$S58,$T58:$W58),"")</f>
        <v>-0.0020508851996586</v>
      </c>
      <c r="AG58" s="0" t="n">
        <f aca="false">IFERROR(CORREL($X58:$AA58,$AB58:$AE58),"")</f>
        <v>0</v>
      </c>
      <c r="AH58" s="0" t="n">
        <f aca="false">IFERROR((SIGN($P58-$Q58)*SIGN($T58-$U58)+SIGN($P58-$R58)*SIGN($T58-$V58)+SIGN($P58-$S58)*SIGN($T58-$W58)+SIGN($Q58-$R58)*SIGN($U58-$V58)+SIGN($Q58-$S58)*SIGN($U58-$W58)+SIGN($R58-$S58)*SIGN($V58-$W58))/SQRT((6-(($P58=$Q58)*1+($P58=$R58)*1+($P58=$S58)*1+($Q58=$R58)*1+($Q58=$S58)*1+($R58=$S58)*1))*(6-(($T58=$U58)*1+($T58=$V58)*1+($T58=$W58)*1+($U58=$V58)*1+($U58=$W58)*1+($V58=$W58)*1))),"")</f>
        <v>0</v>
      </c>
      <c r="AI58" s="0" t="n">
        <f aca="false">MATCH(MAX($K58:$O58),$K58:$O58,0)</f>
        <v>2</v>
      </c>
      <c r="AJ58" s="0" t="n">
        <f aca="false">IF(AI58&lt;&gt;$E58,1,0)</f>
        <v>0</v>
      </c>
      <c r="AK58" s="0" t="str">
        <f aca="false">IF(AJ58=1,INDEX($F58:$J58,AI58)/MAX($P58:$S58),"")</f>
        <v/>
      </c>
      <c r="AL58" s="0" t="str">
        <f aca="false">IF(AJ58=1,1+COUNTIF($P58:$S58,"&gt;"&amp;INDEX($F58:$J58,AI58)),"")</f>
        <v/>
      </c>
      <c r="AM58" s="0" t="n">
        <f aca="false">AVERAGE($P58:$S58)/MAX($P58:$S58)</f>
        <v>0.890322580645161</v>
      </c>
      <c r="AN58" s="0" t="n">
        <f aca="false">100-INDEX($F58:$J58,$E58)</f>
        <v>55.2</v>
      </c>
    </row>
    <row r="59" customFormat="false" ht="15" hidden="false" customHeight="false" outlineLevel="0" collapsed="false">
      <c r="A59" s="0" t="s">
        <v>40</v>
      </c>
      <c r="B59" s="0" t="n">
        <v>2024</v>
      </c>
      <c r="C59" s="0" t="s">
        <v>46</v>
      </c>
      <c r="D59" s="0" t="s">
        <v>42</v>
      </c>
      <c r="E59" s="0" t="n">
        <v>1</v>
      </c>
      <c r="F59" s="0" t="n">
        <v>29</v>
      </c>
      <c r="G59" s="0" t="n">
        <v>30</v>
      </c>
      <c r="H59" s="0" t="n">
        <v>24.2</v>
      </c>
      <c r="I59" s="0" t="n">
        <v>8.8</v>
      </c>
      <c r="J59" s="0" t="n">
        <v>8</v>
      </c>
      <c r="K59" s="0" t="n">
        <v>18.2340373368</v>
      </c>
      <c r="L59" s="0" t="n">
        <v>48.9983794445</v>
      </c>
      <c r="M59" s="0" t="n">
        <v>32.533680335</v>
      </c>
      <c r="N59" s="0" t="n">
        <v>0.114305135674</v>
      </c>
      <c r="O59" s="0" t="n">
        <v>0.119597748037</v>
      </c>
      <c r="P59" s="0" t="n">
        <f aca="false">INDEX($F59:$J59,IF(1&lt;$E59,1,1+1))</f>
        <v>30</v>
      </c>
      <c r="Q59" s="0" t="n">
        <f aca="false">INDEX($F59:$J59,IF(2&lt;$E59,2,2+1))</f>
        <v>24.2</v>
      </c>
      <c r="R59" s="0" t="n">
        <f aca="false">INDEX($F59:$J59,IF(3&lt;$E59,3,3+1))</f>
        <v>8.8</v>
      </c>
      <c r="S59" s="0" t="n">
        <f aca="false">INDEX($F59:$J59,IF(4&lt;$E59,4,4+1))</f>
        <v>8</v>
      </c>
      <c r="T59" s="0" t="n">
        <f aca="false">INDEX($K59:$O59,IF(1&lt;$E59,1,1+1))</f>
        <v>48.9983794445</v>
      </c>
      <c r="U59" s="0" t="n">
        <f aca="false">INDEX($K59:$O59,IF(2&lt;$E59,2,2+1))</f>
        <v>32.533680335</v>
      </c>
      <c r="V59" s="0" t="n">
        <f aca="false">INDEX($K59:$O59,IF(3&lt;$E59,3,3+1))</f>
        <v>0.114305135674</v>
      </c>
      <c r="W59" s="0" t="n">
        <f aca="false">INDEX($K59:$O59,IF(4&lt;$E59,4,4+1))</f>
        <v>0.119597748037</v>
      </c>
      <c r="X59" s="0" t="n">
        <f aca="false">1+COUNTIF($P59:$S59,"&gt;"&amp;$P59)+(COUNTIF($P59:$S59,$P59)-1)/2</f>
        <v>1</v>
      </c>
      <c r="Y59" s="0" t="n">
        <f aca="false">1+COUNTIF($P59:$S59,"&gt;"&amp;$Q59)+(COUNTIF($P59:$S59,$Q59)-1)/2</f>
        <v>2</v>
      </c>
      <c r="Z59" s="0" t="n">
        <f aca="false">1+COUNTIF($P59:$S59,"&gt;"&amp;$R59)+(COUNTIF($P59:$S59,$R59)-1)/2</f>
        <v>3</v>
      </c>
      <c r="AA59" s="0" t="n">
        <f aca="false">1+COUNTIF($P59:$S59,"&gt;"&amp;$S59)+(COUNTIF($P59:$S59,$S59)-1)/2</f>
        <v>4</v>
      </c>
      <c r="AB59" s="0" t="n">
        <f aca="false">1+COUNTIF($T59:$W59,"&gt;"&amp;$T59)+(COUNTIF($T59:$W59,$T59)-1)/2</f>
        <v>1</v>
      </c>
      <c r="AC59" s="0" t="n">
        <f aca="false">1+COUNTIF($T59:$W59,"&gt;"&amp;$U59)+(COUNTIF($T59:$W59,$U59)-1)/2</f>
        <v>2</v>
      </c>
      <c r="AD59" s="0" t="n">
        <f aca="false">1+COUNTIF($T59:$W59,"&gt;"&amp;$V59)+(COUNTIF($T59:$W59,$V59)-1)/2</f>
        <v>4</v>
      </c>
      <c r="AE59" s="0" t="n">
        <f aca="false">1+COUNTIF($T59:$W59,"&gt;"&amp;$W59)+(COUNTIF($T59:$W59,$W59)-1)/2</f>
        <v>3</v>
      </c>
      <c r="AF59" s="0" t="n">
        <f aca="false">IFERROR(CORREL($P59:$S59,$T59:$W59),"")</f>
        <v>0.997575344523806</v>
      </c>
      <c r="AG59" s="0" t="n">
        <f aca="false">IFERROR(CORREL($X59:$AA59,$AB59:$AE59),"")</f>
        <v>0.8</v>
      </c>
      <c r="AH59" s="0" t="n">
        <f aca="false">IFERROR((SIGN($P59-$Q59)*SIGN($T59-$U59)+SIGN($P59-$R59)*SIGN($T59-$V59)+SIGN($P59-$S59)*SIGN($T59-$W59)+SIGN($Q59-$R59)*SIGN($U59-$V59)+SIGN($Q59-$S59)*SIGN($U59-$W59)+SIGN($R59-$S59)*SIGN($V59-$W59))/SQRT((6-(($P59=$Q59)*1+($P59=$R59)*1+($P59=$S59)*1+($Q59=$R59)*1+($Q59=$S59)*1+($R59=$S59)*1))*(6-(($T59=$U59)*1+($T59=$V59)*1+($T59=$W59)*1+($U59=$V59)*1+($U59=$W59)*1+($V59=$W59)*1))),"")</f>
        <v>0.666666666666667</v>
      </c>
      <c r="AI59" s="0" t="n">
        <f aca="false">MATCH(MAX($K59:$O59),$K59:$O59,0)</f>
        <v>2</v>
      </c>
      <c r="AJ59" s="0" t="n">
        <f aca="false">IF(AI59&lt;&gt;$E59,1,0)</f>
        <v>1</v>
      </c>
      <c r="AK59" s="0" t="n">
        <f aca="false">IF(AJ59=1,INDEX($F59:$J59,AI59)/MAX($P59:$S59),"")</f>
        <v>1</v>
      </c>
      <c r="AL59" s="0" t="n">
        <f aca="false">IF(AJ59=1,1+COUNTIF($P59:$S59,"&gt;"&amp;INDEX($F59:$J59,AI59)),"")</f>
        <v>1</v>
      </c>
      <c r="AM59" s="0" t="n">
        <f aca="false">AVERAGE($P59:$S59)/MAX($P59:$S59)</f>
        <v>0.591666666666667</v>
      </c>
      <c r="AN59" s="0" t="n">
        <f aca="false">100-INDEX($F59:$J59,$E59)</f>
        <v>71</v>
      </c>
    </row>
    <row r="60" customFormat="false" ht="15" hidden="false" customHeight="false" outlineLevel="0" collapsed="false">
      <c r="A60" s="0" t="s">
        <v>40</v>
      </c>
      <c r="B60" s="0" t="n">
        <v>2024</v>
      </c>
      <c r="C60" s="0" t="s">
        <v>46</v>
      </c>
      <c r="D60" s="0" t="s">
        <v>43</v>
      </c>
      <c r="E60" s="0" t="n">
        <v>1</v>
      </c>
      <c r="F60" s="0" t="n">
        <v>33.7</v>
      </c>
      <c r="G60" s="0" t="n">
        <v>11.8</v>
      </c>
      <c r="H60" s="0" t="n">
        <v>14.1</v>
      </c>
      <c r="I60" s="0" t="n">
        <v>16.5</v>
      </c>
      <c r="J60" s="0" t="n">
        <v>23.9</v>
      </c>
      <c r="K60" s="0" t="n">
        <v>65.0064515829</v>
      </c>
      <c r="L60" s="0" t="n">
        <v>15.4262019814</v>
      </c>
      <c r="M60" s="0" t="n">
        <v>12.2840211885</v>
      </c>
      <c r="N60" s="0" t="n">
        <v>4.25249930703</v>
      </c>
      <c r="O60" s="0" t="n">
        <v>3.03082594023</v>
      </c>
      <c r="P60" s="0" t="n">
        <f aca="false">INDEX($F60:$J60,IF(1&lt;$E60,1,1+1))</f>
        <v>11.8</v>
      </c>
      <c r="Q60" s="0" t="n">
        <f aca="false">INDEX($F60:$J60,IF(2&lt;$E60,2,2+1))</f>
        <v>14.1</v>
      </c>
      <c r="R60" s="0" t="n">
        <f aca="false">INDEX($F60:$J60,IF(3&lt;$E60,3,3+1))</f>
        <v>16.5</v>
      </c>
      <c r="S60" s="0" t="n">
        <f aca="false">INDEX($F60:$J60,IF(4&lt;$E60,4,4+1))</f>
        <v>23.9</v>
      </c>
      <c r="T60" s="0" t="n">
        <f aca="false">INDEX($K60:$O60,IF(1&lt;$E60,1,1+1))</f>
        <v>15.4262019814</v>
      </c>
      <c r="U60" s="0" t="n">
        <f aca="false">INDEX($K60:$O60,IF(2&lt;$E60,2,2+1))</f>
        <v>12.2840211885</v>
      </c>
      <c r="V60" s="0" t="n">
        <f aca="false">INDEX($K60:$O60,IF(3&lt;$E60,3,3+1))</f>
        <v>4.25249930703</v>
      </c>
      <c r="W60" s="0" t="n">
        <f aca="false">INDEX($K60:$O60,IF(4&lt;$E60,4,4+1))</f>
        <v>3.03082594023</v>
      </c>
      <c r="X60" s="0" t="n">
        <f aca="false">1+COUNTIF($P60:$S60,"&gt;"&amp;$P60)+(COUNTIF($P60:$S60,$P60)-1)/2</f>
        <v>4</v>
      </c>
      <c r="Y60" s="0" t="n">
        <f aca="false">1+COUNTIF($P60:$S60,"&gt;"&amp;$Q60)+(COUNTIF($P60:$S60,$Q60)-1)/2</f>
        <v>3</v>
      </c>
      <c r="Z60" s="0" t="n">
        <f aca="false">1+COUNTIF($P60:$S60,"&gt;"&amp;$R60)+(COUNTIF($P60:$S60,$R60)-1)/2</f>
        <v>2</v>
      </c>
      <c r="AA60" s="0" t="n">
        <f aca="false">1+COUNTIF($P60:$S60,"&gt;"&amp;$S60)+(COUNTIF($P60:$S60,$S60)-1)/2</f>
        <v>1</v>
      </c>
      <c r="AB60" s="0" t="n">
        <f aca="false">1+COUNTIF($T60:$W60,"&gt;"&amp;$T60)+(COUNTIF($T60:$W60,$T60)-1)/2</f>
        <v>1</v>
      </c>
      <c r="AC60" s="0" t="n">
        <f aca="false">1+COUNTIF($T60:$W60,"&gt;"&amp;$U60)+(COUNTIF($T60:$W60,$U60)-1)/2</f>
        <v>2</v>
      </c>
      <c r="AD60" s="0" t="n">
        <f aca="false">1+COUNTIF($T60:$W60,"&gt;"&amp;$V60)+(COUNTIF($T60:$W60,$V60)-1)/2</f>
        <v>3</v>
      </c>
      <c r="AE60" s="0" t="n">
        <f aca="false">1+COUNTIF($T60:$W60,"&gt;"&amp;$W60)+(COUNTIF($T60:$W60,$W60)-1)/2</f>
        <v>4</v>
      </c>
      <c r="AF60" s="0" t="n">
        <f aca="false">IFERROR(CORREL($P60:$S60,$T60:$W60),"")</f>
        <v>-0.86223186162865</v>
      </c>
      <c r="AG60" s="0" t="n">
        <f aca="false">IFERROR(CORREL($X60:$AA60,$AB60:$AE60),"")</f>
        <v>-1</v>
      </c>
      <c r="AH60" s="0" t="n">
        <f aca="false">IFERROR((SIGN($P60-$Q60)*SIGN($T60-$U60)+SIGN($P60-$R60)*SIGN($T60-$V60)+SIGN($P60-$S60)*SIGN($T60-$W60)+SIGN($Q60-$R60)*SIGN($U60-$V60)+SIGN($Q60-$S60)*SIGN($U60-$W60)+SIGN($R60-$S60)*SIGN($V60-$W60))/SQRT((6-(($P60=$Q60)*1+($P60=$R60)*1+($P60=$S60)*1+($Q60=$R60)*1+($Q60=$S60)*1+($R60=$S60)*1))*(6-(($T60=$U60)*1+($T60=$V60)*1+($T60=$W60)*1+($U60=$V60)*1+($U60=$W60)*1+($V60=$W60)*1))),"")</f>
        <v>-1</v>
      </c>
      <c r="AI60" s="0" t="n">
        <f aca="false">MATCH(MAX($K60:$O60),$K60:$O60,0)</f>
        <v>1</v>
      </c>
      <c r="AJ60" s="0" t="n">
        <f aca="false">IF(AI60&lt;&gt;$E60,1,0)</f>
        <v>0</v>
      </c>
      <c r="AK60" s="0" t="str">
        <f aca="false">IF(AJ60=1,INDEX($F60:$J60,AI60)/MAX($P60:$S60),"")</f>
        <v/>
      </c>
      <c r="AL60" s="0" t="str">
        <f aca="false">IF(AJ60=1,1+COUNTIF($P60:$S60,"&gt;"&amp;INDEX($F60:$J60,AI60)),"")</f>
        <v/>
      </c>
      <c r="AM60" s="0" t="n">
        <f aca="false">AVERAGE($P60:$S60)/MAX($P60:$S60)</f>
        <v>0.693514644351465</v>
      </c>
      <c r="AN60" s="0" t="n">
        <f aca="false">100-INDEX($F60:$J60,$E60)</f>
        <v>66.3</v>
      </c>
    </row>
    <row r="61" customFormat="false" ht="15" hidden="false" customHeight="false" outlineLevel="0" collapsed="false">
      <c r="A61" s="0" t="s">
        <v>40</v>
      </c>
      <c r="B61" s="0" t="n">
        <v>2024</v>
      </c>
      <c r="C61" s="0" t="s">
        <v>46</v>
      </c>
      <c r="D61" s="0" t="s">
        <v>44</v>
      </c>
      <c r="E61" s="0" t="n">
        <v>3</v>
      </c>
      <c r="F61" s="0" t="n">
        <v>13.1</v>
      </c>
      <c r="G61" s="0" t="n">
        <v>14.6</v>
      </c>
      <c r="H61" s="0" t="n">
        <v>43.9</v>
      </c>
      <c r="I61" s="0" t="n">
        <v>11.7</v>
      </c>
      <c r="J61" s="0" t="n">
        <v>16.7</v>
      </c>
      <c r="K61" s="0" t="n">
        <v>8.94388284257</v>
      </c>
      <c r="L61" s="0" t="n">
        <v>11.9803760663</v>
      </c>
      <c r="M61" s="0" t="n">
        <v>39.8968043796</v>
      </c>
      <c r="N61" s="0" t="n">
        <v>16.8444485118</v>
      </c>
      <c r="O61" s="0" t="n">
        <v>22.3344881998</v>
      </c>
      <c r="P61" s="0" t="n">
        <f aca="false">INDEX($F61:$J61,IF(1&lt;$E61,1,1+1))</f>
        <v>13.1</v>
      </c>
      <c r="Q61" s="0" t="n">
        <f aca="false">INDEX($F61:$J61,IF(2&lt;$E61,2,2+1))</f>
        <v>14.6</v>
      </c>
      <c r="R61" s="0" t="n">
        <f aca="false">INDEX($F61:$J61,IF(3&lt;$E61,3,3+1))</f>
        <v>11.7</v>
      </c>
      <c r="S61" s="0" t="n">
        <f aca="false">INDEX($F61:$J61,IF(4&lt;$E61,4,4+1))</f>
        <v>16.7</v>
      </c>
      <c r="T61" s="0" t="n">
        <f aca="false">INDEX($K61:$O61,IF(1&lt;$E61,1,1+1))</f>
        <v>8.94388284257</v>
      </c>
      <c r="U61" s="0" t="n">
        <f aca="false">INDEX($K61:$O61,IF(2&lt;$E61,2,2+1))</f>
        <v>11.9803760663</v>
      </c>
      <c r="V61" s="0" t="n">
        <f aca="false">INDEX($K61:$O61,IF(3&lt;$E61,3,3+1))</f>
        <v>16.8444485118</v>
      </c>
      <c r="W61" s="0" t="n">
        <f aca="false">INDEX($K61:$O61,IF(4&lt;$E61,4,4+1))</f>
        <v>22.3344881998</v>
      </c>
      <c r="X61" s="0" t="n">
        <f aca="false">1+COUNTIF($P61:$S61,"&gt;"&amp;$P61)+(COUNTIF($P61:$S61,$P61)-1)/2</f>
        <v>3</v>
      </c>
      <c r="Y61" s="0" t="n">
        <f aca="false">1+COUNTIF($P61:$S61,"&gt;"&amp;$Q61)+(COUNTIF($P61:$S61,$Q61)-1)/2</f>
        <v>2</v>
      </c>
      <c r="Z61" s="0" t="n">
        <f aca="false">1+COUNTIF($P61:$S61,"&gt;"&amp;$R61)+(COUNTIF($P61:$S61,$R61)-1)/2</f>
        <v>4</v>
      </c>
      <c r="AA61" s="0" t="n">
        <f aca="false">1+COUNTIF($P61:$S61,"&gt;"&amp;$S61)+(COUNTIF($P61:$S61,$S61)-1)/2</f>
        <v>1</v>
      </c>
      <c r="AB61" s="0" t="n">
        <f aca="false">1+COUNTIF($T61:$W61,"&gt;"&amp;$T61)+(COUNTIF($T61:$W61,$T61)-1)/2</f>
        <v>4</v>
      </c>
      <c r="AC61" s="0" t="n">
        <f aca="false">1+COUNTIF($T61:$W61,"&gt;"&amp;$U61)+(COUNTIF($T61:$W61,$U61)-1)/2</f>
        <v>3</v>
      </c>
      <c r="AD61" s="0" t="n">
        <f aca="false">1+COUNTIF($T61:$W61,"&gt;"&amp;$V61)+(COUNTIF($T61:$W61,$V61)-1)/2</f>
        <v>2</v>
      </c>
      <c r="AE61" s="0" t="n">
        <f aca="false">1+COUNTIF($T61:$W61,"&gt;"&amp;$W61)+(COUNTIF($T61:$W61,$W61)-1)/2</f>
        <v>1</v>
      </c>
      <c r="AF61" s="0" t="n">
        <f aca="false">IFERROR(CORREL($P61:$S61,$T61:$W61),"")</f>
        <v>0.510184788708868</v>
      </c>
      <c r="AG61" s="0" t="n">
        <f aca="false">IFERROR(CORREL($X61:$AA61,$AB61:$AE61),"")</f>
        <v>0.4</v>
      </c>
      <c r="AH61" s="0" t="n">
        <f aca="false">IFERROR((SIGN($P61-$Q61)*SIGN($T61-$U61)+SIGN($P61-$R61)*SIGN($T61-$V61)+SIGN($P61-$S61)*SIGN($T61-$W61)+SIGN($Q61-$R61)*SIGN($U61-$V61)+SIGN($Q61-$S61)*SIGN($U61-$W61)+SIGN($R61-$S61)*SIGN($V61-$W61))/SQRT((6-(($P61=$Q61)*1+($P61=$R61)*1+($P61=$S61)*1+($Q61=$R61)*1+($Q61=$S61)*1+($R61=$S61)*1))*(6-(($T61=$U61)*1+($T61=$V61)*1+($T61=$W61)*1+($U61=$V61)*1+($U61=$W61)*1+($V61=$W61)*1))),"")</f>
        <v>0.333333333333333</v>
      </c>
      <c r="AI61" s="0" t="n">
        <f aca="false">MATCH(MAX($K61:$O61),$K61:$O61,0)</f>
        <v>3</v>
      </c>
      <c r="AJ61" s="0" t="n">
        <f aca="false">IF(AI61&lt;&gt;$E61,1,0)</f>
        <v>0</v>
      </c>
      <c r="AK61" s="0" t="str">
        <f aca="false">IF(AJ61=1,INDEX($F61:$J61,AI61)/MAX($P61:$S61),"")</f>
        <v/>
      </c>
      <c r="AL61" s="0" t="str">
        <f aca="false">IF(AJ61=1,1+COUNTIF($P61:$S61,"&gt;"&amp;INDEX($F61:$J61,AI61)),"")</f>
        <v/>
      </c>
      <c r="AM61" s="0" t="n">
        <f aca="false">AVERAGE($P61:$S61)/MAX($P61:$S61)</f>
        <v>0.839820359281437</v>
      </c>
      <c r="AN61" s="0" t="n">
        <f aca="false">100-INDEX($F61:$J61,$E61)</f>
        <v>56.1</v>
      </c>
    </row>
    <row r="62" customFormat="false" ht="15" hidden="false" customHeight="false" outlineLevel="0" collapsed="false">
      <c r="A62" s="0" t="s">
        <v>40</v>
      </c>
      <c r="B62" s="0" t="n">
        <v>2024</v>
      </c>
      <c r="C62" s="0" t="s">
        <v>46</v>
      </c>
      <c r="D62" s="0" t="s">
        <v>45</v>
      </c>
      <c r="E62" s="0" t="n">
        <v>1</v>
      </c>
      <c r="F62" s="0" t="n">
        <v>28.1</v>
      </c>
      <c r="G62" s="0" t="n">
        <v>18.8</v>
      </c>
      <c r="H62" s="0" t="n">
        <v>18.4</v>
      </c>
      <c r="I62" s="0" t="n">
        <v>18.4</v>
      </c>
      <c r="J62" s="0" t="n">
        <v>16.2</v>
      </c>
      <c r="K62" s="0" t="n">
        <v>4.31940516405</v>
      </c>
      <c r="L62" s="0" t="n">
        <v>1.17742294618</v>
      </c>
      <c r="M62" s="0" t="n">
        <v>13.284137437</v>
      </c>
      <c r="N62" s="0" t="n">
        <v>40.434998392</v>
      </c>
      <c r="O62" s="0" t="n">
        <v>40.7840360607</v>
      </c>
      <c r="P62" s="0" t="n">
        <f aca="false">INDEX($F62:$J62,IF(1&lt;$E62,1,1+1))</f>
        <v>18.8</v>
      </c>
      <c r="Q62" s="0" t="n">
        <f aca="false">INDEX($F62:$J62,IF(2&lt;$E62,2,2+1))</f>
        <v>18.4</v>
      </c>
      <c r="R62" s="0" t="n">
        <f aca="false">INDEX($F62:$J62,IF(3&lt;$E62,3,3+1))</f>
        <v>18.4</v>
      </c>
      <c r="S62" s="0" t="n">
        <f aca="false">INDEX($F62:$J62,IF(4&lt;$E62,4,4+1))</f>
        <v>16.2</v>
      </c>
      <c r="T62" s="0" t="n">
        <f aca="false">INDEX($K62:$O62,IF(1&lt;$E62,1,1+1))</f>
        <v>1.17742294618</v>
      </c>
      <c r="U62" s="0" t="n">
        <f aca="false">INDEX($K62:$O62,IF(2&lt;$E62,2,2+1))</f>
        <v>13.284137437</v>
      </c>
      <c r="V62" s="0" t="n">
        <f aca="false">INDEX($K62:$O62,IF(3&lt;$E62,3,3+1))</f>
        <v>40.434998392</v>
      </c>
      <c r="W62" s="0" t="n">
        <f aca="false">INDEX($K62:$O62,IF(4&lt;$E62,4,4+1))</f>
        <v>40.7840360607</v>
      </c>
      <c r="X62" s="0" t="n">
        <f aca="false">1+COUNTIF($P62:$S62,"&gt;"&amp;$P62)+(COUNTIF($P62:$S62,$P62)-1)/2</f>
        <v>1</v>
      </c>
      <c r="Y62" s="0" t="n">
        <f aca="false">1+COUNTIF($P62:$S62,"&gt;"&amp;$Q62)+(COUNTIF($P62:$S62,$Q62)-1)/2</f>
        <v>2.5</v>
      </c>
      <c r="Z62" s="0" t="n">
        <f aca="false">1+COUNTIF($P62:$S62,"&gt;"&amp;$R62)+(COUNTIF($P62:$S62,$R62)-1)/2</f>
        <v>2.5</v>
      </c>
      <c r="AA62" s="0" t="n">
        <f aca="false">1+COUNTIF($P62:$S62,"&gt;"&amp;$S62)+(COUNTIF($P62:$S62,$S62)-1)/2</f>
        <v>4</v>
      </c>
      <c r="AB62" s="0" t="n">
        <f aca="false">1+COUNTIF($T62:$W62,"&gt;"&amp;$T62)+(COUNTIF($T62:$W62,$T62)-1)/2</f>
        <v>4</v>
      </c>
      <c r="AC62" s="0" t="n">
        <f aca="false">1+COUNTIF($T62:$W62,"&gt;"&amp;$U62)+(COUNTIF($T62:$W62,$U62)-1)/2</f>
        <v>3</v>
      </c>
      <c r="AD62" s="0" t="n">
        <f aca="false">1+COUNTIF($T62:$W62,"&gt;"&amp;$V62)+(COUNTIF($T62:$W62,$V62)-1)/2</f>
        <v>2</v>
      </c>
      <c r="AE62" s="0" t="n">
        <f aca="false">1+COUNTIF($T62:$W62,"&gt;"&amp;$W62)+(COUNTIF($T62:$W62,$W62)-1)/2</f>
        <v>1</v>
      </c>
      <c r="AF62" s="0" t="n">
        <f aca="false">IFERROR(CORREL($P62:$S62,$T62:$W62),"")</f>
        <v>-0.654935182881704</v>
      </c>
      <c r="AG62" s="0" t="n">
        <f aca="false">IFERROR(CORREL($X62:$AA62,$AB62:$AE62),"")</f>
        <v>-0.948683298050514</v>
      </c>
      <c r="AH62" s="0" t="n">
        <f aca="false">IFERROR((SIGN($P62-$Q62)*SIGN($T62-$U62)+SIGN($P62-$R62)*SIGN($T62-$V62)+SIGN($P62-$S62)*SIGN($T62-$W62)+SIGN($Q62-$R62)*SIGN($U62-$V62)+SIGN($Q62-$S62)*SIGN($U62-$W62)+SIGN($R62-$S62)*SIGN($V62-$W62))/SQRT((6-(($P62=$Q62)*1+($P62=$R62)*1+($P62=$S62)*1+($Q62=$R62)*1+($Q62=$S62)*1+($R62=$S62)*1))*(6-(($T62=$U62)*1+($T62=$V62)*1+($T62=$W62)*1+($U62=$V62)*1+($U62=$W62)*1+($V62=$W62)*1))),"")</f>
        <v>-0.912870929175277</v>
      </c>
      <c r="AI62" s="0" t="n">
        <f aca="false">MATCH(MAX($K62:$O62),$K62:$O62,0)</f>
        <v>5</v>
      </c>
      <c r="AJ62" s="0" t="n">
        <f aca="false">IF(AI62&lt;&gt;$E62,1,0)</f>
        <v>1</v>
      </c>
      <c r="AK62" s="0" t="n">
        <f aca="false">IF(AJ62=1,INDEX($F62:$J62,AI62)/MAX($P62:$S62),"")</f>
        <v>0.861702127659574</v>
      </c>
      <c r="AL62" s="0" t="n">
        <f aca="false">IF(AJ62=1,1+COUNTIF($P62:$S62,"&gt;"&amp;INDEX($F62:$J62,AI62)),"")</f>
        <v>4</v>
      </c>
      <c r="AM62" s="0" t="n">
        <f aca="false">AVERAGE($P62:$S62)/MAX($P62:$S62)</f>
        <v>0.954787234042553</v>
      </c>
      <c r="AN62" s="0" t="n">
        <f aca="false">100-INDEX($F62:$J62,$E62)</f>
        <v>71.9</v>
      </c>
    </row>
    <row r="63" customFormat="false" ht="15" hidden="false" customHeight="false" outlineLevel="0" collapsed="false">
      <c r="A63" s="0" t="s">
        <v>40</v>
      </c>
      <c r="B63" s="0" t="n">
        <v>2024</v>
      </c>
      <c r="C63" s="0" t="s">
        <v>47</v>
      </c>
      <c r="D63" s="0" t="s">
        <v>43</v>
      </c>
      <c r="E63" s="0" t="n">
        <v>2</v>
      </c>
      <c r="F63" s="0" t="n">
        <v>22.9</v>
      </c>
      <c r="G63" s="0" t="n">
        <v>38.4</v>
      </c>
      <c r="H63" s="0" t="n">
        <v>10.3</v>
      </c>
      <c r="I63" s="0" t="n">
        <v>12.2</v>
      </c>
      <c r="J63" s="0" t="n">
        <v>16.1</v>
      </c>
      <c r="K63" s="0" t="n">
        <v>0.954378576865</v>
      </c>
      <c r="L63" s="0" t="n">
        <v>15.8799400843</v>
      </c>
      <c r="M63" s="0" t="n">
        <v>9.97926502054</v>
      </c>
      <c r="N63" s="0" t="n">
        <v>38.0977413507</v>
      </c>
      <c r="O63" s="0" t="n">
        <v>35.0886749675</v>
      </c>
      <c r="P63" s="0" t="n">
        <f aca="false">INDEX($F63:$J63,IF(1&lt;$E63,1,1+1))</f>
        <v>22.9</v>
      </c>
      <c r="Q63" s="0" t="n">
        <f aca="false">INDEX($F63:$J63,IF(2&lt;$E63,2,2+1))</f>
        <v>10.3</v>
      </c>
      <c r="R63" s="0" t="n">
        <f aca="false">INDEX($F63:$J63,IF(3&lt;$E63,3,3+1))</f>
        <v>12.2</v>
      </c>
      <c r="S63" s="0" t="n">
        <f aca="false">INDEX($F63:$J63,IF(4&lt;$E63,4,4+1))</f>
        <v>16.1</v>
      </c>
      <c r="T63" s="0" t="n">
        <f aca="false">INDEX($K63:$O63,IF(1&lt;$E63,1,1+1))</f>
        <v>0.954378576865</v>
      </c>
      <c r="U63" s="0" t="n">
        <f aca="false">INDEX($K63:$O63,IF(2&lt;$E63,2,2+1))</f>
        <v>9.97926502054</v>
      </c>
      <c r="V63" s="0" t="n">
        <f aca="false">INDEX($K63:$O63,IF(3&lt;$E63,3,3+1))</f>
        <v>38.0977413507</v>
      </c>
      <c r="W63" s="0" t="n">
        <f aca="false">INDEX($K63:$O63,IF(4&lt;$E63,4,4+1))</f>
        <v>35.0886749675</v>
      </c>
      <c r="X63" s="0" t="n">
        <f aca="false">1+COUNTIF($P63:$S63,"&gt;"&amp;$P63)+(COUNTIF($P63:$S63,$P63)-1)/2</f>
        <v>1</v>
      </c>
      <c r="Y63" s="0" t="n">
        <f aca="false">1+COUNTIF($P63:$S63,"&gt;"&amp;$Q63)+(COUNTIF($P63:$S63,$Q63)-1)/2</f>
        <v>4</v>
      </c>
      <c r="Z63" s="0" t="n">
        <f aca="false">1+COUNTIF($P63:$S63,"&gt;"&amp;$R63)+(COUNTIF($P63:$S63,$R63)-1)/2</f>
        <v>3</v>
      </c>
      <c r="AA63" s="0" t="n">
        <f aca="false">1+COUNTIF($P63:$S63,"&gt;"&amp;$S63)+(COUNTIF($P63:$S63,$S63)-1)/2</f>
        <v>2</v>
      </c>
      <c r="AB63" s="0" t="n">
        <f aca="false">1+COUNTIF($T63:$W63,"&gt;"&amp;$T63)+(COUNTIF($T63:$W63,$T63)-1)/2</f>
        <v>4</v>
      </c>
      <c r="AC63" s="0" t="n">
        <f aca="false">1+COUNTIF($T63:$W63,"&gt;"&amp;$U63)+(COUNTIF($T63:$W63,$U63)-1)/2</f>
        <v>3</v>
      </c>
      <c r="AD63" s="0" t="n">
        <f aca="false">1+COUNTIF($T63:$W63,"&gt;"&amp;$V63)+(COUNTIF($T63:$W63,$V63)-1)/2</f>
        <v>1</v>
      </c>
      <c r="AE63" s="0" t="n">
        <f aca="false">1+COUNTIF($T63:$W63,"&gt;"&amp;$W63)+(COUNTIF($T63:$W63,$W63)-1)/2</f>
        <v>2</v>
      </c>
      <c r="AF63" s="0" t="n">
        <f aca="false">IFERROR(CORREL($P63:$S63,$T63:$W63),"")</f>
        <v>-0.452597066893498</v>
      </c>
      <c r="AG63" s="0" t="n">
        <f aca="false">IFERROR(CORREL($X63:$AA63,$AB63:$AE63),"")</f>
        <v>-0.4</v>
      </c>
      <c r="AH63" s="0" t="n">
        <f aca="false">IFERROR((SIGN($P63-$Q63)*SIGN($T63-$U63)+SIGN($P63-$R63)*SIGN($T63-$V63)+SIGN($P63-$S63)*SIGN($T63-$W63)+SIGN($Q63-$R63)*SIGN($U63-$V63)+SIGN($Q63-$S63)*SIGN($U63-$W63)+SIGN($R63-$S63)*SIGN($V63-$W63))/SQRT((6-(($P63=$Q63)*1+($P63=$R63)*1+($P63=$S63)*1+($Q63=$R63)*1+($Q63=$S63)*1+($R63=$S63)*1))*(6-(($T63=$U63)*1+($T63=$V63)*1+($T63=$W63)*1+($U63=$V63)*1+($U63=$W63)*1+($V63=$W63)*1))),"")</f>
        <v>-0.333333333333333</v>
      </c>
      <c r="AI63" s="0" t="n">
        <f aca="false">MATCH(MAX($K63:$O63),$K63:$O63,0)</f>
        <v>4</v>
      </c>
      <c r="AJ63" s="0" t="n">
        <f aca="false">IF(AI63&lt;&gt;$E63,1,0)</f>
        <v>1</v>
      </c>
      <c r="AK63" s="0" t="n">
        <f aca="false">IF(AJ63=1,INDEX($F63:$J63,AI63)/MAX($P63:$S63),"")</f>
        <v>0.532751091703057</v>
      </c>
      <c r="AL63" s="0" t="n">
        <f aca="false">IF(AJ63=1,1+COUNTIF($P63:$S63,"&gt;"&amp;INDEX($F63:$J63,AI63)),"")</f>
        <v>3</v>
      </c>
      <c r="AM63" s="0" t="n">
        <f aca="false">AVERAGE($P63:$S63)/MAX($P63:$S63)</f>
        <v>0.671397379912664</v>
      </c>
      <c r="AN63" s="0" t="n">
        <f aca="false">100-INDEX($F63:$J63,$E63)</f>
        <v>61.6</v>
      </c>
    </row>
    <row r="64" customFormat="false" ht="15" hidden="false" customHeight="false" outlineLevel="0" collapsed="false">
      <c r="A64" s="0" t="s">
        <v>40</v>
      </c>
      <c r="B64" s="0" t="n">
        <v>2024</v>
      </c>
      <c r="C64" s="0" t="s">
        <v>47</v>
      </c>
      <c r="D64" s="0" t="s">
        <v>44</v>
      </c>
      <c r="E64" s="0" t="n">
        <v>5</v>
      </c>
      <c r="F64" s="0" t="n">
        <v>24.7</v>
      </c>
      <c r="G64" s="0" t="n">
        <v>26.6</v>
      </c>
      <c r="H64" s="0" t="n">
        <v>17.3</v>
      </c>
      <c r="I64" s="0" t="n">
        <v>17.2</v>
      </c>
      <c r="J64" s="0" t="n">
        <v>14.3</v>
      </c>
      <c r="K64" s="0" t="n">
        <v>23.5814832777</v>
      </c>
      <c r="L64" s="0" t="n">
        <v>10.662564486</v>
      </c>
      <c r="M64" s="0" t="n">
        <v>7.73114749379</v>
      </c>
      <c r="N64" s="0" t="n">
        <v>12.1197040218</v>
      </c>
      <c r="O64" s="0" t="n">
        <v>45.9051007207</v>
      </c>
      <c r="P64" s="0" t="n">
        <f aca="false">INDEX($F64:$J64,IF(1&lt;$E64,1,1+1))</f>
        <v>24.7</v>
      </c>
      <c r="Q64" s="0" t="n">
        <f aca="false">INDEX($F64:$J64,IF(2&lt;$E64,2,2+1))</f>
        <v>26.6</v>
      </c>
      <c r="R64" s="0" t="n">
        <f aca="false">INDEX($F64:$J64,IF(3&lt;$E64,3,3+1))</f>
        <v>17.3</v>
      </c>
      <c r="S64" s="0" t="n">
        <f aca="false">INDEX($F64:$J64,IF(4&lt;$E64,4,4+1))</f>
        <v>17.2</v>
      </c>
      <c r="T64" s="0" t="n">
        <f aca="false">INDEX($K64:$O64,IF(1&lt;$E64,1,1+1))</f>
        <v>23.5814832777</v>
      </c>
      <c r="U64" s="0" t="n">
        <f aca="false">INDEX($K64:$O64,IF(2&lt;$E64,2,2+1))</f>
        <v>10.662564486</v>
      </c>
      <c r="V64" s="0" t="n">
        <f aca="false">INDEX($K64:$O64,IF(3&lt;$E64,3,3+1))</f>
        <v>7.73114749379</v>
      </c>
      <c r="W64" s="0" t="n">
        <f aca="false">INDEX($K64:$O64,IF(4&lt;$E64,4,4+1))</f>
        <v>12.1197040218</v>
      </c>
      <c r="X64" s="0" t="n">
        <f aca="false">1+COUNTIF($P64:$S64,"&gt;"&amp;$P64)+(COUNTIF($P64:$S64,$P64)-1)/2</f>
        <v>2</v>
      </c>
      <c r="Y64" s="0" t="n">
        <f aca="false">1+COUNTIF($P64:$S64,"&gt;"&amp;$Q64)+(COUNTIF($P64:$S64,$Q64)-1)/2</f>
        <v>1</v>
      </c>
      <c r="Z64" s="0" t="n">
        <f aca="false">1+COUNTIF($P64:$S64,"&gt;"&amp;$R64)+(COUNTIF($P64:$S64,$R64)-1)/2</f>
        <v>3</v>
      </c>
      <c r="AA64" s="0" t="n">
        <f aca="false">1+COUNTIF($P64:$S64,"&gt;"&amp;$S64)+(COUNTIF($P64:$S64,$S64)-1)/2</f>
        <v>4</v>
      </c>
      <c r="AB64" s="0" t="n">
        <f aca="false">1+COUNTIF($T64:$W64,"&gt;"&amp;$T64)+(COUNTIF($T64:$W64,$T64)-1)/2</f>
        <v>1</v>
      </c>
      <c r="AC64" s="0" t="n">
        <f aca="false">1+COUNTIF($T64:$W64,"&gt;"&amp;$U64)+(COUNTIF($T64:$W64,$U64)-1)/2</f>
        <v>3</v>
      </c>
      <c r="AD64" s="0" t="n">
        <f aca="false">1+COUNTIF($T64:$W64,"&gt;"&amp;$V64)+(COUNTIF($T64:$W64,$V64)-1)/2</f>
        <v>4</v>
      </c>
      <c r="AE64" s="0" t="n">
        <f aca="false">1+COUNTIF($T64:$W64,"&gt;"&amp;$W64)+(COUNTIF($T64:$W64,$W64)-1)/2</f>
        <v>2</v>
      </c>
      <c r="AF64" s="0" t="n">
        <f aca="false">IFERROR(CORREL($P64:$S64,$T64:$W64),"")</f>
        <v>0.468383794664931</v>
      </c>
      <c r="AG64" s="0" t="n">
        <f aca="false">IFERROR(CORREL($X64:$AA64,$AB64:$AE64),"")</f>
        <v>0</v>
      </c>
      <c r="AH64" s="0" t="n">
        <f aca="false">IFERROR((SIGN($P64-$Q64)*SIGN($T64-$U64)+SIGN($P64-$R64)*SIGN($T64-$V64)+SIGN($P64-$S64)*SIGN($T64-$W64)+SIGN($Q64-$R64)*SIGN($U64-$V64)+SIGN($Q64-$S64)*SIGN($U64-$W64)+SIGN($R64-$S64)*SIGN($V64-$W64))/SQRT((6-(($P64=$Q64)*1+($P64=$R64)*1+($P64=$S64)*1+($Q64=$R64)*1+($Q64=$S64)*1+($R64=$S64)*1))*(6-(($T64=$U64)*1+($T64=$V64)*1+($T64=$W64)*1+($U64=$V64)*1+($U64=$W64)*1+($V64=$W64)*1))),"")</f>
        <v>0</v>
      </c>
      <c r="AI64" s="0" t="n">
        <f aca="false">MATCH(MAX($K64:$O64),$K64:$O64,0)</f>
        <v>5</v>
      </c>
      <c r="AJ64" s="0" t="n">
        <f aca="false">IF(AI64&lt;&gt;$E64,1,0)</f>
        <v>0</v>
      </c>
      <c r="AK64" s="0" t="str">
        <f aca="false">IF(AJ64=1,INDEX($F64:$J64,AI64)/MAX($P64:$S64),"")</f>
        <v/>
      </c>
      <c r="AL64" s="0" t="str">
        <f aca="false">IF(AJ64=1,1+COUNTIF($P64:$S64,"&gt;"&amp;INDEX($F64:$J64,AI64)),"")</f>
        <v/>
      </c>
      <c r="AM64" s="0" t="n">
        <f aca="false">AVERAGE($P64:$S64)/MAX($P64:$S64)</f>
        <v>0.806390977443609</v>
      </c>
      <c r="AN64" s="0" t="n">
        <f aca="false">100-INDEX($F64:$J64,$E64)</f>
        <v>85.7</v>
      </c>
    </row>
    <row r="65" customFormat="false" ht="15" hidden="false" customHeight="false" outlineLevel="0" collapsed="false">
      <c r="A65" s="0" t="s">
        <v>40</v>
      </c>
      <c r="B65" s="0" t="n">
        <v>2024</v>
      </c>
      <c r="C65" s="0" t="s">
        <v>47</v>
      </c>
      <c r="D65" s="0" t="s">
        <v>45</v>
      </c>
      <c r="E65" s="0" t="n">
        <v>4</v>
      </c>
      <c r="F65" s="0" t="n">
        <v>19.7</v>
      </c>
      <c r="G65" s="0" t="n">
        <v>29</v>
      </c>
      <c r="H65" s="0" t="n">
        <v>9.2</v>
      </c>
      <c r="I65" s="0" t="n">
        <v>22.1</v>
      </c>
      <c r="J65" s="0" t="n">
        <v>20.1</v>
      </c>
      <c r="K65" s="0" t="n">
        <v>51.9294023651</v>
      </c>
      <c r="L65" s="0" t="n">
        <v>8.57644472154</v>
      </c>
      <c r="M65" s="0" t="n">
        <v>18.1447429914</v>
      </c>
      <c r="N65" s="0" t="n">
        <v>6.38275697113</v>
      </c>
      <c r="O65" s="0" t="n">
        <v>14.9666529508</v>
      </c>
      <c r="P65" s="0" t="n">
        <f aca="false">INDEX($F65:$J65,IF(1&lt;$E65,1,1+1))</f>
        <v>19.7</v>
      </c>
      <c r="Q65" s="0" t="n">
        <f aca="false">INDEX($F65:$J65,IF(2&lt;$E65,2,2+1))</f>
        <v>29</v>
      </c>
      <c r="R65" s="0" t="n">
        <f aca="false">INDEX($F65:$J65,IF(3&lt;$E65,3,3+1))</f>
        <v>9.2</v>
      </c>
      <c r="S65" s="0" t="n">
        <f aca="false">INDEX($F65:$J65,IF(4&lt;$E65,4,4+1))</f>
        <v>20.1</v>
      </c>
      <c r="T65" s="0" t="n">
        <f aca="false">INDEX($K65:$O65,IF(1&lt;$E65,1,1+1))</f>
        <v>51.9294023651</v>
      </c>
      <c r="U65" s="0" t="n">
        <f aca="false">INDEX($K65:$O65,IF(2&lt;$E65,2,2+1))</f>
        <v>8.57644472154</v>
      </c>
      <c r="V65" s="0" t="n">
        <f aca="false">INDEX($K65:$O65,IF(3&lt;$E65,3,3+1))</f>
        <v>18.1447429914</v>
      </c>
      <c r="W65" s="0" t="n">
        <f aca="false">INDEX($K65:$O65,IF(4&lt;$E65,4,4+1))</f>
        <v>14.9666529508</v>
      </c>
      <c r="X65" s="0" t="n">
        <f aca="false">1+COUNTIF($P65:$S65,"&gt;"&amp;$P65)+(COUNTIF($P65:$S65,$P65)-1)/2</f>
        <v>3</v>
      </c>
      <c r="Y65" s="0" t="n">
        <f aca="false">1+COUNTIF($P65:$S65,"&gt;"&amp;$Q65)+(COUNTIF($P65:$S65,$Q65)-1)/2</f>
        <v>1</v>
      </c>
      <c r="Z65" s="0" t="n">
        <f aca="false">1+COUNTIF($P65:$S65,"&gt;"&amp;$R65)+(COUNTIF($P65:$S65,$R65)-1)/2</f>
        <v>4</v>
      </c>
      <c r="AA65" s="0" t="n">
        <f aca="false">1+COUNTIF($P65:$S65,"&gt;"&amp;$S65)+(COUNTIF($P65:$S65,$S65)-1)/2</f>
        <v>2</v>
      </c>
      <c r="AB65" s="0" t="n">
        <f aca="false">1+COUNTIF($T65:$W65,"&gt;"&amp;$T65)+(COUNTIF($T65:$W65,$T65)-1)/2</f>
        <v>1</v>
      </c>
      <c r="AC65" s="0" t="n">
        <f aca="false">1+COUNTIF($T65:$W65,"&gt;"&amp;$U65)+(COUNTIF($T65:$W65,$U65)-1)/2</f>
        <v>4</v>
      </c>
      <c r="AD65" s="0" t="n">
        <f aca="false">1+COUNTIF($T65:$W65,"&gt;"&amp;$V65)+(COUNTIF($T65:$W65,$V65)-1)/2</f>
        <v>2</v>
      </c>
      <c r="AE65" s="0" t="n">
        <f aca="false">1+COUNTIF($T65:$W65,"&gt;"&amp;$W65)+(COUNTIF($T65:$W65,$W65)-1)/2</f>
        <v>3</v>
      </c>
      <c r="AF65" s="0" t="n">
        <f aca="false">IFERROR(CORREL($P65:$S65,$T65:$W65),"")</f>
        <v>-0.182304606840684</v>
      </c>
      <c r="AG65" s="0" t="n">
        <f aca="false">IFERROR(CORREL($X65:$AA65,$AB65:$AE65),"")</f>
        <v>-0.8</v>
      </c>
      <c r="AH65" s="0" t="n">
        <f aca="false">IFERROR((SIGN($P65-$Q65)*SIGN($T65-$U65)+SIGN($P65-$R65)*SIGN($T65-$V65)+SIGN($P65-$S65)*SIGN($T65-$W65)+SIGN($Q65-$R65)*SIGN($U65-$V65)+SIGN($Q65-$S65)*SIGN($U65-$W65)+SIGN($R65-$S65)*SIGN($V65-$W65))/SQRT((6-(($P65=$Q65)*1+($P65=$R65)*1+($P65=$S65)*1+($Q65=$R65)*1+($Q65=$S65)*1+($R65=$S65)*1))*(6-(($T65=$U65)*1+($T65=$V65)*1+($T65=$W65)*1+($U65=$V65)*1+($U65=$W65)*1+($V65=$W65)*1))),"")</f>
        <v>-0.666666666666667</v>
      </c>
      <c r="AI65" s="0" t="n">
        <f aca="false">MATCH(MAX($K65:$O65),$K65:$O65,0)</f>
        <v>1</v>
      </c>
      <c r="AJ65" s="0" t="n">
        <f aca="false">IF(AI65&lt;&gt;$E65,1,0)</f>
        <v>1</v>
      </c>
      <c r="AK65" s="0" t="n">
        <f aca="false">IF(AJ65=1,INDEX($F65:$J65,AI65)/MAX($P65:$S65),"")</f>
        <v>0.679310344827586</v>
      </c>
      <c r="AL65" s="0" t="n">
        <f aca="false">IF(AJ65=1,1+COUNTIF($P65:$S65,"&gt;"&amp;INDEX($F65:$J65,AI65)),"")</f>
        <v>3</v>
      </c>
      <c r="AM65" s="0" t="n">
        <f aca="false">AVERAGE($P65:$S65)/MAX($P65:$S65)</f>
        <v>0.672413793103448</v>
      </c>
      <c r="AN65" s="0" t="n">
        <f aca="false">100-INDEX($F65:$J65,$E65)</f>
        <v>77.9</v>
      </c>
    </row>
    <row r="66" customFormat="false" ht="15" hidden="false" customHeight="false" outlineLevel="0" collapsed="false">
      <c r="A66" s="0" t="s">
        <v>40</v>
      </c>
      <c r="B66" s="0" t="n">
        <v>2023</v>
      </c>
      <c r="C66" s="0" t="s">
        <v>48</v>
      </c>
      <c r="D66" s="0" t="s">
        <v>42</v>
      </c>
      <c r="E66" s="0" t="n">
        <v>3</v>
      </c>
      <c r="F66" s="0" t="n">
        <v>10.3</v>
      </c>
      <c r="G66" s="0" t="n">
        <v>20.1</v>
      </c>
      <c r="H66" s="0" t="n">
        <v>53.1</v>
      </c>
      <c r="I66" s="0" t="n">
        <v>7</v>
      </c>
      <c r="J66" s="0" t="n">
        <v>9.6</v>
      </c>
      <c r="K66" s="0" t="n">
        <v>0.00744498588942</v>
      </c>
      <c r="L66" s="0" t="n">
        <v>0.0738317328613</v>
      </c>
      <c r="M66" s="0" t="n">
        <v>4.98566113708</v>
      </c>
      <c r="N66" s="0" t="n">
        <v>1.24555163438</v>
      </c>
      <c r="O66" s="0" t="n">
        <v>93.6875105098</v>
      </c>
      <c r="P66" s="0" t="n">
        <f aca="false">INDEX($F66:$J66,IF(1&lt;$E66,1,1+1))</f>
        <v>10.3</v>
      </c>
      <c r="Q66" s="0" t="n">
        <f aca="false">INDEX($F66:$J66,IF(2&lt;$E66,2,2+1))</f>
        <v>20.1</v>
      </c>
      <c r="R66" s="0" t="n">
        <f aca="false">INDEX($F66:$J66,IF(3&lt;$E66,3,3+1))</f>
        <v>7</v>
      </c>
      <c r="S66" s="0" t="n">
        <f aca="false">INDEX($F66:$J66,IF(4&lt;$E66,4,4+1))</f>
        <v>9.6</v>
      </c>
      <c r="T66" s="0" t="n">
        <f aca="false">INDEX($K66:$O66,IF(1&lt;$E66,1,1+1))</f>
        <v>0.00744498588942</v>
      </c>
      <c r="U66" s="0" t="n">
        <f aca="false">INDEX($K66:$O66,IF(2&lt;$E66,2,2+1))</f>
        <v>0.0738317328613</v>
      </c>
      <c r="V66" s="0" t="n">
        <f aca="false">INDEX($K66:$O66,IF(3&lt;$E66,3,3+1))</f>
        <v>1.24555163438</v>
      </c>
      <c r="W66" s="0" t="n">
        <f aca="false">INDEX($K66:$O66,IF(4&lt;$E66,4,4+1))</f>
        <v>93.6875105098</v>
      </c>
      <c r="X66" s="0" t="n">
        <f aca="false">1+COUNTIF($P66:$S66,"&gt;"&amp;$P66)+(COUNTIF($P66:$S66,$P66)-1)/2</f>
        <v>2</v>
      </c>
      <c r="Y66" s="0" t="n">
        <f aca="false">1+COUNTIF($P66:$S66,"&gt;"&amp;$Q66)+(COUNTIF($P66:$S66,$Q66)-1)/2</f>
        <v>1</v>
      </c>
      <c r="Z66" s="0" t="n">
        <f aca="false">1+COUNTIF($P66:$S66,"&gt;"&amp;$R66)+(COUNTIF($P66:$S66,$R66)-1)/2</f>
        <v>4</v>
      </c>
      <c r="AA66" s="0" t="n">
        <f aca="false">1+COUNTIF($P66:$S66,"&gt;"&amp;$S66)+(COUNTIF($P66:$S66,$S66)-1)/2</f>
        <v>3</v>
      </c>
      <c r="AB66" s="0" t="n">
        <f aca="false">1+COUNTIF($T66:$W66,"&gt;"&amp;$T66)+(COUNTIF($T66:$W66,$T66)-1)/2</f>
        <v>4</v>
      </c>
      <c r="AC66" s="0" t="n">
        <f aca="false">1+COUNTIF($T66:$W66,"&gt;"&amp;$U66)+(COUNTIF($T66:$W66,$U66)-1)/2</f>
        <v>3</v>
      </c>
      <c r="AD66" s="0" t="n">
        <f aca="false">1+COUNTIF($T66:$W66,"&gt;"&amp;$V66)+(COUNTIF($T66:$W66,$V66)-1)/2</f>
        <v>2</v>
      </c>
      <c r="AE66" s="0" t="n">
        <f aca="false">1+COUNTIF($T66:$W66,"&gt;"&amp;$W66)+(COUNTIF($T66:$W66,$W66)-1)/2</f>
        <v>1</v>
      </c>
      <c r="AF66" s="0" t="n">
        <f aca="false">IFERROR(CORREL($P66:$S66,$T66:$W66),"")</f>
        <v>-0.257272236130772</v>
      </c>
      <c r="AG66" s="0" t="n">
        <f aca="false">IFERROR(CORREL($X66:$AA66,$AB66:$AE66),"")</f>
        <v>-0.6</v>
      </c>
      <c r="AH66" s="0" t="n">
        <f aca="false">IFERROR((SIGN($P66-$Q66)*SIGN($T66-$U66)+SIGN($P66-$R66)*SIGN($T66-$V66)+SIGN($P66-$S66)*SIGN($T66-$W66)+SIGN($Q66-$R66)*SIGN($U66-$V66)+SIGN($Q66-$S66)*SIGN($U66-$W66)+SIGN($R66-$S66)*SIGN($V66-$W66))/SQRT((6-(($P66=$Q66)*1+($P66=$R66)*1+($P66=$S66)*1+($Q66=$R66)*1+($Q66=$S66)*1+($R66=$S66)*1))*(6-(($T66=$U66)*1+($T66=$V66)*1+($T66=$W66)*1+($U66=$V66)*1+($U66=$W66)*1+($V66=$W66)*1))),"")</f>
        <v>-0.333333333333333</v>
      </c>
      <c r="AI66" s="0" t="n">
        <f aca="false">MATCH(MAX($K66:$O66),$K66:$O66,0)</f>
        <v>5</v>
      </c>
      <c r="AJ66" s="0" t="n">
        <f aca="false">IF(AI66&lt;&gt;$E66,1,0)</f>
        <v>1</v>
      </c>
      <c r="AK66" s="0" t="n">
        <f aca="false">IF(AJ66=1,INDEX($F66:$J66,AI66)/MAX($P66:$S66),"")</f>
        <v>0.477611940298507</v>
      </c>
      <c r="AL66" s="0" t="n">
        <f aca="false">IF(AJ66=1,1+COUNTIF($P66:$S66,"&gt;"&amp;INDEX($F66:$J66,AI66)),"")</f>
        <v>3</v>
      </c>
      <c r="AM66" s="0" t="n">
        <f aca="false">AVERAGE($P66:$S66)/MAX($P66:$S66)</f>
        <v>0.584577114427861</v>
      </c>
      <c r="AN66" s="0" t="n">
        <f aca="false">100-INDEX($F66:$J66,$E66)</f>
        <v>46.9</v>
      </c>
    </row>
    <row r="67" customFormat="false" ht="15" hidden="false" customHeight="false" outlineLevel="0" collapsed="false">
      <c r="A67" s="0" t="s">
        <v>40</v>
      </c>
      <c r="B67" s="0" t="n">
        <v>2023</v>
      </c>
      <c r="C67" s="0" t="s">
        <v>48</v>
      </c>
      <c r="D67" s="0" t="s">
        <v>43</v>
      </c>
      <c r="E67" s="0" t="n">
        <v>3</v>
      </c>
      <c r="F67" s="0" t="n">
        <v>12.4</v>
      </c>
      <c r="G67" s="0" t="n">
        <v>12.5</v>
      </c>
      <c r="H67" s="0" t="n">
        <v>59.3</v>
      </c>
      <c r="I67" s="0" t="n">
        <v>10.2</v>
      </c>
      <c r="J67" s="0" t="n">
        <v>5.7</v>
      </c>
      <c r="K67" s="0" t="n">
        <v>7.14095596519</v>
      </c>
      <c r="L67" s="0" t="n">
        <v>7.10146768319</v>
      </c>
      <c r="M67" s="0" t="n">
        <v>82.7746569742</v>
      </c>
      <c r="N67" s="0" t="n">
        <v>0.909923536608</v>
      </c>
      <c r="O67" s="0" t="n">
        <v>2.07299584079</v>
      </c>
      <c r="P67" s="0" t="n">
        <f aca="false">INDEX($F67:$J67,IF(1&lt;$E67,1,1+1))</f>
        <v>12.4</v>
      </c>
      <c r="Q67" s="0" t="n">
        <f aca="false">INDEX($F67:$J67,IF(2&lt;$E67,2,2+1))</f>
        <v>12.5</v>
      </c>
      <c r="R67" s="0" t="n">
        <f aca="false">INDEX($F67:$J67,IF(3&lt;$E67,3,3+1))</f>
        <v>10.2</v>
      </c>
      <c r="S67" s="0" t="n">
        <f aca="false">INDEX($F67:$J67,IF(4&lt;$E67,4,4+1))</f>
        <v>5.7</v>
      </c>
      <c r="T67" s="0" t="n">
        <f aca="false">INDEX($K67:$O67,IF(1&lt;$E67,1,1+1))</f>
        <v>7.14095596519</v>
      </c>
      <c r="U67" s="0" t="n">
        <f aca="false">INDEX($K67:$O67,IF(2&lt;$E67,2,2+1))</f>
        <v>7.10146768319</v>
      </c>
      <c r="V67" s="0" t="n">
        <f aca="false">INDEX($K67:$O67,IF(3&lt;$E67,3,3+1))</f>
        <v>0.909923536608</v>
      </c>
      <c r="W67" s="0" t="n">
        <f aca="false">INDEX($K67:$O67,IF(4&lt;$E67,4,4+1))</f>
        <v>2.07299584079</v>
      </c>
      <c r="X67" s="0" t="n">
        <f aca="false">1+COUNTIF($P67:$S67,"&gt;"&amp;$P67)+(COUNTIF($P67:$S67,$P67)-1)/2</f>
        <v>2</v>
      </c>
      <c r="Y67" s="0" t="n">
        <f aca="false">1+COUNTIF($P67:$S67,"&gt;"&amp;$Q67)+(COUNTIF($P67:$S67,$Q67)-1)/2</f>
        <v>1</v>
      </c>
      <c r="Z67" s="0" t="n">
        <f aca="false">1+COUNTIF($P67:$S67,"&gt;"&amp;$R67)+(COUNTIF($P67:$S67,$R67)-1)/2</f>
        <v>3</v>
      </c>
      <c r="AA67" s="0" t="n">
        <f aca="false">1+COUNTIF($P67:$S67,"&gt;"&amp;$S67)+(COUNTIF($P67:$S67,$S67)-1)/2</f>
        <v>4</v>
      </c>
      <c r="AB67" s="0" t="n">
        <f aca="false">1+COUNTIF($T67:$W67,"&gt;"&amp;$T67)+(COUNTIF($T67:$W67,$T67)-1)/2</f>
        <v>1</v>
      </c>
      <c r="AC67" s="0" t="n">
        <f aca="false">1+COUNTIF($T67:$W67,"&gt;"&amp;$U67)+(COUNTIF($T67:$W67,$U67)-1)/2</f>
        <v>2</v>
      </c>
      <c r="AD67" s="0" t="n">
        <f aca="false">1+COUNTIF($T67:$W67,"&gt;"&amp;$V67)+(COUNTIF($T67:$W67,$V67)-1)/2</f>
        <v>4</v>
      </c>
      <c r="AE67" s="0" t="n">
        <f aca="false">1+COUNTIF($T67:$W67,"&gt;"&amp;$W67)+(COUNTIF($T67:$W67,$W67)-1)/2</f>
        <v>3</v>
      </c>
      <c r="AF67" s="0" t="n">
        <f aca="false">IFERROR(CORREL($P67:$S67,$T67:$W67),"")</f>
        <v>0.724334255519534</v>
      </c>
      <c r="AG67" s="0" t="n">
        <f aca="false">IFERROR(CORREL($X67:$AA67,$AB67:$AE67),"")</f>
        <v>0.6</v>
      </c>
      <c r="AH67" s="0" t="n">
        <f aca="false">IFERROR((SIGN($P67-$Q67)*SIGN($T67-$U67)+SIGN($P67-$R67)*SIGN($T67-$V67)+SIGN($P67-$S67)*SIGN($T67-$W67)+SIGN($Q67-$R67)*SIGN($U67-$V67)+SIGN($Q67-$S67)*SIGN($U67-$W67)+SIGN($R67-$S67)*SIGN($V67-$W67))/SQRT((6-(($P67=$Q67)*1+($P67=$R67)*1+($P67=$S67)*1+($Q67=$R67)*1+($Q67=$S67)*1+($R67=$S67)*1))*(6-(($T67=$U67)*1+($T67=$V67)*1+($T67=$W67)*1+($U67=$V67)*1+($U67=$W67)*1+($V67=$W67)*1))),"")</f>
        <v>0.333333333333333</v>
      </c>
      <c r="AI67" s="0" t="n">
        <f aca="false">MATCH(MAX($K67:$O67),$K67:$O67,0)</f>
        <v>3</v>
      </c>
      <c r="AJ67" s="0" t="n">
        <f aca="false">IF(AI67&lt;&gt;$E67,1,0)</f>
        <v>0</v>
      </c>
      <c r="AK67" s="0" t="str">
        <f aca="false">IF(AJ67=1,INDEX($F67:$J67,AI67)/MAX($P67:$S67),"")</f>
        <v/>
      </c>
      <c r="AL67" s="0" t="str">
        <f aca="false">IF(AJ67=1,1+COUNTIF($P67:$S67,"&gt;"&amp;INDEX($F67:$J67,AI67)),"")</f>
        <v/>
      </c>
      <c r="AM67" s="0" t="n">
        <f aca="false">AVERAGE($P67:$S67)/MAX($P67:$S67)</f>
        <v>0.816</v>
      </c>
      <c r="AN67" s="0" t="n">
        <f aca="false">100-INDEX($F67:$J67,$E67)</f>
        <v>40.7</v>
      </c>
    </row>
    <row r="68" customFormat="false" ht="15" hidden="false" customHeight="false" outlineLevel="0" collapsed="false">
      <c r="A68" s="0" t="s">
        <v>40</v>
      </c>
      <c r="B68" s="0" t="n">
        <v>2023</v>
      </c>
      <c r="C68" s="0" t="s">
        <v>48</v>
      </c>
      <c r="D68" s="0" t="s">
        <v>44</v>
      </c>
      <c r="E68" s="0" t="n">
        <v>1</v>
      </c>
      <c r="F68" s="0" t="n">
        <v>39.7</v>
      </c>
      <c r="G68" s="0" t="n">
        <v>20.3</v>
      </c>
      <c r="H68" s="0" t="n">
        <v>19.2</v>
      </c>
      <c r="I68" s="0" t="n">
        <v>12</v>
      </c>
      <c r="J68" s="0" t="n">
        <v>8.7</v>
      </c>
      <c r="K68" s="0" t="n">
        <v>16.9071514908</v>
      </c>
      <c r="L68" s="0" t="n">
        <v>16.1802468226</v>
      </c>
      <c r="M68" s="0" t="n">
        <v>31.9614667241</v>
      </c>
      <c r="N68" s="0" t="n">
        <v>30.7275686261</v>
      </c>
      <c r="O68" s="0" t="n">
        <v>4.22356633631</v>
      </c>
      <c r="P68" s="0" t="n">
        <f aca="false">INDEX($F68:$J68,IF(1&lt;$E68,1,1+1))</f>
        <v>20.3</v>
      </c>
      <c r="Q68" s="0" t="n">
        <f aca="false">INDEX($F68:$J68,IF(2&lt;$E68,2,2+1))</f>
        <v>19.2</v>
      </c>
      <c r="R68" s="0" t="n">
        <f aca="false">INDEX($F68:$J68,IF(3&lt;$E68,3,3+1))</f>
        <v>12</v>
      </c>
      <c r="S68" s="0" t="n">
        <f aca="false">INDEX($F68:$J68,IF(4&lt;$E68,4,4+1))</f>
        <v>8.7</v>
      </c>
      <c r="T68" s="0" t="n">
        <f aca="false">INDEX($K68:$O68,IF(1&lt;$E68,1,1+1))</f>
        <v>16.1802468226</v>
      </c>
      <c r="U68" s="0" t="n">
        <f aca="false">INDEX($K68:$O68,IF(2&lt;$E68,2,2+1))</f>
        <v>31.9614667241</v>
      </c>
      <c r="V68" s="0" t="n">
        <f aca="false">INDEX($K68:$O68,IF(3&lt;$E68,3,3+1))</f>
        <v>30.7275686261</v>
      </c>
      <c r="W68" s="0" t="n">
        <f aca="false">INDEX($K68:$O68,IF(4&lt;$E68,4,4+1))</f>
        <v>4.22356633631</v>
      </c>
      <c r="X68" s="0" t="n">
        <f aca="false">1+COUNTIF($P68:$S68,"&gt;"&amp;$P68)+(COUNTIF($P68:$S68,$P68)-1)/2</f>
        <v>1</v>
      </c>
      <c r="Y68" s="0" t="n">
        <f aca="false">1+COUNTIF($P68:$S68,"&gt;"&amp;$Q68)+(COUNTIF($P68:$S68,$Q68)-1)/2</f>
        <v>2</v>
      </c>
      <c r="Z68" s="0" t="n">
        <f aca="false">1+COUNTIF($P68:$S68,"&gt;"&amp;$R68)+(COUNTIF($P68:$S68,$R68)-1)/2</f>
        <v>3</v>
      </c>
      <c r="AA68" s="0" t="n">
        <f aca="false">1+COUNTIF($P68:$S68,"&gt;"&amp;$S68)+(COUNTIF($P68:$S68,$S68)-1)/2</f>
        <v>4</v>
      </c>
      <c r="AB68" s="0" t="n">
        <f aca="false">1+COUNTIF($T68:$W68,"&gt;"&amp;$T68)+(COUNTIF($T68:$W68,$T68)-1)/2</f>
        <v>3</v>
      </c>
      <c r="AC68" s="0" t="n">
        <f aca="false">1+COUNTIF($T68:$W68,"&gt;"&amp;$U68)+(COUNTIF($T68:$W68,$U68)-1)/2</f>
        <v>1</v>
      </c>
      <c r="AD68" s="0" t="n">
        <f aca="false">1+COUNTIF($T68:$W68,"&gt;"&amp;$V68)+(COUNTIF($T68:$W68,$V68)-1)/2</f>
        <v>2</v>
      </c>
      <c r="AE68" s="0" t="n">
        <f aca="false">1+COUNTIF($T68:$W68,"&gt;"&amp;$W68)+(COUNTIF($T68:$W68,$W68)-1)/2</f>
        <v>4</v>
      </c>
      <c r="AF68" s="0" t="n">
        <f aca="false">IFERROR(CORREL($P68:$S68,$T68:$W68),"")</f>
        <v>0.438315465660916</v>
      </c>
      <c r="AG68" s="0" t="n">
        <f aca="false">IFERROR(CORREL($X68:$AA68,$AB68:$AE68),"")</f>
        <v>0.4</v>
      </c>
      <c r="AH68" s="0" t="n">
        <f aca="false">IFERROR((SIGN($P68-$Q68)*SIGN($T68-$U68)+SIGN($P68-$R68)*SIGN($T68-$V68)+SIGN($P68-$S68)*SIGN($T68-$W68)+SIGN($Q68-$R68)*SIGN($U68-$V68)+SIGN($Q68-$S68)*SIGN($U68-$W68)+SIGN($R68-$S68)*SIGN($V68-$W68))/SQRT((6-(($P68=$Q68)*1+($P68=$R68)*1+($P68=$S68)*1+($Q68=$R68)*1+($Q68=$S68)*1+($R68=$S68)*1))*(6-(($T68=$U68)*1+($T68=$V68)*1+($T68=$W68)*1+($U68=$V68)*1+($U68=$W68)*1+($V68=$W68)*1))),"")</f>
        <v>0.333333333333333</v>
      </c>
      <c r="AI68" s="0" t="n">
        <f aca="false">MATCH(MAX($K68:$O68),$K68:$O68,0)</f>
        <v>3</v>
      </c>
      <c r="AJ68" s="0" t="n">
        <f aca="false">IF(AI68&lt;&gt;$E68,1,0)</f>
        <v>1</v>
      </c>
      <c r="AK68" s="0" t="n">
        <f aca="false">IF(AJ68=1,INDEX($F68:$J68,AI68)/MAX($P68:$S68),"")</f>
        <v>0.945812807881773</v>
      </c>
      <c r="AL68" s="0" t="n">
        <f aca="false">IF(AJ68=1,1+COUNTIF($P68:$S68,"&gt;"&amp;INDEX($F68:$J68,AI68)),"")</f>
        <v>2</v>
      </c>
      <c r="AM68" s="0" t="n">
        <f aca="false">AVERAGE($P68:$S68)/MAX($P68:$S68)</f>
        <v>0.741379310344828</v>
      </c>
      <c r="AN68" s="0" t="n">
        <f aca="false">100-INDEX($F68:$J68,$E68)</f>
        <v>60.3</v>
      </c>
    </row>
    <row r="69" customFormat="false" ht="15" hidden="false" customHeight="false" outlineLevel="0" collapsed="false">
      <c r="A69" s="0" t="s">
        <v>40</v>
      </c>
      <c r="B69" s="0" t="n">
        <v>2023</v>
      </c>
      <c r="C69" s="0" t="s">
        <v>48</v>
      </c>
      <c r="D69" s="0" t="s">
        <v>45</v>
      </c>
      <c r="E69" s="0" t="n">
        <v>1</v>
      </c>
      <c r="F69" s="0" t="n">
        <v>33.8</v>
      </c>
      <c r="G69" s="0" t="n">
        <v>28</v>
      </c>
      <c r="H69" s="0" t="n">
        <v>16.3</v>
      </c>
      <c r="I69" s="0" t="n">
        <v>15.3</v>
      </c>
      <c r="J69" s="0" t="n">
        <v>6.7</v>
      </c>
      <c r="K69" s="0" t="n">
        <v>50.9328674792</v>
      </c>
      <c r="L69" s="0" t="n">
        <v>29.4465158394</v>
      </c>
      <c r="M69" s="0" t="n">
        <v>16.2777008736</v>
      </c>
      <c r="N69" s="0" t="n">
        <v>0.82326285364</v>
      </c>
      <c r="O69" s="0" t="n">
        <v>2.51965295414</v>
      </c>
      <c r="P69" s="0" t="n">
        <f aca="false">INDEX($F69:$J69,IF(1&lt;$E69,1,1+1))</f>
        <v>28</v>
      </c>
      <c r="Q69" s="0" t="n">
        <f aca="false">INDEX($F69:$J69,IF(2&lt;$E69,2,2+1))</f>
        <v>16.3</v>
      </c>
      <c r="R69" s="0" t="n">
        <f aca="false">INDEX($F69:$J69,IF(3&lt;$E69,3,3+1))</f>
        <v>15.3</v>
      </c>
      <c r="S69" s="0" t="n">
        <f aca="false">INDEX($F69:$J69,IF(4&lt;$E69,4,4+1))</f>
        <v>6.7</v>
      </c>
      <c r="T69" s="0" t="n">
        <f aca="false">INDEX($K69:$O69,IF(1&lt;$E69,1,1+1))</f>
        <v>29.4465158394</v>
      </c>
      <c r="U69" s="0" t="n">
        <f aca="false">INDEX($K69:$O69,IF(2&lt;$E69,2,2+1))</f>
        <v>16.2777008736</v>
      </c>
      <c r="V69" s="0" t="n">
        <f aca="false">INDEX($K69:$O69,IF(3&lt;$E69,3,3+1))</f>
        <v>0.82326285364</v>
      </c>
      <c r="W69" s="0" t="n">
        <f aca="false">INDEX($K69:$O69,IF(4&lt;$E69,4,4+1))</f>
        <v>2.51965295414</v>
      </c>
      <c r="X69" s="0" t="n">
        <f aca="false">1+COUNTIF($P69:$S69,"&gt;"&amp;$P69)+(COUNTIF($P69:$S69,$P69)-1)/2</f>
        <v>1</v>
      </c>
      <c r="Y69" s="0" t="n">
        <f aca="false">1+COUNTIF($P69:$S69,"&gt;"&amp;$Q69)+(COUNTIF($P69:$S69,$Q69)-1)/2</f>
        <v>2</v>
      </c>
      <c r="Z69" s="0" t="n">
        <f aca="false">1+COUNTIF($P69:$S69,"&gt;"&amp;$R69)+(COUNTIF($P69:$S69,$R69)-1)/2</f>
        <v>3</v>
      </c>
      <c r="AA69" s="0" t="n">
        <f aca="false">1+COUNTIF($P69:$S69,"&gt;"&amp;$S69)+(COUNTIF($P69:$S69,$S69)-1)/2</f>
        <v>4</v>
      </c>
      <c r="AB69" s="0" t="n">
        <f aca="false">1+COUNTIF($T69:$W69,"&gt;"&amp;$T69)+(COUNTIF($T69:$W69,$T69)-1)/2</f>
        <v>1</v>
      </c>
      <c r="AC69" s="0" t="n">
        <f aca="false">1+COUNTIF($T69:$W69,"&gt;"&amp;$U69)+(COUNTIF($T69:$W69,$U69)-1)/2</f>
        <v>2</v>
      </c>
      <c r="AD69" s="0" t="n">
        <f aca="false">1+COUNTIF($T69:$W69,"&gt;"&amp;$V69)+(COUNTIF($T69:$W69,$V69)-1)/2</f>
        <v>4</v>
      </c>
      <c r="AE69" s="0" t="n">
        <f aca="false">1+COUNTIF($T69:$W69,"&gt;"&amp;$W69)+(COUNTIF($T69:$W69,$W69)-1)/2</f>
        <v>3</v>
      </c>
      <c r="AF69" s="0" t="n">
        <f aca="false">IFERROR(CORREL($P69:$S69,$T69:$W69),"")</f>
        <v>0.871080423460484</v>
      </c>
      <c r="AG69" s="0" t="n">
        <f aca="false">IFERROR(CORREL($X69:$AA69,$AB69:$AE69),"")</f>
        <v>0.8</v>
      </c>
      <c r="AH69" s="0" t="n">
        <f aca="false">IFERROR((SIGN($P69-$Q69)*SIGN($T69-$U69)+SIGN($P69-$R69)*SIGN($T69-$V69)+SIGN($P69-$S69)*SIGN($T69-$W69)+SIGN($Q69-$R69)*SIGN($U69-$V69)+SIGN($Q69-$S69)*SIGN($U69-$W69)+SIGN($R69-$S69)*SIGN($V69-$W69))/SQRT((6-(($P69=$Q69)*1+($P69=$R69)*1+($P69=$S69)*1+($Q69=$R69)*1+($Q69=$S69)*1+($R69=$S69)*1))*(6-(($T69=$U69)*1+($T69=$V69)*1+($T69=$W69)*1+($U69=$V69)*1+($U69=$W69)*1+($V69=$W69)*1))),"")</f>
        <v>0.666666666666667</v>
      </c>
      <c r="AI69" s="0" t="n">
        <f aca="false">MATCH(MAX($K69:$O69),$K69:$O69,0)</f>
        <v>1</v>
      </c>
      <c r="AJ69" s="0" t="n">
        <f aca="false">IF(AI69&lt;&gt;$E69,1,0)</f>
        <v>0</v>
      </c>
      <c r="AK69" s="0" t="str">
        <f aca="false">IF(AJ69=1,INDEX($F69:$J69,AI69)/MAX($P69:$S69),"")</f>
        <v/>
      </c>
      <c r="AL69" s="0" t="str">
        <f aca="false">IF(AJ69=1,1+COUNTIF($P69:$S69,"&gt;"&amp;INDEX($F69:$J69,AI69)),"")</f>
        <v/>
      </c>
      <c r="AM69" s="0" t="n">
        <f aca="false">AVERAGE($P69:$S69)/MAX($P69:$S69)</f>
        <v>0.591964285714286</v>
      </c>
      <c r="AN69" s="0" t="n">
        <f aca="false">100-INDEX($F69:$J69,$E69)</f>
        <v>66.2</v>
      </c>
    </row>
    <row r="70" customFormat="false" ht="15" hidden="false" customHeight="false" outlineLevel="0" collapsed="false">
      <c r="A70" s="0" t="s">
        <v>40</v>
      </c>
      <c r="B70" s="0" t="n">
        <v>2023</v>
      </c>
      <c r="C70" s="0" t="s">
        <v>49</v>
      </c>
      <c r="D70" s="0" t="s">
        <v>42</v>
      </c>
      <c r="E70" s="0" t="n">
        <v>4</v>
      </c>
      <c r="F70" s="0" t="n">
        <v>13.1</v>
      </c>
      <c r="G70" s="0" t="n">
        <v>17.8</v>
      </c>
      <c r="H70" s="0" t="n">
        <v>12.1</v>
      </c>
      <c r="I70" s="0" t="n">
        <v>44.8</v>
      </c>
      <c r="J70" s="0" t="n">
        <v>12.4</v>
      </c>
      <c r="K70" s="0" t="n">
        <v>33.715579056</v>
      </c>
      <c r="L70" s="0" t="n">
        <v>0.027941309977</v>
      </c>
      <c r="M70" s="0" t="n">
        <v>0.605980582309</v>
      </c>
      <c r="N70" s="0" t="n">
        <v>56.3226562819</v>
      </c>
      <c r="O70" s="0" t="n">
        <v>9.32784276982</v>
      </c>
      <c r="P70" s="0" t="n">
        <f aca="false">INDEX($F70:$J70,IF(1&lt;$E70,1,1+1))</f>
        <v>13.1</v>
      </c>
      <c r="Q70" s="0" t="n">
        <f aca="false">INDEX($F70:$J70,IF(2&lt;$E70,2,2+1))</f>
        <v>17.8</v>
      </c>
      <c r="R70" s="0" t="n">
        <f aca="false">INDEX($F70:$J70,IF(3&lt;$E70,3,3+1))</f>
        <v>12.1</v>
      </c>
      <c r="S70" s="0" t="n">
        <f aca="false">INDEX($F70:$J70,IF(4&lt;$E70,4,4+1))</f>
        <v>12.4</v>
      </c>
      <c r="T70" s="0" t="n">
        <f aca="false">INDEX($K70:$O70,IF(1&lt;$E70,1,1+1))</f>
        <v>33.715579056</v>
      </c>
      <c r="U70" s="0" t="n">
        <f aca="false">INDEX($K70:$O70,IF(2&lt;$E70,2,2+1))</f>
        <v>0.027941309977</v>
      </c>
      <c r="V70" s="0" t="n">
        <f aca="false">INDEX($K70:$O70,IF(3&lt;$E70,3,3+1))</f>
        <v>0.605980582309</v>
      </c>
      <c r="W70" s="0" t="n">
        <f aca="false">INDEX($K70:$O70,IF(4&lt;$E70,4,4+1))</f>
        <v>9.32784276982</v>
      </c>
      <c r="X70" s="0" t="n">
        <f aca="false">1+COUNTIF($P70:$S70,"&gt;"&amp;$P70)+(COUNTIF($P70:$S70,$P70)-1)/2</f>
        <v>2</v>
      </c>
      <c r="Y70" s="0" t="n">
        <f aca="false">1+COUNTIF($P70:$S70,"&gt;"&amp;$Q70)+(COUNTIF($P70:$S70,$Q70)-1)/2</f>
        <v>1</v>
      </c>
      <c r="Z70" s="0" t="n">
        <f aca="false">1+COUNTIF($P70:$S70,"&gt;"&amp;$R70)+(COUNTIF($P70:$S70,$R70)-1)/2</f>
        <v>4</v>
      </c>
      <c r="AA70" s="0" t="n">
        <f aca="false">1+COUNTIF($P70:$S70,"&gt;"&amp;$S70)+(COUNTIF($P70:$S70,$S70)-1)/2</f>
        <v>3</v>
      </c>
      <c r="AB70" s="0" t="n">
        <f aca="false">1+COUNTIF($T70:$W70,"&gt;"&amp;$T70)+(COUNTIF($T70:$W70,$T70)-1)/2</f>
        <v>1</v>
      </c>
      <c r="AC70" s="0" t="n">
        <f aca="false">1+COUNTIF($T70:$W70,"&gt;"&amp;$U70)+(COUNTIF($T70:$W70,$U70)-1)/2</f>
        <v>4</v>
      </c>
      <c r="AD70" s="0" t="n">
        <f aca="false">1+COUNTIF($T70:$W70,"&gt;"&amp;$V70)+(COUNTIF($T70:$W70,$V70)-1)/2</f>
        <v>3</v>
      </c>
      <c r="AE70" s="0" t="n">
        <f aca="false">1+COUNTIF($T70:$W70,"&gt;"&amp;$W70)+(COUNTIF($T70:$W70,$W70)-1)/2</f>
        <v>2</v>
      </c>
      <c r="AF70" s="0" t="n">
        <f aca="false">IFERROR(CORREL($P70:$S70,$T70:$W70),"")</f>
        <v>-0.314962716317839</v>
      </c>
      <c r="AG70" s="0" t="n">
        <f aca="false">IFERROR(CORREL($X70:$AA70,$AB70:$AE70),"")</f>
        <v>-0.2</v>
      </c>
      <c r="AH70" s="0" t="n">
        <f aca="false">IFERROR((SIGN($P70-$Q70)*SIGN($T70-$U70)+SIGN($P70-$R70)*SIGN($T70-$V70)+SIGN($P70-$S70)*SIGN($T70-$W70)+SIGN($Q70-$R70)*SIGN($U70-$V70)+SIGN($Q70-$S70)*SIGN($U70-$W70)+SIGN($R70-$S70)*SIGN($V70-$W70))/SQRT((6-(($P70=$Q70)*1+($P70=$R70)*1+($P70=$S70)*1+($Q70=$R70)*1+($Q70=$S70)*1+($R70=$S70)*1))*(6-(($T70=$U70)*1+($T70=$V70)*1+($T70=$W70)*1+($U70=$V70)*1+($U70=$W70)*1+($V70=$W70)*1))),"")</f>
        <v>0</v>
      </c>
      <c r="AI70" s="0" t="n">
        <f aca="false">MATCH(MAX($K70:$O70),$K70:$O70,0)</f>
        <v>4</v>
      </c>
      <c r="AJ70" s="0" t="n">
        <f aca="false">IF(AI70&lt;&gt;$E70,1,0)</f>
        <v>0</v>
      </c>
      <c r="AK70" s="0" t="str">
        <f aca="false">IF(AJ70=1,INDEX($F70:$J70,AI70)/MAX($P70:$S70),"")</f>
        <v/>
      </c>
      <c r="AL70" s="0" t="str">
        <f aca="false">IF(AJ70=1,1+COUNTIF($P70:$S70,"&gt;"&amp;INDEX($F70:$J70,AI70)),"")</f>
        <v/>
      </c>
      <c r="AM70" s="0" t="n">
        <f aca="false">AVERAGE($P70:$S70)/MAX($P70:$S70)</f>
        <v>0.778089887640449</v>
      </c>
      <c r="AN70" s="0" t="n">
        <f aca="false">100-INDEX($F70:$J70,$E70)</f>
        <v>55.2</v>
      </c>
    </row>
    <row r="71" customFormat="false" ht="15" hidden="false" customHeight="false" outlineLevel="0" collapsed="false">
      <c r="A71" s="0" t="s">
        <v>40</v>
      </c>
      <c r="B71" s="0" t="n">
        <v>2023</v>
      </c>
      <c r="C71" s="0" t="s">
        <v>49</v>
      </c>
      <c r="D71" s="0" t="s">
        <v>43</v>
      </c>
      <c r="E71" s="0" t="n">
        <v>2</v>
      </c>
      <c r="F71" s="0" t="n">
        <v>17.4</v>
      </c>
      <c r="G71" s="0" t="n">
        <v>38.8</v>
      </c>
      <c r="H71" s="0" t="n">
        <v>19.1</v>
      </c>
      <c r="I71" s="0" t="n">
        <v>14.4</v>
      </c>
      <c r="J71" s="0" t="n">
        <v>10.3</v>
      </c>
      <c r="K71" s="0" t="n">
        <v>32.1401505745</v>
      </c>
      <c r="L71" s="0" t="n">
        <v>47.8253884966</v>
      </c>
      <c r="M71" s="0" t="n">
        <v>6.78385240995</v>
      </c>
      <c r="N71" s="0" t="n">
        <v>4.36355742351</v>
      </c>
      <c r="O71" s="0" t="n">
        <v>8.88705109536</v>
      </c>
      <c r="P71" s="0" t="n">
        <f aca="false">INDEX($F71:$J71,IF(1&lt;$E71,1,1+1))</f>
        <v>17.4</v>
      </c>
      <c r="Q71" s="0" t="n">
        <f aca="false">INDEX($F71:$J71,IF(2&lt;$E71,2,2+1))</f>
        <v>19.1</v>
      </c>
      <c r="R71" s="0" t="n">
        <f aca="false">INDEX($F71:$J71,IF(3&lt;$E71,3,3+1))</f>
        <v>14.4</v>
      </c>
      <c r="S71" s="0" t="n">
        <f aca="false">INDEX($F71:$J71,IF(4&lt;$E71,4,4+1))</f>
        <v>10.3</v>
      </c>
      <c r="T71" s="0" t="n">
        <f aca="false">INDEX($K71:$O71,IF(1&lt;$E71,1,1+1))</f>
        <v>32.1401505745</v>
      </c>
      <c r="U71" s="0" t="n">
        <f aca="false">INDEX($K71:$O71,IF(2&lt;$E71,2,2+1))</f>
        <v>6.78385240995</v>
      </c>
      <c r="V71" s="0" t="n">
        <f aca="false">INDEX($K71:$O71,IF(3&lt;$E71,3,3+1))</f>
        <v>4.36355742351</v>
      </c>
      <c r="W71" s="0" t="n">
        <f aca="false">INDEX($K71:$O71,IF(4&lt;$E71,4,4+1))</f>
        <v>8.88705109536</v>
      </c>
      <c r="X71" s="0" t="n">
        <f aca="false">1+COUNTIF($P71:$S71,"&gt;"&amp;$P71)+(COUNTIF($P71:$S71,$P71)-1)/2</f>
        <v>2</v>
      </c>
      <c r="Y71" s="0" t="n">
        <f aca="false">1+COUNTIF($P71:$S71,"&gt;"&amp;$Q71)+(COUNTIF($P71:$S71,$Q71)-1)/2</f>
        <v>1</v>
      </c>
      <c r="Z71" s="0" t="n">
        <f aca="false">1+COUNTIF($P71:$S71,"&gt;"&amp;$R71)+(COUNTIF($P71:$S71,$R71)-1)/2</f>
        <v>3</v>
      </c>
      <c r="AA71" s="0" t="n">
        <f aca="false">1+COUNTIF($P71:$S71,"&gt;"&amp;$S71)+(COUNTIF($P71:$S71,$S71)-1)/2</f>
        <v>4</v>
      </c>
      <c r="AB71" s="0" t="n">
        <f aca="false">1+COUNTIF($T71:$W71,"&gt;"&amp;$T71)+(COUNTIF($T71:$W71,$T71)-1)/2</f>
        <v>1</v>
      </c>
      <c r="AC71" s="0" t="n">
        <f aca="false">1+COUNTIF($T71:$W71,"&gt;"&amp;$U71)+(COUNTIF($T71:$W71,$U71)-1)/2</f>
        <v>3</v>
      </c>
      <c r="AD71" s="0" t="n">
        <f aca="false">1+COUNTIF($T71:$W71,"&gt;"&amp;$V71)+(COUNTIF($T71:$W71,$V71)-1)/2</f>
        <v>4</v>
      </c>
      <c r="AE71" s="0" t="n">
        <f aca="false">1+COUNTIF($T71:$W71,"&gt;"&amp;$W71)+(COUNTIF($T71:$W71,$W71)-1)/2</f>
        <v>2</v>
      </c>
      <c r="AF71" s="0" t="n">
        <f aca="false">IFERROR(CORREL($P71:$S71,$T71:$W71),"")</f>
        <v>0.301603546483657</v>
      </c>
      <c r="AG71" s="0" t="n">
        <f aca="false">IFERROR(CORREL($X71:$AA71,$AB71:$AE71),"")</f>
        <v>0</v>
      </c>
      <c r="AH71" s="0" t="n">
        <f aca="false">IFERROR((SIGN($P71-$Q71)*SIGN($T71-$U71)+SIGN($P71-$R71)*SIGN($T71-$V71)+SIGN($P71-$S71)*SIGN($T71-$W71)+SIGN($Q71-$R71)*SIGN($U71-$V71)+SIGN($Q71-$S71)*SIGN($U71-$W71)+SIGN($R71-$S71)*SIGN($V71-$W71))/SQRT((6-(($P71=$Q71)*1+($P71=$R71)*1+($P71=$S71)*1+($Q71=$R71)*1+($Q71=$S71)*1+($R71=$S71)*1))*(6-(($T71=$U71)*1+($T71=$V71)*1+($T71=$W71)*1+($U71=$V71)*1+($U71=$W71)*1+($V71=$W71)*1))),"")</f>
        <v>0</v>
      </c>
      <c r="AI71" s="0" t="n">
        <f aca="false">MATCH(MAX($K71:$O71),$K71:$O71,0)</f>
        <v>2</v>
      </c>
      <c r="AJ71" s="0" t="n">
        <f aca="false">IF(AI71&lt;&gt;$E71,1,0)</f>
        <v>0</v>
      </c>
      <c r="AK71" s="0" t="str">
        <f aca="false">IF(AJ71=1,INDEX($F71:$J71,AI71)/MAX($P71:$S71),"")</f>
        <v/>
      </c>
      <c r="AL71" s="0" t="str">
        <f aca="false">IF(AJ71=1,1+COUNTIF($P71:$S71,"&gt;"&amp;INDEX($F71:$J71,AI71)),"")</f>
        <v/>
      </c>
      <c r="AM71" s="0" t="n">
        <f aca="false">AVERAGE($P71:$S71)/MAX($P71:$S71)</f>
        <v>0.801047120418848</v>
      </c>
      <c r="AN71" s="0" t="n">
        <f aca="false">100-INDEX($F71:$J71,$E71)</f>
        <v>61.2</v>
      </c>
    </row>
    <row r="72" customFormat="false" ht="15" hidden="false" customHeight="false" outlineLevel="0" collapsed="false">
      <c r="A72" s="0" t="s">
        <v>40</v>
      </c>
      <c r="B72" s="0" t="n">
        <v>2023</v>
      </c>
      <c r="C72" s="0" t="s">
        <v>49</v>
      </c>
      <c r="D72" s="0" t="s">
        <v>44</v>
      </c>
      <c r="E72" s="0" t="n">
        <v>4</v>
      </c>
      <c r="F72" s="0" t="n">
        <v>24.6</v>
      </c>
      <c r="G72" s="0" t="n">
        <v>19.1</v>
      </c>
      <c r="H72" s="0" t="n">
        <v>15.4</v>
      </c>
      <c r="I72" s="0" t="n">
        <v>20.2</v>
      </c>
      <c r="J72" s="0" t="n">
        <v>20.7</v>
      </c>
      <c r="K72" s="0" t="n">
        <v>12.2730246416</v>
      </c>
      <c r="L72" s="0" t="n">
        <v>19.3427221027</v>
      </c>
      <c r="M72" s="0" t="n">
        <v>1.91788861369</v>
      </c>
      <c r="N72" s="0" t="n">
        <v>63.6601625024</v>
      </c>
      <c r="O72" s="0" t="n">
        <v>2.80620213958</v>
      </c>
      <c r="P72" s="0" t="n">
        <f aca="false">INDEX($F72:$J72,IF(1&lt;$E72,1,1+1))</f>
        <v>24.6</v>
      </c>
      <c r="Q72" s="0" t="n">
        <f aca="false">INDEX($F72:$J72,IF(2&lt;$E72,2,2+1))</f>
        <v>19.1</v>
      </c>
      <c r="R72" s="0" t="n">
        <f aca="false">INDEX($F72:$J72,IF(3&lt;$E72,3,3+1))</f>
        <v>15.4</v>
      </c>
      <c r="S72" s="0" t="n">
        <f aca="false">INDEX($F72:$J72,IF(4&lt;$E72,4,4+1))</f>
        <v>20.7</v>
      </c>
      <c r="T72" s="0" t="n">
        <f aca="false">INDEX($K72:$O72,IF(1&lt;$E72,1,1+1))</f>
        <v>12.2730246416</v>
      </c>
      <c r="U72" s="0" t="n">
        <f aca="false">INDEX($K72:$O72,IF(2&lt;$E72,2,2+1))</f>
        <v>19.3427221027</v>
      </c>
      <c r="V72" s="0" t="n">
        <f aca="false">INDEX($K72:$O72,IF(3&lt;$E72,3,3+1))</f>
        <v>1.91788861369</v>
      </c>
      <c r="W72" s="0" t="n">
        <f aca="false">INDEX($K72:$O72,IF(4&lt;$E72,4,4+1))</f>
        <v>2.80620213958</v>
      </c>
      <c r="X72" s="0" t="n">
        <f aca="false">1+COUNTIF($P72:$S72,"&gt;"&amp;$P72)+(COUNTIF($P72:$S72,$P72)-1)/2</f>
        <v>1</v>
      </c>
      <c r="Y72" s="0" t="n">
        <f aca="false">1+COUNTIF($P72:$S72,"&gt;"&amp;$Q72)+(COUNTIF($P72:$S72,$Q72)-1)/2</f>
        <v>3</v>
      </c>
      <c r="Z72" s="0" t="n">
        <f aca="false">1+COUNTIF($P72:$S72,"&gt;"&amp;$R72)+(COUNTIF($P72:$S72,$R72)-1)/2</f>
        <v>4</v>
      </c>
      <c r="AA72" s="0" t="n">
        <f aca="false">1+COUNTIF($P72:$S72,"&gt;"&amp;$S72)+(COUNTIF($P72:$S72,$S72)-1)/2</f>
        <v>2</v>
      </c>
      <c r="AB72" s="0" t="n">
        <f aca="false">1+COUNTIF($T72:$W72,"&gt;"&amp;$T72)+(COUNTIF($T72:$W72,$T72)-1)/2</f>
        <v>2</v>
      </c>
      <c r="AC72" s="0" t="n">
        <f aca="false">1+COUNTIF($T72:$W72,"&gt;"&amp;$U72)+(COUNTIF($T72:$W72,$U72)-1)/2</f>
        <v>1</v>
      </c>
      <c r="AD72" s="0" t="n">
        <f aca="false">1+COUNTIF($T72:$W72,"&gt;"&amp;$V72)+(COUNTIF($T72:$W72,$V72)-1)/2</f>
        <v>4</v>
      </c>
      <c r="AE72" s="0" t="n">
        <f aca="false">1+COUNTIF($T72:$W72,"&gt;"&amp;$W72)+(COUNTIF($T72:$W72,$W72)-1)/2</f>
        <v>3</v>
      </c>
      <c r="AF72" s="0" t="n">
        <f aca="false">IFERROR(CORREL($P72:$S72,$T72:$W72),"")</f>
        <v>0.358633494950756</v>
      </c>
      <c r="AG72" s="0" t="n">
        <f aca="false">IFERROR(CORREL($X72:$AA72,$AB72:$AE72),"")</f>
        <v>0.4</v>
      </c>
      <c r="AH72" s="0" t="n">
        <f aca="false">IFERROR((SIGN($P72-$Q72)*SIGN($T72-$U72)+SIGN($P72-$R72)*SIGN($T72-$V72)+SIGN($P72-$S72)*SIGN($T72-$W72)+SIGN($Q72-$R72)*SIGN($U72-$V72)+SIGN($Q72-$S72)*SIGN($U72-$W72)+SIGN($R72-$S72)*SIGN($V72-$W72))/SQRT((6-(($P72=$Q72)*1+($P72=$R72)*1+($P72=$S72)*1+($Q72=$R72)*1+($Q72=$S72)*1+($R72=$S72)*1))*(6-(($T72=$U72)*1+($T72=$V72)*1+($T72=$W72)*1+($U72=$V72)*1+($U72=$W72)*1+($V72=$W72)*1))),"")</f>
        <v>0.333333333333333</v>
      </c>
      <c r="AI72" s="0" t="n">
        <f aca="false">MATCH(MAX($K72:$O72),$K72:$O72,0)</f>
        <v>4</v>
      </c>
      <c r="AJ72" s="0" t="n">
        <f aca="false">IF(AI72&lt;&gt;$E72,1,0)</f>
        <v>0</v>
      </c>
      <c r="AK72" s="0" t="str">
        <f aca="false">IF(AJ72=1,INDEX($F72:$J72,AI72)/MAX($P72:$S72),"")</f>
        <v/>
      </c>
      <c r="AL72" s="0" t="str">
        <f aca="false">IF(AJ72=1,1+COUNTIF($P72:$S72,"&gt;"&amp;INDEX($F72:$J72,AI72)),"")</f>
        <v/>
      </c>
      <c r="AM72" s="0" t="n">
        <f aca="false">AVERAGE($P72:$S72)/MAX($P72:$S72)</f>
        <v>0.810975609756098</v>
      </c>
      <c r="AN72" s="0" t="n">
        <f aca="false">100-INDEX($F72:$J72,$E72)</f>
        <v>79.8</v>
      </c>
    </row>
    <row r="73" customFormat="false" ht="15" hidden="false" customHeight="false" outlineLevel="0" collapsed="false">
      <c r="A73" s="0" t="s">
        <v>40</v>
      </c>
      <c r="B73" s="0" t="n">
        <v>2023</v>
      </c>
      <c r="C73" s="0" t="s">
        <v>49</v>
      </c>
      <c r="D73" s="0" t="s">
        <v>45</v>
      </c>
      <c r="E73" s="0" t="n">
        <v>5</v>
      </c>
      <c r="F73" s="0" t="n">
        <v>17.4</v>
      </c>
      <c r="G73" s="0" t="n">
        <v>26</v>
      </c>
      <c r="H73" s="0" t="n">
        <v>24.5</v>
      </c>
      <c r="I73" s="0" t="n">
        <v>16.3</v>
      </c>
      <c r="J73" s="0" t="n">
        <v>15.8</v>
      </c>
      <c r="K73" s="0" t="n">
        <v>0.929141982563</v>
      </c>
      <c r="L73" s="0" t="n">
        <v>65.384237611</v>
      </c>
      <c r="M73" s="0" t="n">
        <v>26.0185918193</v>
      </c>
      <c r="N73" s="0" t="n">
        <v>4.46070263755</v>
      </c>
      <c r="O73" s="0" t="n">
        <v>3.20732594954</v>
      </c>
      <c r="P73" s="0" t="n">
        <f aca="false">INDEX($F73:$J73,IF(1&lt;$E73,1,1+1))</f>
        <v>17.4</v>
      </c>
      <c r="Q73" s="0" t="n">
        <f aca="false">INDEX($F73:$J73,IF(2&lt;$E73,2,2+1))</f>
        <v>26</v>
      </c>
      <c r="R73" s="0" t="n">
        <f aca="false">INDEX($F73:$J73,IF(3&lt;$E73,3,3+1))</f>
        <v>24.5</v>
      </c>
      <c r="S73" s="0" t="n">
        <f aca="false">INDEX($F73:$J73,IF(4&lt;$E73,4,4+1))</f>
        <v>16.3</v>
      </c>
      <c r="T73" s="0" t="n">
        <f aca="false">INDEX($K73:$O73,IF(1&lt;$E73,1,1+1))</f>
        <v>0.929141982563</v>
      </c>
      <c r="U73" s="0" t="n">
        <f aca="false">INDEX($K73:$O73,IF(2&lt;$E73,2,2+1))</f>
        <v>65.384237611</v>
      </c>
      <c r="V73" s="0" t="n">
        <f aca="false">INDEX($K73:$O73,IF(3&lt;$E73,3,3+1))</f>
        <v>26.0185918193</v>
      </c>
      <c r="W73" s="0" t="n">
        <f aca="false">INDEX($K73:$O73,IF(4&lt;$E73,4,4+1))</f>
        <v>4.46070263755</v>
      </c>
      <c r="X73" s="0" t="n">
        <f aca="false">1+COUNTIF($P73:$S73,"&gt;"&amp;$P73)+(COUNTIF($P73:$S73,$P73)-1)/2</f>
        <v>3</v>
      </c>
      <c r="Y73" s="0" t="n">
        <f aca="false">1+COUNTIF($P73:$S73,"&gt;"&amp;$Q73)+(COUNTIF($P73:$S73,$Q73)-1)/2</f>
        <v>1</v>
      </c>
      <c r="Z73" s="0" t="n">
        <f aca="false">1+COUNTIF($P73:$S73,"&gt;"&amp;$R73)+(COUNTIF($P73:$S73,$R73)-1)/2</f>
        <v>2</v>
      </c>
      <c r="AA73" s="0" t="n">
        <f aca="false">1+COUNTIF($P73:$S73,"&gt;"&amp;$S73)+(COUNTIF($P73:$S73,$S73)-1)/2</f>
        <v>4</v>
      </c>
      <c r="AB73" s="0" t="n">
        <f aca="false">1+COUNTIF($T73:$W73,"&gt;"&amp;$T73)+(COUNTIF($T73:$W73,$T73)-1)/2</f>
        <v>4</v>
      </c>
      <c r="AC73" s="0" t="n">
        <f aca="false">1+COUNTIF($T73:$W73,"&gt;"&amp;$U73)+(COUNTIF($T73:$W73,$U73)-1)/2</f>
        <v>1</v>
      </c>
      <c r="AD73" s="0" t="n">
        <f aca="false">1+COUNTIF($T73:$W73,"&gt;"&amp;$V73)+(COUNTIF($T73:$W73,$V73)-1)/2</f>
        <v>2</v>
      </c>
      <c r="AE73" s="0" t="n">
        <f aca="false">1+COUNTIF($T73:$W73,"&gt;"&amp;$W73)+(COUNTIF($T73:$W73,$W73)-1)/2</f>
        <v>3</v>
      </c>
      <c r="AF73" s="0" t="n">
        <f aca="false">IFERROR(CORREL($P73:$S73,$T73:$W73),"")</f>
        <v>0.891658680362914</v>
      </c>
      <c r="AG73" s="0" t="n">
        <f aca="false">IFERROR(CORREL($X73:$AA73,$AB73:$AE73),"")</f>
        <v>0.8</v>
      </c>
      <c r="AH73" s="0" t="n">
        <f aca="false">IFERROR((SIGN($P73-$Q73)*SIGN($T73-$U73)+SIGN($P73-$R73)*SIGN($T73-$V73)+SIGN($P73-$S73)*SIGN($T73-$W73)+SIGN($Q73-$R73)*SIGN($U73-$V73)+SIGN($Q73-$S73)*SIGN($U73-$W73)+SIGN($R73-$S73)*SIGN($V73-$W73))/SQRT((6-(($P73=$Q73)*1+($P73=$R73)*1+($P73=$S73)*1+($Q73=$R73)*1+($Q73=$S73)*1+($R73=$S73)*1))*(6-(($T73=$U73)*1+($T73=$V73)*1+($T73=$W73)*1+($U73=$V73)*1+($U73=$W73)*1+($V73=$W73)*1))),"")</f>
        <v>0.666666666666667</v>
      </c>
      <c r="AI73" s="0" t="n">
        <f aca="false">MATCH(MAX($K73:$O73),$K73:$O73,0)</f>
        <v>2</v>
      </c>
      <c r="AJ73" s="0" t="n">
        <f aca="false">IF(AI73&lt;&gt;$E73,1,0)</f>
        <v>1</v>
      </c>
      <c r="AK73" s="0" t="n">
        <f aca="false">IF(AJ73=1,INDEX($F73:$J73,AI73)/MAX($P73:$S73),"")</f>
        <v>1</v>
      </c>
      <c r="AL73" s="0" t="n">
        <f aca="false">IF(AJ73=1,1+COUNTIF($P73:$S73,"&gt;"&amp;INDEX($F73:$J73,AI73)),"")</f>
        <v>1</v>
      </c>
      <c r="AM73" s="0" t="n">
        <f aca="false">AVERAGE($P73:$S73)/MAX($P73:$S73)</f>
        <v>0.809615384615385</v>
      </c>
      <c r="AN73" s="0" t="n">
        <f aca="false">100-INDEX($F73:$J73,$E73)</f>
        <v>84.2</v>
      </c>
    </row>
    <row r="74" customFormat="false" ht="15" hidden="false" customHeight="false" outlineLevel="0" collapsed="false">
      <c r="A74" s="0" t="s">
        <v>40</v>
      </c>
      <c r="B74" s="0" t="n">
        <v>2023</v>
      </c>
      <c r="C74" s="0" t="s">
        <v>50</v>
      </c>
      <c r="D74" s="0" t="s">
        <v>42</v>
      </c>
      <c r="E74" s="0" t="n">
        <v>1</v>
      </c>
      <c r="F74" s="0" t="n">
        <v>60</v>
      </c>
      <c r="G74" s="0" t="n">
        <v>13.3</v>
      </c>
      <c r="H74" s="0" t="n">
        <v>12.6</v>
      </c>
      <c r="I74" s="0" t="n">
        <v>7.4</v>
      </c>
      <c r="J74" s="0" t="n">
        <v>6.8</v>
      </c>
      <c r="K74" s="0" t="n">
        <v>14.8179622354</v>
      </c>
      <c r="L74" s="0" t="n">
        <v>0.657368921591</v>
      </c>
      <c r="M74" s="0" t="n">
        <v>0.630896458262</v>
      </c>
      <c r="N74" s="0" t="n">
        <v>2.1251654404</v>
      </c>
      <c r="O74" s="0" t="n">
        <v>81.7686069444</v>
      </c>
      <c r="P74" s="0" t="n">
        <f aca="false">INDEX($F74:$J74,IF(1&lt;$E74,1,1+1))</f>
        <v>13.3</v>
      </c>
      <c r="Q74" s="0" t="n">
        <f aca="false">INDEX($F74:$J74,IF(2&lt;$E74,2,2+1))</f>
        <v>12.6</v>
      </c>
      <c r="R74" s="0" t="n">
        <f aca="false">INDEX($F74:$J74,IF(3&lt;$E74,3,3+1))</f>
        <v>7.4</v>
      </c>
      <c r="S74" s="0" t="n">
        <f aca="false">INDEX($F74:$J74,IF(4&lt;$E74,4,4+1))</f>
        <v>6.8</v>
      </c>
      <c r="T74" s="0" t="n">
        <f aca="false">INDEX($K74:$O74,IF(1&lt;$E74,1,1+1))</f>
        <v>0.657368921591</v>
      </c>
      <c r="U74" s="0" t="n">
        <f aca="false">INDEX($K74:$O74,IF(2&lt;$E74,2,2+1))</f>
        <v>0.630896458262</v>
      </c>
      <c r="V74" s="0" t="n">
        <f aca="false">INDEX($K74:$O74,IF(3&lt;$E74,3,3+1))</f>
        <v>2.1251654404</v>
      </c>
      <c r="W74" s="0" t="n">
        <f aca="false">INDEX($K74:$O74,IF(4&lt;$E74,4,4+1))</f>
        <v>81.7686069444</v>
      </c>
      <c r="X74" s="0" t="n">
        <f aca="false">1+COUNTIF($P74:$S74,"&gt;"&amp;$P74)+(COUNTIF($P74:$S74,$P74)-1)/2</f>
        <v>1</v>
      </c>
      <c r="Y74" s="0" t="n">
        <f aca="false">1+COUNTIF($P74:$S74,"&gt;"&amp;$Q74)+(COUNTIF($P74:$S74,$Q74)-1)/2</f>
        <v>2</v>
      </c>
      <c r="Z74" s="0" t="n">
        <f aca="false">1+COUNTIF($P74:$S74,"&gt;"&amp;$R74)+(COUNTIF($P74:$S74,$R74)-1)/2</f>
        <v>3</v>
      </c>
      <c r="AA74" s="0" t="n">
        <f aca="false">1+COUNTIF($P74:$S74,"&gt;"&amp;$S74)+(COUNTIF($P74:$S74,$S74)-1)/2</f>
        <v>4</v>
      </c>
      <c r="AB74" s="0" t="n">
        <f aca="false">1+COUNTIF($T74:$W74,"&gt;"&amp;$T74)+(COUNTIF($T74:$W74,$T74)-1)/2</f>
        <v>3</v>
      </c>
      <c r="AC74" s="0" t="n">
        <f aca="false">1+COUNTIF($T74:$W74,"&gt;"&amp;$U74)+(COUNTIF($T74:$W74,$U74)-1)/2</f>
        <v>4</v>
      </c>
      <c r="AD74" s="0" t="n">
        <f aca="false">1+COUNTIF($T74:$W74,"&gt;"&amp;$V74)+(COUNTIF($T74:$W74,$V74)-1)/2</f>
        <v>2</v>
      </c>
      <c r="AE74" s="0" t="n">
        <f aca="false">1+COUNTIF($T74:$W74,"&gt;"&amp;$W74)+(COUNTIF($T74:$W74,$W74)-1)/2</f>
        <v>1</v>
      </c>
      <c r="AF74" s="0" t="n">
        <f aca="false">IFERROR(CORREL($P74:$S74,$T74:$W74),"")</f>
        <v>-0.645862155215253</v>
      </c>
      <c r="AG74" s="0" t="n">
        <f aca="false">IFERROR(CORREL($X74:$AA74,$AB74:$AE74),"")</f>
        <v>-0.8</v>
      </c>
      <c r="AH74" s="0" t="n">
        <f aca="false">IFERROR((SIGN($P74-$Q74)*SIGN($T74-$U74)+SIGN($P74-$R74)*SIGN($T74-$V74)+SIGN($P74-$S74)*SIGN($T74-$W74)+SIGN($Q74-$R74)*SIGN($U74-$V74)+SIGN($Q74-$S74)*SIGN($U74-$W74)+SIGN($R74-$S74)*SIGN($V74-$W74))/SQRT((6-(($P74=$Q74)*1+($P74=$R74)*1+($P74=$S74)*1+($Q74=$R74)*1+($Q74=$S74)*1+($R74=$S74)*1))*(6-(($T74=$U74)*1+($T74=$V74)*1+($T74=$W74)*1+($U74=$V74)*1+($U74=$W74)*1+($V74=$W74)*1))),"")</f>
        <v>-0.666666666666667</v>
      </c>
      <c r="AI74" s="0" t="n">
        <f aca="false">MATCH(MAX($K74:$O74),$K74:$O74,0)</f>
        <v>5</v>
      </c>
      <c r="AJ74" s="0" t="n">
        <f aca="false">IF(AI74&lt;&gt;$E74,1,0)</f>
        <v>1</v>
      </c>
      <c r="AK74" s="0" t="n">
        <f aca="false">IF(AJ74=1,INDEX($F74:$J74,AI74)/MAX($P74:$S74),"")</f>
        <v>0.511278195488722</v>
      </c>
      <c r="AL74" s="0" t="n">
        <f aca="false">IF(AJ74=1,1+COUNTIF($P74:$S74,"&gt;"&amp;INDEX($F74:$J74,AI74)),"")</f>
        <v>4</v>
      </c>
      <c r="AM74" s="0" t="n">
        <f aca="false">AVERAGE($P74:$S74)/MAX($P74:$S74)</f>
        <v>0.753759398496241</v>
      </c>
      <c r="AN74" s="0" t="n">
        <f aca="false">100-INDEX($F74:$J74,$E74)</f>
        <v>40</v>
      </c>
    </row>
    <row r="75" customFormat="false" ht="15" hidden="false" customHeight="false" outlineLevel="0" collapsed="false">
      <c r="A75" s="0" t="s">
        <v>40</v>
      </c>
      <c r="B75" s="0" t="n">
        <v>2023</v>
      </c>
      <c r="C75" s="0" t="s">
        <v>50</v>
      </c>
      <c r="D75" s="0" t="s">
        <v>43</v>
      </c>
      <c r="E75" s="0" t="n">
        <v>1</v>
      </c>
      <c r="F75" s="0" t="n">
        <v>23.6</v>
      </c>
      <c r="G75" s="0" t="n">
        <v>14.6</v>
      </c>
      <c r="H75" s="0" t="n">
        <v>26.8</v>
      </c>
      <c r="I75" s="0" t="n">
        <v>16.7</v>
      </c>
      <c r="J75" s="0" t="n">
        <v>18.3</v>
      </c>
      <c r="K75" s="0" t="n">
        <v>12.3046025028</v>
      </c>
      <c r="L75" s="0" t="n">
        <v>8.00291811348</v>
      </c>
      <c r="M75" s="0" t="n">
        <v>17.414608654</v>
      </c>
      <c r="N75" s="0" t="n">
        <v>9.9674616368</v>
      </c>
      <c r="O75" s="0" t="n">
        <v>52.3104090929</v>
      </c>
      <c r="P75" s="0" t="n">
        <f aca="false">INDEX($F75:$J75,IF(1&lt;$E75,1,1+1))</f>
        <v>14.6</v>
      </c>
      <c r="Q75" s="0" t="n">
        <f aca="false">INDEX($F75:$J75,IF(2&lt;$E75,2,2+1))</f>
        <v>26.8</v>
      </c>
      <c r="R75" s="0" t="n">
        <f aca="false">INDEX($F75:$J75,IF(3&lt;$E75,3,3+1))</f>
        <v>16.7</v>
      </c>
      <c r="S75" s="0" t="n">
        <f aca="false">INDEX($F75:$J75,IF(4&lt;$E75,4,4+1))</f>
        <v>18.3</v>
      </c>
      <c r="T75" s="0" t="n">
        <f aca="false">INDEX($K75:$O75,IF(1&lt;$E75,1,1+1))</f>
        <v>8.00291811348</v>
      </c>
      <c r="U75" s="0" t="n">
        <f aca="false">INDEX($K75:$O75,IF(2&lt;$E75,2,2+1))</f>
        <v>17.414608654</v>
      </c>
      <c r="V75" s="0" t="n">
        <f aca="false">INDEX($K75:$O75,IF(3&lt;$E75,3,3+1))</f>
        <v>9.9674616368</v>
      </c>
      <c r="W75" s="0" t="n">
        <f aca="false">INDEX($K75:$O75,IF(4&lt;$E75,4,4+1))</f>
        <v>52.3104090929</v>
      </c>
      <c r="X75" s="0" t="n">
        <f aca="false">1+COUNTIF($P75:$S75,"&gt;"&amp;$P75)+(COUNTIF($P75:$S75,$P75)-1)/2</f>
        <v>4</v>
      </c>
      <c r="Y75" s="0" t="n">
        <f aca="false">1+COUNTIF($P75:$S75,"&gt;"&amp;$Q75)+(COUNTIF($P75:$S75,$Q75)-1)/2</f>
        <v>1</v>
      </c>
      <c r="Z75" s="0" t="n">
        <f aca="false">1+COUNTIF($P75:$S75,"&gt;"&amp;$R75)+(COUNTIF($P75:$S75,$R75)-1)/2</f>
        <v>3</v>
      </c>
      <c r="AA75" s="0" t="n">
        <f aca="false">1+COUNTIF($P75:$S75,"&gt;"&amp;$S75)+(COUNTIF($P75:$S75,$S75)-1)/2</f>
        <v>2</v>
      </c>
      <c r="AB75" s="0" t="n">
        <f aca="false">1+COUNTIF($T75:$W75,"&gt;"&amp;$T75)+(COUNTIF($T75:$W75,$T75)-1)/2</f>
        <v>4</v>
      </c>
      <c r="AC75" s="0" t="n">
        <f aca="false">1+COUNTIF($T75:$W75,"&gt;"&amp;$U75)+(COUNTIF($T75:$W75,$U75)-1)/2</f>
        <v>2</v>
      </c>
      <c r="AD75" s="0" t="n">
        <f aca="false">1+COUNTIF($T75:$W75,"&gt;"&amp;$V75)+(COUNTIF($T75:$W75,$V75)-1)/2</f>
        <v>3</v>
      </c>
      <c r="AE75" s="0" t="n">
        <f aca="false">1+COUNTIF($T75:$W75,"&gt;"&amp;$W75)+(COUNTIF($T75:$W75,$W75)-1)/2</f>
        <v>1</v>
      </c>
      <c r="AF75" s="0" t="n">
        <f aca="false">IFERROR(CORREL($P75:$S75,$T75:$W75),"")</f>
        <v>0.0973981224195531</v>
      </c>
      <c r="AG75" s="0" t="n">
        <f aca="false">IFERROR(CORREL($X75:$AA75,$AB75:$AE75),"")</f>
        <v>0.8</v>
      </c>
      <c r="AH75" s="0" t="n">
        <f aca="false">IFERROR((SIGN($P75-$Q75)*SIGN($T75-$U75)+SIGN($P75-$R75)*SIGN($T75-$V75)+SIGN($P75-$S75)*SIGN($T75-$W75)+SIGN($Q75-$R75)*SIGN($U75-$V75)+SIGN($Q75-$S75)*SIGN($U75-$W75)+SIGN($R75-$S75)*SIGN($V75-$W75))/SQRT((6-(($P75=$Q75)*1+($P75=$R75)*1+($P75=$S75)*1+($Q75=$R75)*1+($Q75=$S75)*1+($R75=$S75)*1))*(6-(($T75=$U75)*1+($T75=$V75)*1+($T75=$W75)*1+($U75=$V75)*1+($U75=$W75)*1+($V75=$W75)*1))),"")</f>
        <v>0.666666666666667</v>
      </c>
      <c r="AI75" s="0" t="n">
        <f aca="false">MATCH(MAX($K75:$O75),$K75:$O75,0)</f>
        <v>5</v>
      </c>
      <c r="AJ75" s="0" t="n">
        <f aca="false">IF(AI75&lt;&gt;$E75,1,0)</f>
        <v>1</v>
      </c>
      <c r="AK75" s="0" t="n">
        <f aca="false">IF(AJ75=1,INDEX($F75:$J75,AI75)/MAX($P75:$S75),"")</f>
        <v>0.682835820895522</v>
      </c>
      <c r="AL75" s="0" t="n">
        <f aca="false">IF(AJ75=1,1+COUNTIF($P75:$S75,"&gt;"&amp;INDEX($F75:$J75,AI75)),"")</f>
        <v>2</v>
      </c>
      <c r="AM75" s="0" t="n">
        <f aca="false">AVERAGE($P75:$S75)/MAX($P75:$S75)</f>
        <v>0.712686567164179</v>
      </c>
      <c r="AN75" s="0" t="n">
        <f aca="false">100-INDEX($F75:$J75,$E75)</f>
        <v>76.4</v>
      </c>
    </row>
    <row r="76" customFormat="false" ht="15" hidden="false" customHeight="false" outlineLevel="0" collapsed="false">
      <c r="A76" s="0" t="s">
        <v>40</v>
      </c>
      <c r="B76" s="0" t="n">
        <v>2023</v>
      </c>
      <c r="C76" s="0" t="s">
        <v>50</v>
      </c>
      <c r="D76" s="0" t="s">
        <v>44</v>
      </c>
      <c r="E76" s="0" t="n">
        <v>5</v>
      </c>
      <c r="F76" s="0" t="n">
        <v>12</v>
      </c>
      <c r="G76" s="0" t="n">
        <v>11.5</v>
      </c>
      <c r="H76" s="0" t="n">
        <v>21.3</v>
      </c>
      <c r="I76" s="0" t="n">
        <v>18.6</v>
      </c>
      <c r="J76" s="0" t="n">
        <v>36.5</v>
      </c>
      <c r="K76" s="0" t="n">
        <v>14.5609294174</v>
      </c>
      <c r="L76" s="0" t="n">
        <v>2.32693440078</v>
      </c>
      <c r="M76" s="0" t="n">
        <v>1.82884212534</v>
      </c>
      <c r="N76" s="0" t="n">
        <v>13.5764138187</v>
      </c>
      <c r="O76" s="0" t="n">
        <v>67.7068802377</v>
      </c>
      <c r="P76" s="0" t="n">
        <f aca="false">INDEX($F76:$J76,IF(1&lt;$E76,1,1+1))</f>
        <v>12</v>
      </c>
      <c r="Q76" s="0" t="n">
        <f aca="false">INDEX($F76:$J76,IF(2&lt;$E76,2,2+1))</f>
        <v>11.5</v>
      </c>
      <c r="R76" s="0" t="n">
        <f aca="false">INDEX($F76:$J76,IF(3&lt;$E76,3,3+1))</f>
        <v>21.3</v>
      </c>
      <c r="S76" s="0" t="n">
        <f aca="false">INDEX($F76:$J76,IF(4&lt;$E76,4,4+1))</f>
        <v>18.6</v>
      </c>
      <c r="T76" s="0" t="n">
        <f aca="false">INDEX($K76:$O76,IF(1&lt;$E76,1,1+1))</f>
        <v>14.5609294174</v>
      </c>
      <c r="U76" s="0" t="n">
        <f aca="false">INDEX($K76:$O76,IF(2&lt;$E76,2,2+1))</f>
        <v>2.32693440078</v>
      </c>
      <c r="V76" s="0" t="n">
        <f aca="false">INDEX($K76:$O76,IF(3&lt;$E76,3,3+1))</f>
        <v>1.82884212534</v>
      </c>
      <c r="W76" s="0" t="n">
        <f aca="false">INDEX($K76:$O76,IF(4&lt;$E76,4,4+1))</f>
        <v>13.5764138187</v>
      </c>
      <c r="X76" s="0" t="n">
        <f aca="false">1+COUNTIF($P76:$S76,"&gt;"&amp;$P76)+(COUNTIF($P76:$S76,$P76)-1)/2</f>
        <v>3</v>
      </c>
      <c r="Y76" s="0" t="n">
        <f aca="false">1+COUNTIF($P76:$S76,"&gt;"&amp;$Q76)+(COUNTIF($P76:$S76,$Q76)-1)/2</f>
        <v>4</v>
      </c>
      <c r="Z76" s="0" t="n">
        <f aca="false">1+COUNTIF($P76:$S76,"&gt;"&amp;$R76)+(COUNTIF($P76:$S76,$R76)-1)/2</f>
        <v>1</v>
      </c>
      <c r="AA76" s="0" t="n">
        <f aca="false">1+COUNTIF($P76:$S76,"&gt;"&amp;$S76)+(COUNTIF($P76:$S76,$S76)-1)/2</f>
        <v>2</v>
      </c>
      <c r="AB76" s="0" t="n">
        <f aca="false">1+COUNTIF($T76:$W76,"&gt;"&amp;$T76)+(COUNTIF($T76:$W76,$T76)-1)/2</f>
        <v>1</v>
      </c>
      <c r="AC76" s="0" t="n">
        <f aca="false">1+COUNTIF($T76:$W76,"&gt;"&amp;$U76)+(COUNTIF($T76:$W76,$U76)-1)/2</f>
        <v>3</v>
      </c>
      <c r="AD76" s="0" t="n">
        <f aca="false">1+COUNTIF($T76:$W76,"&gt;"&amp;$V76)+(COUNTIF($T76:$W76,$V76)-1)/2</f>
        <v>4</v>
      </c>
      <c r="AE76" s="0" t="n">
        <f aca="false">1+COUNTIF($T76:$W76,"&gt;"&amp;$W76)+(COUNTIF($T76:$W76,$W76)-1)/2</f>
        <v>2</v>
      </c>
      <c r="AF76" s="0" t="n">
        <f aca="false">IFERROR(CORREL($P76:$S76,$T76:$W76),"")</f>
        <v>-0.186450641507844</v>
      </c>
      <c r="AG76" s="0" t="n">
        <f aca="false">IFERROR(CORREL($X76:$AA76,$AB76:$AE76),"")</f>
        <v>-0.4</v>
      </c>
      <c r="AH76" s="0" t="n">
        <f aca="false">IFERROR((SIGN($P76-$Q76)*SIGN($T76-$U76)+SIGN($P76-$R76)*SIGN($T76-$V76)+SIGN($P76-$S76)*SIGN($T76-$W76)+SIGN($Q76-$R76)*SIGN($U76-$V76)+SIGN($Q76-$S76)*SIGN($U76-$W76)+SIGN($R76-$S76)*SIGN($V76-$W76))/SQRT((6-(($P76=$Q76)*1+($P76=$R76)*1+($P76=$S76)*1+($Q76=$R76)*1+($Q76=$S76)*1+($R76=$S76)*1))*(6-(($T76=$U76)*1+($T76=$V76)*1+($T76=$W76)*1+($U76=$V76)*1+($U76=$W76)*1+($V76=$W76)*1))),"")</f>
        <v>-0.333333333333333</v>
      </c>
      <c r="AI76" s="0" t="n">
        <f aca="false">MATCH(MAX($K76:$O76),$K76:$O76,0)</f>
        <v>5</v>
      </c>
      <c r="AJ76" s="0" t="n">
        <f aca="false">IF(AI76&lt;&gt;$E76,1,0)</f>
        <v>0</v>
      </c>
      <c r="AK76" s="0" t="str">
        <f aca="false">IF(AJ76=1,INDEX($F76:$J76,AI76)/MAX($P76:$S76),"")</f>
        <v/>
      </c>
      <c r="AL76" s="0" t="str">
        <f aca="false">IF(AJ76=1,1+COUNTIF($P76:$S76,"&gt;"&amp;INDEX($F76:$J76,AI76)),"")</f>
        <v/>
      </c>
      <c r="AM76" s="0" t="n">
        <f aca="false">AVERAGE($P76:$S76)/MAX($P76:$S76)</f>
        <v>0.744131455399061</v>
      </c>
      <c r="AN76" s="0" t="n">
        <f aca="false">100-INDEX($F76:$J76,$E76)</f>
        <v>63.5</v>
      </c>
    </row>
    <row r="77" customFormat="false" ht="15" hidden="false" customHeight="false" outlineLevel="0" collapsed="false">
      <c r="A77" s="0" t="s">
        <v>40</v>
      </c>
      <c r="B77" s="0" t="n">
        <v>2023</v>
      </c>
      <c r="C77" s="0" t="s">
        <v>50</v>
      </c>
      <c r="D77" s="0" t="s">
        <v>45</v>
      </c>
      <c r="E77" s="0" t="n">
        <v>2</v>
      </c>
      <c r="F77" s="0" t="n">
        <v>15.6</v>
      </c>
      <c r="G77" s="0" t="n">
        <v>32</v>
      </c>
      <c r="H77" s="0" t="n">
        <v>25.7</v>
      </c>
      <c r="I77" s="0" t="n">
        <v>15.6</v>
      </c>
      <c r="J77" s="0" t="n">
        <v>11.1</v>
      </c>
      <c r="K77" s="0" t="n">
        <v>14.2456052299</v>
      </c>
      <c r="L77" s="0" t="n">
        <v>21.4565320443</v>
      </c>
      <c r="M77" s="0" t="n">
        <v>15.9418263229</v>
      </c>
      <c r="N77" s="0" t="n">
        <v>27.7121168115</v>
      </c>
      <c r="O77" s="0" t="n">
        <v>20.6439195914</v>
      </c>
      <c r="P77" s="0" t="n">
        <f aca="false">INDEX($F77:$J77,IF(1&lt;$E77,1,1+1))</f>
        <v>15.6</v>
      </c>
      <c r="Q77" s="0" t="n">
        <f aca="false">INDEX($F77:$J77,IF(2&lt;$E77,2,2+1))</f>
        <v>25.7</v>
      </c>
      <c r="R77" s="0" t="n">
        <f aca="false">INDEX($F77:$J77,IF(3&lt;$E77,3,3+1))</f>
        <v>15.6</v>
      </c>
      <c r="S77" s="0" t="n">
        <f aca="false">INDEX($F77:$J77,IF(4&lt;$E77,4,4+1))</f>
        <v>11.1</v>
      </c>
      <c r="T77" s="0" t="n">
        <f aca="false">INDEX($K77:$O77,IF(1&lt;$E77,1,1+1))</f>
        <v>14.2456052299</v>
      </c>
      <c r="U77" s="0" t="n">
        <f aca="false">INDEX($K77:$O77,IF(2&lt;$E77,2,2+1))</f>
        <v>15.9418263229</v>
      </c>
      <c r="V77" s="0" t="n">
        <f aca="false">INDEX($K77:$O77,IF(3&lt;$E77,3,3+1))</f>
        <v>27.7121168115</v>
      </c>
      <c r="W77" s="0" t="n">
        <f aca="false">INDEX($K77:$O77,IF(4&lt;$E77,4,4+1))</f>
        <v>20.6439195914</v>
      </c>
      <c r="X77" s="0" t="n">
        <f aca="false">1+COUNTIF($P77:$S77,"&gt;"&amp;$P77)+(COUNTIF($P77:$S77,$P77)-1)/2</f>
        <v>2.5</v>
      </c>
      <c r="Y77" s="0" t="n">
        <f aca="false">1+COUNTIF($P77:$S77,"&gt;"&amp;$Q77)+(COUNTIF($P77:$S77,$Q77)-1)/2</f>
        <v>1</v>
      </c>
      <c r="Z77" s="0" t="n">
        <f aca="false">1+COUNTIF($P77:$S77,"&gt;"&amp;$R77)+(COUNTIF($P77:$S77,$R77)-1)/2</f>
        <v>2.5</v>
      </c>
      <c r="AA77" s="0" t="n">
        <f aca="false">1+COUNTIF($P77:$S77,"&gt;"&amp;$S77)+(COUNTIF($P77:$S77,$S77)-1)/2</f>
        <v>4</v>
      </c>
      <c r="AB77" s="0" t="n">
        <f aca="false">1+COUNTIF($T77:$W77,"&gt;"&amp;$T77)+(COUNTIF($T77:$W77,$T77)-1)/2</f>
        <v>4</v>
      </c>
      <c r="AC77" s="0" t="n">
        <f aca="false">1+COUNTIF($T77:$W77,"&gt;"&amp;$U77)+(COUNTIF($T77:$W77,$U77)-1)/2</f>
        <v>3</v>
      </c>
      <c r="AD77" s="0" t="n">
        <f aca="false">1+COUNTIF($T77:$W77,"&gt;"&amp;$V77)+(COUNTIF($T77:$W77,$V77)-1)/2</f>
        <v>1</v>
      </c>
      <c r="AE77" s="0" t="n">
        <f aca="false">1+COUNTIF($T77:$W77,"&gt;"&amp;$W77)+(COUNTIF($T77:$W77,$W77)-1)/2</f>
        <v>2</v>
      </c>
      <c r="AF77" s="0" t="n">
        <f aca="false">IFERROR(CORREL($P77:$S77,$T77:$W77),"")</f>
        <v>-0.374803921346089</v>
      </c>
      <c r="AG77" s="0" t="n">
        <f aca="false">IFERROR(CORREL($X77:$AA77,$AB77:$AE77),"")</f>
        <v>-0.316227766016838</v>
      </c>
      <c r="AH77" s="0" t="n">
        <f aca="false">IFERROR((SIGN($P77-$Q77)*SIGN($T77-$U77)+SIGN($P77-$R77)*SIGN($T77-$V77)+SIGN($P77-$S77)*SIGN($T77-$W77)+SIGN($Q77-$R77)*SIGN($U77-$V77)+SIGN($Q77-$S77)*SIGN($U77-$W77)+SIGN($R77-$S77)*SIGN($V77-$W77))/SQRT((6-(($P77=$Q77)*1+($P77=$R77)*1+($P77=$S77)*1+($Q77=$R77)*1+($Q77=$S77)*1+($R77=$S77)*1))*(6-(($T77=$U77)*1+($T77=$V77)*1+($T77=$W77)*1+($U77=$V77)*1+($U77=$W77)*1+($V77=$W77)*1))),"")</f>
        <v>-0.182574185835055</v>
      </c>
      <c r="AI77" s="0" t="n">
        <f aca="false">MATCH(MAX($K77:$O77),$K77:$O77,0)</f>
        <v>4</v>
      </c>
      <c r="AJ77" s="0" t="n">
        <f aca="false">IF(AI77&lt;&gt;$E77,1,0)</f>
        <v>1</v>
      </c>
      <c r="AK77" s="0" t="n">
        <f aca="false">IF(AJ77=1,INDEX($F77:$J77,AI77)/MAX($P77:$S77),"")</f>
        <v>0.607003891050584</v>
      </c>
      <c r="AL77" s="0" t="n">
        <f aca="false">IF(AJ77=1,1+COUNTIF($P77:$S77,"&gt;"&amp;INDEX($F77:$J77,AI77)),"")</f>
        <v>2</v>
      </c>
      <c r="AM77" s="0" t="n">
        <f aca="false">AVERAGE($P77:$S77)/MAX($P77:$S77)</f>
        <v>0.66147859922179</v>
      </c>
      <c r="AN77" s="0" t="n">
        <f aca="false">100-INDEX($F77:$J77,$E77)</f>
        <v>68</v>
      </c>
    </row>
    <row r="78" customFormat="false" ht="15" hidden="false" customHeight="false" outlineLevel="0" collapsed="false">
      <c r="A78" s="0" t="s">
        <v>40</v>
      </c>
      <c r="B78" s="0" t="n">
        <v>2023</v>
      </c>
      <c r="C78" s="0" t="s">
        <v>51</v>
      </c>
      <c r="D78" s="0" t="s">
        <v>42</v>
      </c>
      <c r="E78" s="0" t="n">
        <v>2</v>
      </c>
      <c r="F78" s="0" t="n">
        <v>11.9</v>
      </c>
      <c r="G78" s="0" t="n">
        <v>35.3</v>
      </c>
      <c r="H78" s="0" t="n">
        <v>16.2</v>
      </c>
      <c r="I78" s="0" t="n">
        <v>11.2</v>
      </c>
      <c r="J78" s="0" t="n">
        <v>25.5</v>
      </c>
      <c r="K78" s="0" t="n">
        <v>0.338297734</v>
      </c>
      <c r="L78" s="0" t="n">
        <v>3.49130263492</v>
      </c>
      <c r="M78" s="0" t="n">
        <v>67.7836499536</v>
      </c>
      <c r="N78" s="0" t="n">
        <v>1.88408678331</v>
      </c>
      <c r="O78" s="0" t="n">
        <v>26.5026628942</v>
      </c>
      <c r="P78" s="0" t="n">
        <f aca="false">INDEX($F78:$J78,IF(1&lt;$E78,1,1+1))</f>
        <v>11.9</v>
      </c>
      <c r="Q78" s="0" t="n">
        <f aca="false">INDEX($F78:$J78,IF(2&lt;$E78,2,2+1))</f>
        <v>16.2</v>
      </c>
      <c r="R78" s="0" t="n">
        <f aca="false">INDEX($F78:$J78,IF(3&lt;$E78,3,3+1))</f>
        <v>11.2</v>
      </c>
      <c r="S78" s="0" t="n">
        <f aca="false">INDEX($F78:$J78,IF(4&lt;$E78,4,4+1))</f>
        <v>25.5</v>
      </c>
      <c r="T78" s="0" t="n">
        <f aca="false">INDEX($K78:$O78,IF(1&lt;$E78,1,1+1))</f>
        <v>0.338297734</v>
      </c>
      <c r="U78" s="0" t="n">
        <f aca="false">INDEX($K78:$O78,IF(2&lt;$E78,2,2+1))</f>
        <v>67.7836499536</v>
      </c>
      <c r="V78" s="0" t="n">
        <f aca="false">INDEX($K78:$O78,IF(3&lt;$E78,3,3+1))</f>
        <v>1.88408678331</v>
      </c>
      <c r="W78" s="0" t="n">
        <f aca="false">INDEX($K78:$O78,IF(4&lt;$E78,4,4+1))</f>
        <v>26.5026628942</v>
      </c>
      <c r="X78" s="0" t="n">
        <f aca="false">1+COUNTIF($P78:$S78,"&gt;"&amp;$P78)+(COUNTIF($P78:$S78,$P78)-1)/2</f>
        <v>3</v>
      </c>
      <c r="Y78" s="0" t="n">
        <f aca="false">1+COUNTIF($P78:$S78,"&gt;"&amp;$Q78)+(COUNTIF($P78:$S78,$Q78)-1)/2</f>
        <v>2</v>
      </c>
      <c r="Z78" s="0" t="n">
        <f aca="false">1+COUNTIF($P78:$S78,"&gt;"&amp;$R78)+(COUNTIF($P78:$S78,$R78)-1)/2</f>
        <v>4</v>
      </c>
      <c r="AA78" s="0" t="n">
        <f aca="false">1+COUNTIF($P78:$S78,"&gt;"&amp;$S78)+(COUNTIF($P78:$S78,$S78)-1)/2</f>
        <v>1</v>
      </c>
      <c r="AB78" s="0" t="n">
        <f aca="false">1+COUNTIF($T78:$W78,"&gt;"&amp;$T78)+(COUNTIF($T78:$W78,$T78)-1)/2</f>
        <v>4</v>
      </c>
      <c r="AC78" s="0" t="n">
        <f aca="false">1+COUNTIF($T78:$W78,"&gt;"&amp;$U78)+(COUNTIF($T78:$W78,$U78)-1)/2</f>
        <v>1</v>
      </c>
      <c r="AD78" s="0" t="n">
        <f aca="false">1+COUNTIF($T78:$W78,"&gt;"&amp;$V78)+(COUNTIF($T78:$W78,$V78)-1)/2</f>
        <v>3</v>
      </c>
      <c r="AE78" s="0" t="n">
        <f aca="false">1+COUNTIF($T78:$W78,"&gt;"&amp;$W78)+(COUNTIF($T78:$W78,$W78)-1)/2</f>
        <v>2</v>
      </c>
      <c r="AF78" s="0" t="n">
        <f aca="false">IFERROR(CORREL($P78:$S78,$T78:$W78),"")</f>
        <v>0.379050980049276</v>
      </c>
      <c r="AG78" s="0" t="n">
        <f aca="false">IFERROR(CORREL($X78:$AA78,$AB78:$AE78),"")</f>
        <v>0.6</v>
      </c>
      <c r="AH78" s="0" t="n">
        <f aca="false">IFERROR((SIGN($P78-$Q78)*SIGN($T78-$U78)+SIGN($P78-$R78)*SIGN($T78-$V78)+SIGN($P78-$S78)*SIGN($T78-$W78)+SIGN($Q78-$R78)*SIGN($U78-$V78)+SIGN($Q78-$S78)*SIGN($U78-$W78)+SIGN($R78-$S78)*SIGN($V78-$W78))/SQRT((6-(($P78=$Q78)*1+($P78=$R78)*1+($P78=$S78)*1+($Q78=$R78)*1+($Q78=$S78)*1+($R78=$S78)*1))*(6-(($T78=$U78)*1+($T78=$V78)*1+($T78=$W78)*1+($U78=$V78)*1+($U78=$W78)*1+($V78=$W78)*1))),"")</f>
        <v>0.333333333333333</v>
      </c>
      <c r="AI78" s="0" t="n">
        <f aca="false">MATCH(MAX($K78:$O78),$K78:$O78,0)</f>
        <v>3</v>
      </c>
      <c r="AJ78" s="0" t="n">
        <f aca="false">IF(AI78&lt;&gt;$E78,1,0)</f>
        <v>1</v>
      </c>
      <c r="AK78" s="0" t="n">
        <f aca="false">IF(AJ78=1,INDEX($F78:$J78,AI78)/MAX($P78:$S78),"")</f>
        <v>0.635294117647059</v>
      </c>
      <c r="AL78" s="0" t="n">
        <f aca="false">IF(AJ78=1,1+COUNTIF($P78:$S78,"&gt;"&amp;INDEX($F78:$J78,AI78)),"")</f>
        <v>2</v>
      </c>
      <c r="AM78" s="0" t="n">
        <f aca="false">AVERAGE($P78:$S78)/MAX($P78:$S78)</f>
        <v>0.635294117647059</v>
      </c>
      <c r="AN78" s="0" t="n">
        <f aca="false">100-INDEX($F78:$J78,$E78)</f>
        <v>64.7</v>
      </c>
    </row>
    <row r="79" customFormat="false" ht="15" hidden="false" customHeight="false" outlineLevel="0" collapsed="false">
      <c r="A79" s="0" t="s">
        <v>40</v>
      </c>
      <c r="B79" s="0" t="n">
        <v>2023</v>
      </c>
      <c r="C79" s="0" t="s">
        <v>51</v>
      </c>
      <c r="D79" s="0" t="s">
        <v>43</v>
      </c>
      <c r="E79" s="0" t="n">
        <v>3</v>
      </c>
      <c r="F79" s="0" t="n">
        <v>8.9</v>
      </c>
      <c r="G79" s="0" t="n">
        <v>17.3</v>
      </c>
      <c r="H79" s="0" t="n">
        <v>51.9</v>
      </c>
      <c r="I79" s="0" t="n">
        <v>14.5</v>
      </c>
      <c r="J79" s="0" t="n">
        <v>7.3</v>
      </c>
      <c r="K79" s="0" t="n">
        <v>23.972031096</v>
      </c>
      <c r="L79" s="0" t="n">
        <v>20.9355112646</v>
      </c>
      <c r="M79" s="0" t="n">
        <v>1.88907534653</v>
      </c>
      <c r="N79" s="0" t="n">
        <v>28.2324073347</v>
      </c>
      <c r="O79" s="0" t="n">
        <v>24.9709749582</v>
      </c>
      <c r="P79" s="0" t="n">
        <f aca="false">INDEX($F79:$J79,IF(1&lt;$E79,1,1+1))</f>
        <v>8.9</v>
      </c>
      <c r="Q79" s="0" t="n">
        <f aca="false">INDEX($F79:$J79,IF(2&lt;$E79,2,2+1))</f>
        <v>17.3</v>
      </c>
      <c r="R79" s="0" t="n">
        <f aca="false">INDEX($F79:$J79,IF(3&lt;$E79,3,3+1))</f>
        <v>14.5</v>
      </c>
      <c r="S79" s="0" t="n">
        <f aca="false">INDEX($F79:$J79,IF(4&lt;$E79,4,4+1))</f>
        <v>7.3</v>
      </c>
      <c r="T79" s="0" t="n">
        <f aca="false">INDEX($K79:$O79,IF(1&lt;$E79,1,1+1))</f>
        <v>23.972031096</v>
      </c>
      <c r="U79" s="0" t="n">
        <f aca="false">INDEX($K79:$O79,IF(2&lt;$E79,2,2+1))</f>
        <v>20.9355112646</v>
      </c>
      <c r="V79" s="0" t="n">
        <f aca="false">INDEX($K79:$O79,IF(3&lt;$E79,3,3+1))</f>
        <v>28.2324073347</v>
      </c>
      <c r="W79" s="0" t="n">
        <f aca="false">INDEX($K79:$O79,IF(4&lt;$E79,4,4+1))</f>
        <v>24.9709749582</v>
      </c>
      <c r="X79" s="0" t="n">
        <f aca="false">1+COUNTIF($P79:$S79,"&gt;"&amp;$P79)+(COUNTIF($P79:$S79,$P79)-1)/2</f>
        <v>3</v>
      </c>
      <c r="Y79" s="0" t="n">
        <f aca="false">1+COUNTIF($P79:$S79,"&gt;"&amp;$Q79)+(COUNTIF($P79:$S79,$Q79)-1)/2</f>
        <v>1</v>
      </c>
      <c r="Z79" s="0" t="n">
        <f aca="false">1+COUNTIF($P79:$S79,"&gt;"&amp;$R79)+(COUNTIF($P79:$S79,$R79)-1)/2</f>
        <v>2</v>
      </c>
      <c r="AA79" s="0" t="n">
        <f aca="false">1+COUNTIF($P79:$S79,"&gt;"&amp;$S79)+(COUNTIF($P79:$S79,$S79)-1)/2</f>
        <v>4</v>
      </c>
      <c r="AB79" s="0" t="n">
        <f aca="false">1+COUNTIF($T79:$W79,"&gt;"&amp;$T79)+(COUNTIF($T79:$W79,$T79)-1)/2</f>
        <v>3</v>
      </c>
      <c r="AC79" s="0" t="n">
        <f aca="false">1+COUNTIF($T79:$W79,"&gt;"&amp;$U79)+(COUNTIF($T79:$W79,$U79)-1)/2</f>
        <v>4</v>
      </c>
      <c r="AD79" s="0" t="n">
        <f aca="false">1+COUNTIF($T79:$W79,"&gt;"&amp;$V79)+(COUNTIF($T79:$W79,$V79)-1)/2</f>
        <v>1</v>
      </c>
      <c r="AE79" s="0" t="n">
        <f aca="false">1+COUNTIF($T79:$W79,"&gt;"&amp;$W79)+(COUNTIF($T79:$W79,$W79)-1)/2</f>
        <v>2</v>
      </c>
      <c r="AF79" s="0" t="n">
        <f aca="false">IFERROR(CORREL($P79:$S79,$T79:$W79),"")</f>
        <v>-0.239484485299933</v>
      </c>
      <c r="AG79" s="0" t="n">
        <f aca="false">IFERROR(CORREL($X79:$AA79,$AB79:$AE79),"")</f>
        <v>-0.4</v>
      </c>
      <c r="AH79" s="0" t="n">
        <f aca="false">IFERROR((SIGN($P79-$Q79)*SIGN($T79-$U79)+SIGN($P79-$R79)*SIGN($T79-$V79)+SIGN($P79-$S79)*SIGN($T79-$W79)+SIGN($Q79-$R79)*SIGN($U79-$V79)+SIGN($Q79-$S79)*SIGN($U79-$W79)+SIGN($R79-$S79)*SIGN($V79-$W79))/SQRT((6-(($P79=$Q79)*1+($P79=$R79)*1+($P79=$S79)*1+($Q79=$R79)*1+($Q79=$S79)*1+($R79=$S79)*1))*(6-(($T79=$U79)*1+($T79=$V79)*1+($T79=$W79)*1+($U79=$V79)*1+($U79=$W79)*1+($V79=$W79)*1))),"")</f>
        <v>-0.333333333333333</v>
      </c>
      <c r="AI79" s="0" t="n">
        <f aca="false">MATCH(MAX($K79:$O79),$K79:$O79,0)</f>
        <v>4</v>
      </c>
      <c r="AJ79" s="0" t="n">
        <f aca="false">IF(AI79&lt;&gt;$E79,1,0)</f>
        <v>1</v>
      </c>
      <c r="AK79" s="0" t="n">
        <f aca="false">IF(AJ79=1,INDEX($F79:$J79,AI79)/MAX($P79:$S79),"")</f>
        <v>0.838150289017341</v>
      </c>
      <c r="AL79" s="0" t="n">
        <f aca="false">IF(AJ79=1,1+COUNTIF($P79:$S79,"&gt;"&amp;INDEX($F79:$J79,AI79)),"")</f>
        <v>2</v>
      </c>
      <c r="AM79" s="0" t="n">
        <f aca="false">AVERAGE($P79:$S79)/MAX($P79:$S79)</f>
        <v>0.69364161849711</v>
      </c>
      <c r="AN79" s="0" t="n">
        <f aca="false">100-INDEX($F79:$J79,$E79)</f>
        <v>48.1</v>
      </c>
    </row>
    <row r="80" customFormat="false" ht="15" hidden="false" customHeight="false" outlineLevel="0" collapsed="false">
      <c r="A80" s="0" t="s">
        <v>40</v>
      </c>
      <c r="B80" s="0" t="n">
        <v>2023</v>
      </c>
      <c r="C80" s="0" t="s">
        <v>51</v>
      </c>
      <c r="D80" s="0" t="s">
        <v>44</v>
      </c>
      <c r="E80" s="0" t="n">
        <v>1</v>
      </c>
      <c r="F80" s="0" t="n">
        <v>22</v>
      </c>
      <c r="G80" s="0" t="n">
        <v>24.1</v>
      </c>
      <c r="H80" s="0" t="n">
        <v>22.7</v>
      </c>
      <c r="I80" s="0" t="n">
        <v>13.4</v>
      </c>
      <c r="J80" s="0" t="n">
        <v>17.8</v>
      </c>
      <c r="K80" s="0" t="n">
        <v>10.7117932499</v>
      </c>
      <c r="L80" s="0" t="n">
        <v>8.63578972494</v>
      </c>
      <c r="M80" s="0" t="n">
        <v>16.3217983147</v>
      </c>
      <c r="N80" s="0" t="n">
        <v>8.98381435248</v>
      </c>
      <c r="O80" s="0" t="n">
        <v>55.3468043579</v>
      </c>
      <c r="P80" s="0" t="n">
        <f aca="false">INDEX($F80:$J80,IF(1&lt;$E80,1,1+1))</f>
        <v>24.1</v>
      </c>
      <c r="Q80" s="0" t="n">
        <f aca="false">INDEX($F80:$J80,IF(2&lt;$E80,2,2+1))</f>
        <v>22.7</v>
      </c>
      <c r="R80" s="0" t="n">
        <f aca="false">INDEX($F80:$J80,IF(3&lt;$E80,3,3+1))</f>
        <v>13.4</v>
      </c>
      <c r="S80" s="0" t="n">
        <f aca="false">INDEX($F80:$J80,IF(4&lt;$E80,4,4+1))</f>
        <v>17.8</v>
      </c>
      <c r="T80" s="0" t="n">
        <f aca="false">INDEX($K80:$O80,IF(1&lt;$E80,1,1+1))</f>
        <v>8.63578972494</v>
      </c>
      <c r="U80" s="0" t="n">
        <f aca="false">INDEX($K80:$O80,IF(2&lt;$E80,2,2+1))</f>
        <v>16.3217983147</v>
      </c>
      <c r="V80" s="0" t="n">
        <f aca="false">INDEX($K80:$O80,IF(3&lt;$E80,3,3+1))</f>
        <v>8.98381435248</v>
      </c>
      <c r="W80" s="0" t="n">
        <f aca="false">INDEX($K80:$O80,IF(4&lt;$E80,4,4+1))</f>
        <v>55.3468043579</v>
      </c>
      <c r="X80" s="0" t="n">
        <f aca="false">1+COUNTIF($P80:$S80,"&gt;"&amp;$P80)+(COUNTIF($P80:$S80,$P80)-1)/2</f>
        <v>1</v>
      </c>
      <c r="Y80" s="0" t="n">
        <f aca="false">1+COUNTIF($P80:$S80,"&gt;"&amp;$Q80)+(COUNTIF($P80:$S80,$Q80)-1)/2</f>
        <v>2</v>
      </c>
      <c r="Z80" s="0" t="n">
        <f aca="false">1+COUNTIF($P80:$S80,"&gt;"&amp;$R80)+(COUNTIF($P80:$S80,$R80)-1)/2</f>
        <v>4</v>
      </c>
      <c r="AA80" s="0" t="n">
        <f aca="false">1+COUNTIF($P80:$S80,"&gt;"&amp;$S80)+(COUNTIF($P80:$S80,$S80)-1)/2</f>
        <v>3</v>
      </c>
      <c r="AB80" s="0" t="n">
        <f aca="false">1+COUNTIF($T80:$W80,"&gt;"&amp;$T80)+(COUNTIF($T80:$W80,$T80)-1)/2</f>
        <v>4</v>
      </c>
      <c r="AC80" s="0" t="n">
        <f aca="false">1+COUNTIF($T80:$W80,"&gt;"&amp;$U80)+(COUNTIF($T80:$W80,$U80)-1)/2</f>
        <v>2</v>
      </c>
      <c r="AD80" s="0" t="n">
        <f aca="false">1+COUNTIF($T80:$W80,"&gt;"&amp;$V80)+(COUNTIF($T80:$W80,$V80)-1)/2</f>
        <v>3</v>
      </c>
      <c r="AE80" s="0" t="n">
        <f aca="false">1+COUNTIF($T80:$W80,"&gt;"&amp;$W80)+(COUNTIF($T80:$W80,$W80)-1)/2</f>
        <v>1</v>
      </c>
      <c r="AF80" s="0" t="n">
        <f aca="false">IFERROR(CORREL($P80:$S80,$T80:$W80),"")</f>
        <v>-0.174330493355782</v>
      </c>
      <c r="AG80" s="0" t="n">
        <f aca="false">IFERROR(CORREL($X80:$AA80,$AB80:$AE80),"")</f>
        <v>-0.4</v>
      </c>
      <c r="AH80" s="0" t="n">
        <f aca="false">IFERROR((SIGN($P80-$Q80)*SIGN($T80-$U80)+SIGN($P80-$R80)*SIGN($T80-$V80)+SIGN($P80-$S80)*SIGN($T80-$W80)+SIGN($Q80-$R80)*SIGN($U80-$V80)+SIGN($Q80-$S80)*SIGN($U80-$W80)+SIGN($R80-$S80)*SIGN($V80-$W80))/SQRT((6-(($P80=$Q80)*1+($P80=$R80)*1+($P80=$S80)*1+($Q80=$R80)*1+($Q80=$S80)*1+($R80=$S80)*1))*(6-(($T80=$U80)*1+($T80=$V80)*1+($T80=$W80)*1+($U80=$V80)*1+($U80=$W80)*1+($V80=$W80)*1))),"")</f>
        <v>-0.333333333333333</v>
      </c>
      <c r="AI80" s="0" t="n">
        <f aca="false">MATCH(MAX($K80:$O80),$K80:$O80,0)</f>
        <v>5</v>
      </c>
      <c r="AJ80" s="0" t="n">
        <f aca="false">IF(AI80&lt;&gt;$E80,1,0)</f>
        <v>1</v>
      </c>
      <c r="AK80" s="0" t="n">
        <f aca="false">IF(AJ80=1,INDEX($F80:$J80,AI80)/MAX($P80:$S80),"")</f>
        <v>0.738589211618257</v>
      </c>
      <c r="AL80" s="0" t="n">
        <f aca="false">IF(AJ80=1,1+COUNTIF($P80:$S80,"&gt;"&amp;INDEX($F80:$J80,AI80)),"")</f>
        <v>3</v>
      </c>
      <c r="AM80" s="0" t="n">
        <f aca="false">AVERAGE($P80:$S80)/MAX($P80:$S80)</f>
        <v>0.809128630705394</v>
      </c>
      <c r="AN80" s="0" t="n">
        <f aca="false">100-INDEX($F80:$J80,$E80)</f>
        <v>78</v>
      </c>
    </row>
    <row r="81" customFormat="false" ht="15" hidden="false" customHeight="false" outlineLevel="0" collapsed="false">
      <c r="A81" s="0" t="s">
        <v>40</v>
      </c>
      <c r="B81" s="0" t="n">
        <v>2023</v>
      </c>
      <c r="C81" s="0" t="s">
        <v>51</v>
      </c>
      <c r="D81" s="0" t="s">
        <v>45</v>
      </c>
      <c r="E81" s="0" t="n">
        <v>5</v>
      </c>
      <c r="F81" s="0" t="n">
        <v>16.5</v>
      </c>
      <c r="G81" s="0" t="n">
        <v>17.1</v>
      </c>
      <c r="H81" s="0" t="n">
        <v>21.1</v>
      </c>
      <c r="I81" s="0" t="n">
        <v>18.9</v>
      </c>
      <c r="J81" s="0" t="n">
        <v>26.5</v>
      </c>
      <c r="K81" s="0" t="n">
        <v>18.7975047072</v>
      </c>
      <c r="L81" s="0" t="n">
        <v>11.3275916431</v>
      </c>
      <c r="M81" s="0" t="n">
        <v>8.20366885296</v>
      </c>
      <c r="N81" s="0" t="n">
        <v>21.8001968569</v>
      </c>
      <c r="O81" s="0" t="n">
        <v>39.8710379398</v>
      </c>
      <c r="P81" s="0" t="n">
        <f aca="false">INDEX($F81:$J81,IF(1&lt;$E81,1,1+1))</f>
        <v>16.5</v>
      </c>
      <c r="Q81" s="0" t="n">
        <f aca="false">INDEX($F81:$J81,IF(2&lt;$E81,2,2+1))</f>
        <v>17.1</v>
      </c>
      <c r="R81" s="0" t="n">
        <f aca="false">INDEX($F81:$J81,IF(3&lt;$E81,3,3+1))</f>
        <v>21.1</v>
      </c>
      <c r="S81" s="0" t="n">
        <f aca="false">INDEX($F81:$J81,IF(4&lt;$E81,4,4+1))</f>
        <v>18.9</v>
      </c>
      <c r="T81" s="0" t="n">
        <f aca="false">INDEX($K81:$O81,IF(1&lt;$E81,1,1+1))</f>
        <v>18.7975047072</v>
      </c>
      <c r="U81" s="0" t="n">
        <f aca="false">INDEX($K81:$O81,IF(2&lt;$E81,2,2+1))</f>
        <v>11.3275916431</v>
      </c>
      <c r="V81" s="0" t="n">
        <f aca="false">INDEX($K81:$O81,IF(3&lt;$E81,3,3+1))</f>
        <v>8.20366885296</v>
      </c>
      <c r="W81" s="0" t="n">
        <f aca="false">INDEX($K81:$O81,IF(4&lt;$E81,4,4+1))</f>
        <v>21.8001968569</v>
      </c>
      <c r="X81" s="0" t="n">
        <f aca="false">1+COUNTIF($P81:$S81,"&gt;"&amp;$P81)+(COUNTIF($P81:$S81,$P81)-1)/2</f>
        <v>4</v>
      </c>
      <c r="Y81" s="0" t="n">
        <f aca="false">1+COUNTIF($P81:$S81,"&gt;"&amp;$Q81)+(COUNTIF($P81:$S81,$Q81)-1)/2</f>
        <v>3</v>
      </c>
      <c r="Z81" s="0" t="n">
        <f aca="false">1+COUNTIF($P81:$S81,"&gt;"&amp;$R81)+(COUNTIF($P81:$S81,$R81)-1)/2</f>
        <v>1</v>
      </c>
      <c r="AA81" s="0" t="n">
        <f aca="false">1+COUNTIF($P81:$S81,"&gt;"&amp;$S81)+(COUNTIF($P81:$S81,$S81)-1)/2</f>
        <v>2</v>
      </c>
      <c r="AB81" s="0" t="n">
        <f aca="false">1+COUNTIF($T81:$W81,"&gt;"&amp;$T81)+(COUNTIF($T81:$W81,$T81)-1)/2</f>
        <v>2</v>
      </c>
      <c r="AC81" s="0" t="n">
        <f aca="false">1+COUNTIF($T81:$W81,"&gt;"&amp;$U81)+(COUNTIF($T81:$W81,$U81)-1)/2</f>
        <v>3</v>
      </c>
      <c r="AD81" s="0" t="n">
        <f aca="false">1+COUNTIF($T81:$W81,"&gt;"&amp;$V81)+(COUNTIF($T81:$W81,$V81)-1)/2</f>
        <v>4</v>
      </c>
      <c r="AE81" s="0" t="n">
        <f aca="false">1+COUNTIF($T81:$W81,"&gt;"&amp;$W81)+(COUNTIF($T81:$W81,$W81)-1)/2</f>
        <v>1</v>
      </c>
      <c r="AF81" s="0" t="n">
        <f aca="false">IFERROR(CORREL($P81:$S81,$T81:$W81),"")</f>
        <v>-0.442432351204824</v>
      </c>
      <c r="AG81" s="0" t="n">
        <f aca="false">IFERROR(CORREL($X81:$AA81,$AB81:$AE81),"")</f>
        <v>-0.4</v>
      </c>
      <c r="AH81" s="0" t="n">
        <f aca="false">IFERROR((SIGN($P81-$Q81)*SIGN($T81-$U81)+SIGN($P81-$R81)*SIGN($T81-$V81)+SIGN($P81-$S81)*SIGN($T81-$W81)+SIGN($Q81-$R81)*SIGN($U81-$V81)+SIGN($Q81-$S81)*SIGN($U81-$W81)+SIGN($R81-$S81)*SIGN($V81-$W81))/SQRT((6-(($P81=$Q81)*1+($P81=$R81)*1+($P81=$S81)*1+($Q81=$R81)*1+($Q81=$S81)*1+($R81=$S81)*1))*(6-(($T81=$U81)*1+($T81=$V81)*1+($T81=$W81)*1+($U81=$V81)*1+($U81=$W81)*1+($V81=$W81)*1))),"")</f>
        <v>-0.333333333333333</v>
      </c>
      <c r="AI81" s="0" t="n">
        <f aca="false">MATCH(MAX($K81:$O81),$K81:$O81,0)</f>
        <v>5</v>
      </c>
      <c r="AJ81" s="0" t="n">
        <f aca="false">IF(AI81&lt;&gt;$E81,1,0)</f>
        <v>0</v>
      </c>
      <c r="AK81" s="0" t="str">
        <f aca="false">IF(AJ81=1,INDEX($F81:$J81,AI81)/MAX($P81:$S81),"")</f>
        <v/>
      </c>
      <c r="AL81" s="0" t="str">
        <f aca="false">IF(AJ81=1,1+COUNTIF($P81:$S81,"&gt;"&amp;INDEX($F81:$J81,AI81)),"")</f>
        <v/>
      </c>
      <c r="AM81" s="0" t="n">
        <f aca="false">AVERAGE($P81:$S81)/MAX($P81:$S81)</f>
        <v>0.872037914691943</v>
      </c>
      <c r="AN81" s="0" t="n">
        <f aca="false">100-INDEX($F81:$J81,$E81)</f>
        <v>73.5</v>
      </c>
    </row>
    <row r="82" customFormat="false" ht="15" hidden="false" customHeight="false" outlineLevel="0" collapsed="false">
      <c r="A82" s="0" t="s">
        <v>40</v>
      </c>
      <c r="B82" s="0" t="n">
        <v>2023</v>
      </c>
      <c r="C82" s="0" t="s">
        <v>52</v>
      </c>
      <c r="D82" s="0" t="s">
        <v>42</v>
      </c>
      <c r="E82" s="0" t="n">
        <v>4</v>
      </c>
      <c r="F82" s="0" t="n">
        <v>14.8</v>
      </c>
      <c r="G82" s="0" t="n">
        <v>12.4</v>
      </c>
      <c r="H82" s="0" t="n">
        <v>12.8</v>
      </c>
      <c r="I82" s="0" t="n">
        <v>51.6</v>
      </c>
      <c r="J82" s="0" t="n">
        <v>8.4</v>
      </c>
      <c r="K82" s="0" t="n">
        <v>2.96557767886</v>
      </c>
      <c r="L82" s="0" t="n">
        <v>66.0557919599</v>
      </c>
      <c r="M82" s="0" t="n">
        <v>0.809113030382</v>
      </c>
      <c r="N82" s="0" t="n">
        <v>9.19285612485</v>
      </c>
      <c r="O82" s="0" t="n">
        <v>20.976661206</v>
      </c>
      <c r="P82" s="0" t="n">
        <f aca="false">INDEX($F82:$J82,IF(1&lt;$E82,1,1+1))</f>
        <v>14.8</v>
      </c>
      <c r="Q82" s="0" t="n">
        <f aca="false">INDEX($F82:$J82,IF(2&lt;$E82,2,2+1))</f>
        <v>12.4</v>
      </c>
      <c r="R82" s="0" t="n">
        <f aca="false">INDEX($F82:$J82,IF(3&lt;$E82,3,3+1))</f>
        <v>12.8</v>
      </c>
      <c r="S82" s="0" t="n">
        <f aca="false">INDEX($F82:$J82,IF(4&lt;$E82,4,4+1))</f>
        <v>8.4</v>
      </c>
      <c r="T82" s="0" t="n">
        <f aca="false">INDEX($K82:$O82,IF(1&lt;$E82,1,1+1))</f>
        <v>2.96557767886</v>
      </c>
      <c r="U82" s="0" t="n">
        <f aca="false">INDEX($K82:$O82,IF(2&lt;$E82,2,2+1))</f>
        <v>66.0557919599</v>
      </c>
      <c r="V82" s="0" t="n">
        <f aca="false">INDEX($K82:$O82,IF(3&lt;$E82,3,3+1))</f>
        <v>0.809113030382</v>
      </c>
      <c r="W82" s="0" t="n">
        <f aca="false">INDEX($K82:$O82,IF(4&lt;$E82,4,4+1))</f>
        <v>20.976661206</v>
      </c>
      <c r="X82" s="0" t="n">
        <f aca="false">1+COUNTIF($P82:$S82,"&gt;"&amp;$P82)+(COUNTIF($P82:$S82,$P82)-1)/2</f>
        <v>1</v>
      </c>
      <c r="Y82" s="0" t="n">
        <f aca="false">1+COUNTIF($P82:$S82,"&gt;"&amp;$Q82)+(COUNTIF($P82:$S82,$Q82)-1)/2</f>
        <v>3</v>
      </c>
      <c r="Z82" s="0" t="n">
        <f aca="false">1+COUNTIF($P82:$S82,"&gt;"&amp;$R82)+(COUNTIF($P82:$S82,$R82)-1)/2</f>
        <v>2</v>
      </c>
      <c r="AA82" s="0" t="n">
        <f aca="false">1+COUNTIF($P82:$S82,"&gt;"&amp;$S82)+(COUNTIF($P82:$S82,$S82)-1)/2</f>
        <v>4</v>
      </c>
      <c r="AB82" s="0" t="n">
        <f aca="false">1+COUNTIF($T82:$W82,"&gt;"&amp;$T82)+(COUNTIF($T82:$W82,$T82)-1)/2</f>
        <v>3</v>
      </c>
      <c r="AC82" s="0" t="n">
        <f aca="false">1+COUNTIF($T82:$W82,"&gt;"&amp;$U82)+(COUNTIF($T82:$W82,$U82)-1)/2</f>
        <v>1</v>
      </c>
      <c r="AD82" s="0" t="n">
        <f aca="false">1+COUNTIF($T82:$W82,"&gt;"&amp;$V82)+(COUNTIF($T82:$W82,$V82)-1)/2</f>
        <v>4</v>
      </c>
      <c r="AE82" s="0" t="n">
        <f aca="false">1+COUNTIF($T82:$W82,"&gt;"&amp;$W82)+(COUNTIF($T82:$W82,$W82)-1)/2</f>
        <v>2</v>
      </c>
      <c r="AF82" s="0" t="n">
        <f aca="false">IFERROR(CORREL($P82:$S82,$T82:$W82),"")</f>
        <v>-0.202103900740069</v>
      </c>
      <c r="AG82" s="0" t="n">
        <f aca="false">IFERROR(CORREL($X82:$AA82,$AB82:$AE82),"")</f>
        <v>-0.6</v>
      </c>
      <c r="AH82" s="0" t="n">
        <f aca="false">IFERROR((SIGN($P82-$Q82)*SIGN($T82-$U82)+SIGN($P82-$R82)*SIGN($T82-$V82)+SIGN($P82-$S82)*SIGN($T82-$W82)+SIGN($Q82-$R82)*SIGN($U82-$V82)+SIGN($Q82-$S82)*SIGN($U82-$W82)+SIGN($R82-$S82)*SIGN($V82-$W82))/SQRT((6-(($P82=$Q82)*1+($P82=$R82)*1+($P82=$S82)*1+($Q82=$R82)*1+($Q82=$S82)*1+($R82=$S82)*1))*(6-(($T82=$U82)*1+($T82=$V82)*1+($T82=$W82)*1+($U82=$V82)*1+($U82=$W82)*1+($V82=$W82)*1))),"")</f>
        <v>-0.333333333333333</v>
      </c>
      <c r="AI82" s="0" t="n">
        <f aca="false">MATCH(MAX($K82:$O82),$K82:$O82,0)</f>
        <v>2</v>
      </c>
      <c r="AJ82" s="0" t="n">
        <f aca="false">IF(AI82&lt;&gt;$E82,1,0)</f>
        <v>1</v>
      </c>
      <c r="AK82" s="0" t="n">
        <f aca="false">IF(AJ82=1,INDEX($F82:$J82,AI82)/MAX($P82:$S82),"")</f>
        <v>0.837837837837838</v>
      </c>
      <c r="AL82" s="0" t="n">
        <f aca="false">IF(AJ82=1,1+COUNTIF($P82:$S82,"&gt;"&amp;INDEX($F82:$J82,AI82)),"")</f>
        <v>3</v>
      </c>
      <c r="AM82" s="0" t="n">
        <f aca="false">AVERAGE($P82:$S82)/MAX($P82:$S82)</f>
        <v>0.817567567567568</v>
      </c>
      <c r="AN82" s="0" t="n">
        <f aca="false">100-INDEX($F82:$J82,$E82)</f>
        <v>48.4</v>
      </c>
    </row>
    <row r="83" customFormat="false" ht="15" hidden="false" customHeight="false" outlineLevel="0" collapsed="false">
      <c r="A83" s="0" t="s">
        <v>40</v>
      </c>
      <c r="B83" s="0" t="n">
        <v>2023</v>
      </c>
      <c r="C83" s="0" t="s">
        <v>52</v>
      </c>
      <c r="D83" s="0" t="s">
        <v>43</v>
      </c>
      <c r="E83" s="0" t="n">
        <v>2</v>
      </c>
      <c r="F83" s="0" t="n">
        <v>11.8</v>
      </c>
      <c r="G83" s="0" t="n">
        <v>48.9</v>
      </c>
      <c r="H83" s="0" t="n">
        <v>17.4</v>
      </c>
      <c r="I83" s="0" t="n">
        <v>10.9</v>
      </c>
      <c r="J83" s="0" t="n">
        <v>11</v>
      </c>
      <c r="K83" s="0" t="n">
        <v>8.53091746936</v>
      </c>
      <c r="L83" s="0" t="n">
        <v>22.2325404676</v>
      </c>
      <c r="M83" s="0" t="n">
        <v>4.25099601492</v>
      </c>
      <c r="N83" s="0" t="n">
        <v>12.0963585768</v>
      </c>
      <c r="O83" s="0" t="n">
        <v>52.8891874713</v>
      </c>
      <c r="P83" s="0" t="n">
        <f aca="false">INDEX($F83:$J83,IF(1&lt;$E83,1,1+1))</f>
        <v>11.8</v>
      </c>
      <c r="Q83" s="0" t="n">
        <f aca="false">INDEX($F83:$J83,IF(2&lt;$E83,2,2+1))</f>
        <v>17.4</v>
      </c>
      <c r="R83" s="0" t="n">
        <f aca="false">INDEX($F83:$J83,IF(3&lt;$E83,3,3+1))</f>
        <v>10.9</v>
      </c>
      <c r="S83" s="0" t="n">
        <f aca="false">INDEX($F83:$J83,IF(4&lt;$E83,4,4+1))</f>
        <v>11</v>
      </c>
      <c r="T83" s="0" t="n">
        <f aca="false">INDEX($K83:$O83,IF(1&lt;$E83,1,1+1))</f>
        <v>8.53091746936</v>
      </c>
      <c r="U83" s="0" t="n">
        <f aca="false">INDEX($K83:$O83,IF(2&lt;$E83,2,2+1))</f>
        <v>4.25099601492</v>
      </c>
      <c r="V83" s="0" t="n">
        <f aca="false">INDEX($K83:$O83,IF(3&lt;$E83,3,3+1))</f>
        <v>12.0963585768</v>
      </c>
      <c r="W83" s="0" t="n">
        <f aca="false">INDEX($K83:$O83,IF(4&lt;$E83,4,4+1))</f>
        <v>52.8891874713</v>
      </c>
      <c r="X83" s="0" t="n">
        <f aca="false">1+COUNTIF($P83:$S83,"&gt;"&amp;$P83)+(COUNTIF($P83:$S83,$P83)-1)/2</f>
        <v>2</v>
      </c>
      <c r="Y83" s="0" t="n">
        <f aca="false">1+COUNTIF($P83:$S83,"&gt;"&amp;$Q83)+(COUNTIF($P83:$S83,$Q83)-1)/2</f>
        <v>1</v>
      </c>
      <c r="Z83" s="0" t="n">
        <f aca="false">1+COUNTIF($P83:$S83,"&gt;"&amp;$R83)+(COUNTIF($P83:$S83,$R83)-1)/2</f>
        <v>4</v>
      </c>
      <c r="AA83" s="0" t="n">
        <f aca="false">1+COUNTIF($P83:$S83,"&gt;"&amp;$S83)+(COUNTIF($P83:$S83,$S83)-1)/2</f>
        <v>3</v>
      </c>
      <c r="AB83" s="0" t="n">
        <f aca="false">1+COUNTIF($T83:$W83,"&gt;"&amp;$T83)+(COUNTIF($T83:$W83,$T83)-1)/2</f>
        <v>3</v>
      </c>
      <c r="AC83" s="0" t="n">
        <f aca="false">1+COUNTIF($T83:$W83,"&gt;"&amp;$U83)+(COUNTIF($T83:$W83,$U83)-1)/2</f>
        <v>4</v>
      </c>
      <c r="AD83" s="0" t="n">
        <f aca="false">1+COUNTIF($T83:$W83,"&gt;"&amp;$V83)+(COUNTIF($T83:$W83,$V83)-1)/2</f>
        <v>2</v>
      </c>
      <c r="AE83" s="0" t="n">
        <f aca="false">1+COUNTIF($T83:$W83,"&gt;"&amp;$W83)+(COUNTIF($T83:$W83,$W83)-1)/2</f>
        <v>1</v>
      </c>
      <c r="AF83" s="0" t="n">
        <f aca="false">IFERROR(CORREL($P83:$S83,$T83:$W83),"")</f>
        <v>-0.500666225168489</v>
      </c>
      <c r="AG83" s="0" t="n">
        <f aca="false">IFERROR(CORREL($X83:$AA83,$AB83:$AE83),"")</f>
        <v>-0.8</v>
      </c>
      <c r="AH83" s="0" t="n">
        <f aca="false">IFERROR((SIGN($P83-$Q83)*SIGN($T83-$U83)+SIGN($P83-$R83)*SIGN($T83-$V83)+SIGN($P83-$S83)*SIGN($T83-$W83)+SIGN($Q83-$R83)*SIGN($U83-$V83)+SIGN($Q83-$S83)*SIGN($U83-$W83)+SIGN($R83-$S83)*SIGN($V83-$W83))/SQRT((6-(($P83=$Q83)*1+($P83=$R83)*1+($P83=$S83)*1+($Q83=$R83)*1+($Q83=$S83)*1+($R83=$S83)*1))*(6-(($T83=$U83)*1+($T83=$V83)*1+($T83=$W83)*1+($U83=$V83)*1+($U83=$W83)*1+($V83=$W83)*1))),"")</f>
        <v>-0.666666666666667</v>
      </c>
      <c r="AI83" s="0" t="n">
        <f aca="false">MATCH(MAX($K83:$O83),$K83:$O83,0)</f>
        <v>5</v>
      </c>
      <c r="AJ83" s="0" t="n">
        <f aca="false">IF(AI83&lt;&gt;$E83,1,0)</f>
        <v>1</v>
      </c>
      <c r="AK83" s="0" t="n">
        <f aca="false">IF(AJ83=1,INDEX($F83:$J83,AI83)/MAX($P83:$S83),"")</f>
        <v>0.632183908045977</v>
      </c>
      <c r="AL83" s="0" t="n">
        <f aca="false">IF(AJ83=1,1+COUNTIF($P83:$S83,"&gt;"&amp;INDEX($F83:$J83,AI83)),"")</f>
        <v>3</v>
      </c>
      <c r="AM83" s="0" t="n">
        <f aca="false">AVERAGE($P83:$S83)/MAX($P83:$S83)</f>
        <v>0.734195402298851</v>
      </c>
      <c r="AN83" s="0" t="n">
        <f aca="false">100-INDEX($F83:$J83,$E83)</f>
        <v>51.1</v>
      </c>
    </row>
    <row r="84" customFormat="false" ht="15" hidden="false" customHeight="false" outlineLevel="0" collapsed="false">
      <c r="A84" s="0" t="s">
        <v>40</v>
      </c>
      <c r="B84" s="0" t="n">
        <v>2023</v>
      </c>
      <c r="C84" s="0" t="s">
        <v>52</v>
      </c>
      <c r="D84" s="0" t="s">
        <v>44</v>
      </c>
      <c r="E84" s="0" t="n">
        <v>3</v>
      </c>
      <c r="F84" s="0" t="n">
        <v>12.4</v>
      </c>
      <c r="G84" s="0" t="n">
        <v>12</v>
      </c>
      <c r="H84" s="0" t="n">
        <v>47.5</v>
      </c>
      <c r="I84" s="0" t="n">
        <v>18.4</v>
      </c>
      <c r="J84" s="0" t="n">
        <v>9.8</v>
      </c>
      <c r="K84" s="0" t="n">
        <v>5.1576959008</v>
      </c>
      <c r="L84" s="0" t="n">
        <v>3.9765759175</v>
      </c>
      <c r="M84" s="0" t="n">
        <v>22.6137244101</v>
      </c>
      <c r="N84" s="0" t="n">
        <v>14.1981072717</v>
      </c>
      <c r="O84" s="0" t="n">
        <v>54.0538965</v>
      </c>
      <c r="P84" s="0" t="n">
        <f aca="false">INDEX($F84:$J84,IF(1&lt;$E84,1,1+1))</f>
        <v>12.4</v>
      </c>
      <c r="Q84" s="0" t="n">
        <f aca="false">INDEX($F84:$J84,IF(2&lt;$E84,2,2+1))</f>
        <v>12</v>
      </c>
      <c r="R84" s="0" t="n">
        <f aca="false">INDEX($F84:$J84,IF(3&lt;$E84,3,3+1))</f>
        <v>18.4</v>
      </c>
      <c r="S84" s="0" t="n">
        <f aca="false">INDEX($F84:$J84,IF(4&lt;$E84,4,4+1))</f>
        <v>9.8</v>
      </c>
      <c r="T84" s="0" t="n">
        <f aca="false">INDEX($K84:$O84,IF(1&lt;$E84,1,1+1))</f>
        <v>5.1576959008</v>
      </c>
      <c r="U84" s="0" t="n">
        <f aca="false">INDEX($K84:$O84,IF(2&lt;$E84,2,2+1))</f>
        <v>3.9765759175</v>
      </c>
      <c r="V84" s="0" t="n">
        <f aca="false">INDEX($K84:$O84,IF(3&lt;$E84,3,3+1))</f>
        <v>14.1981072717</v>
      </c>
      <c r="W84" s="0" t="n">
        <f aca="false">INDEX($K84:$O84,IF(4&lt;$E84,4,4+1))</f>
        <v>54.0538965</v>
      </c>
      <c r="X84" s="0" t="n">
        <f aca="false">1+COUNTIF($P84:$S84,"&gt;"&amp;$P84)+(COUNTIF($P84:$S84,$P84)-1)/2</f>
        <v>2</v>
      </c>
      <c r="Y84" s="0" t="n">
        <f aca="false">1+COUNTIF($P84:$S84,"&gt;"&amp;$Q84)+(COUNTIF($P84:$S84,$Q84)-1)/2</f>
        <v>3</v>
      </c>
      <c r="Z84" s="0" t="n">
        <f aca="false">1+COUNTIF($P84:$S84,"&gt;"&amp;$R84)+(COUNTIF($P84:$S84,$R84)-1)/2</f>
        <v>1</v>
      </c>
      <c r="AA84" s="0" t="n">
        <f aca="false">1+COUNTIF($P84:$S84,"&gt;"&amp;$S84)+(COUNTIF($P84:$S84,$S84)-1)/2</f>
        <v>4</v>
      </c>
      <c r="AB84" s="0" t="n">
        <f aca="false">1+COUNTIF($T84:$W84,"&gt;"&amp;$T84)+(COUNTIF($T84:$W84,$T84)-1)/2</f>
        <v>3</v>
      </c>
      <c r="AC84" s="0" t="n">
        <f aca="false">1+COUNTIF($T84:$W84,"&gt;"&amp;$U84)+(COUNTIF($T84:$W84,$U84)-1)/2</f>
        <v>4</v>
      </c>
      <c r="AD84" s="0" t="n">
        <f aca="false">1+COUNTIF($T84:$W84,"&gt;"&amp;$V84)+(COUNTIF($T84:$W84,$V84)-1)/2</f>
        <v>2</v>
      </c>
      <c r="AE84" s="0" t="n">
        <f aca="false">1+COUNTIF($T84:$W84,"&gt;"&amp;$W84)+(COUNTIF($T84:$W84,$W84)-1)/2</f>
        <v>1</v>
      </c>
      <c r="AF84" s="0" t="n">
        <f aca="false">IFERROR(CORREL($P84:$S84,$T84:$W84),"")</f>
        <v>-0.441374658017901</v>
      </c>
      <c r="AG84" s="0" t="n">
        <f aca="false">IFERROR(CORREL($X84:$AA84,$AB84:$AE84),"")</f>
        <v>-0.2</v>
      </c>
      <c r="AH84" s="0" t="n">
        <f aca="false">IFERROR((SIGN($P84-$Q84)*SIGN($T84-$U84)+SIGN($P84-$R84)*SIGN($T84-$V84)+SIGN($P84-$S84)*SIGN($T84-$W84)+SIGN($Q84-$R84)*SIGN($U84-$V84)+SIGN($Q84-$S84)*SIGN($U84-$W84)+SIGN($R84-$S84)*SIGN($V84-$W84))/SQRT((6-(($P84=$Q84)*1+($P84=$R84)*1+($P84=$S84)*1+($Q84=$R84)*1+($Q84=$S84)*1+($R84=$S84)*1))*(6-(($T84=$U84)*1+($T84=$V84)*1+($T84=$W84)*1+($U84=$V84)*1+($U84=$W84)*1+($V84=$W84)*1))),"")</f>
        <v>0</v>
      </c>
      <c r="AI84" s="0" t="n">
        <f aca="false">MATCH(MAX($K84:$O84),$K84:$O84,0)</f>
        <v>5</v>
      </c>
      <c r="AJ84" s="0" t="n">
        <f aca="false">IF(AI84&lt;&gt;$E84,1,0)</f>
        <v>1</v>
      </c>
      <c r="AK84" s="0" t="n">
        <f aca="false">IF(AJ84=1,INDEX($F84:$J84,AI84)/MAX($P84:$S84),"")</f>
        <v>0.532608695652174</v>
      </c>
      <c r="AL84" s="0" t="n">
        <f aca="false">IF(AJ84=1,1+COUNTIF($P84:$S84,"&gt;"&amp;INDEX($F84:$J84,AI84)),"")</f>
        <v>4</v>
      </c>
      <c r="AM84" s="0" t="n">
        <f aca="false">AVERAGE($P84:$S84)/MAX($P84:$S84)</f>
        <v>0.714673913043478</v>
      </c>
      <c r="AN84" s="0" t="n">
        <f aca="false">100-INDEX($F84:$J84,$E84)</f>
        <v>52.5</v>
      </c>
    </row>
    <row r="85" customFormat="false" ht="15" hidden="false" customHeight="false" outlineLevel="0" collapsed="false">
      <c r="A85" s="0" t="s">
        <v>40</v>
      </c>
      <c r="B85" s="0" t="n">
        <v>2023</v>
      </c>
      <c r="C85" s="0" t="s">
        <v>52</v>
      </c>
      <c r="D85" s="0" t="s">
        <v>45</v>
      </c>
      <c r="E85" s="0" t="n">
        <v>2</v>
      </c>
      <c r="F85" s="0" t="n">
        <v>16.3</v>
      </c>
      <c r="G85" s="0" t="n">
        <v>34</v>
      </c>
      <c r="H85" s="0" t="n">
        <v>19.8</v>
      </c>
      <c r="I85" s="0" t="n">
        <v>15.8</v>
      </c>
      <c r="J85" s="0" t="n">
        <v>14.2</v>
      </c>
      <c r="K85" s="0" t="n">
        <v>22.6104737081</v>
      </c>
      <c r="L85" s="0" t="n">
        <v>38.2667457594</v>
      </c>
      <c r="M85" s="0" t="n">
        <v>9.09087595732</v>
      </c>
      <c r="N85" s="0" t="n">
        <v>5.67735640907</v>
      </c>
      <c r="O85" s="0" t="n">
        <v>24.3545481661</v>
      </c>
      <c r="P85" s="0" t="n">
        <f aca="false">INDEX($F85:$J85,IF(1&lt;$E85,1,1+1))</f>
        <v>16.3</v>
      </c>
      <c r="Q85" s="0" t="n">
        <f aca="false">INDEX($F85:$J85,IF(2&lt;$E85,2,2+1))</f>
        <v>19.8</v>
      </c>
      <c r="R85" s="0" t="n">
        <f aca="false">INDEX($F85:$J85,IF(3&lt;$E85,3,3+1))</f>
        <v>15.8</v>
      </c>
      <c r="S85" s="0" t="n">
        <f aca="false">INDEX($F85:$J85,IF(4&lt;$E85,4,4+1))</f>
        <v>14.2</v>
      </c>
      <c r="T85" s="0" t="n">
        <f aca="false">INDEX($K85:$O85,IF(1&lt;$E85,1,1+1))</f>
        <v>22.6104737081</v>
      </c>
      <c r="U85" s="0" t="n">
        <f aca="false">INDEX($K85:$O85,IF(2&lt;$E85,2,2+1))</f>
        <v>9.09087595732</v>
      </c>
      <c r="V85" s="0" t="n">
        <f aca="false">INDEX($K85:$O85,IF(3&lt;$E85,3,3+1))</f>
        <v>5.67735640907</v>
      </c>
      <c r="W85" s="0" t="n">
        <f aca="false">INDEX($K85:$O85,IF(4&lt;$E85,4,4+1))</f>
        <v>24.3545481661</v>
      </c>
      <c r="X85" s="0" t="n">
        <f aca="false">1+COUNTIF($P85:$S85,"&gt;"&amp;$P85)+(COUNTIF($P85:$S85,$P85)-1)/2</f>
        <v>2</v>
      </c>
      <c r="Y85" s="0" t="n">
        <f aca="false">1+COUNTIF($P85:$S85,"&gt;"&amp;$Q85)+(COUNTIF($P85:$S85,$Q85)-1)/2</f>
        <v>1</v>
      </c>
      <c r="Z85" s="0" t="n">
        <f aca="false">1+COUNTIF($P85:$S85,"&gt;"&amp;$R85)+(COUNTIF($P85:$S85,$R85)-1)/2</f>
        <v>3</v>
      </c>
      <c r="AA85" s="0" t="n">
        <f aca="false">1+COUNTIF($P85:$S85,"&gt;"&amp;$S85)+(COUNTIF($P85:$S85,$S85)-1)/2</f>
        <v>4</v>
      </c>
      <c r="AB85" s="0" t="n">
        <f aca="false">1+COUNTIF($T85:$W85,"&gt;"&amp;$T85)+(COUNTIF($T85:$W85,$T85)-1)/2</f>
        <v>2</v>
      </c>
      <c r="AC85" s="0" t="n">
        <f aca="false">1+COUNTIF($T85:$W85,"&gt;"&amp;$U85)+(COUNTIF($T85:$W85,$U85)-1)/2</f>
        <v>3</v>
      </c>
      <c r="AD85" s="0" t="n">
        <f aca="false">1+COUNTIF($T85:$W85,"&gt;"&amp;$V85)+(COUNTIF($T85:$W85,$V85)-1)/2</f>
        <v>4</v>
      </c>
      <c r="AE85" s="0" t="n">
        <f aca="false">1+COUNTIF($T85:$W85,"&gt;"&amp;$W85)+(COUNTIF($T85:$W85,$W85)-1)/2</f>
        <v>1</v>
      </c>
      <c r="AF85" s="0" t="n">
        <f aca="false">IFERROR(CORREL($P85:$S85,$T85:$W85),"")</f>
        <v>-0.540329426398146</v>
      </c>
      <c r="AG85" s="0" t="n">
        <f aca="false">IFERROR(CORREL($X85:$AA85,$AB85:$AE85),"")</f>
        <v>-0.4</v>
      </c>
      <c r="AH85" s="0" t="n">
        <f aca="false">IFERROR((SIGN($P85-$Q85)*SIGN($T85-$U85)+SIGN($P85-$R85)*SIGN($T85-$V85)+SIGN($P85-$S85)*SIGN($T85-$W85)+SIGN($Q85-$R85)*SIGN($U85-$V85)+SIGN($Q85-$S85)*SIGN($U85-$W85)+SIGN($R85-$S85)*SIGN($V85-$W85))/SQRT((6-(($P85=$Q85)*1+($P85=$R85)*1+($P85=$S85)*1+($Q85=$R85)*1+($Q85=$S85)*1+($R85=$S85)*1))*(6-(($T85=$U85)*1+($T85=$V85)*1+($T85=$W85)*1+($U85=$V85)*1+($U85=$W85)*1+($V85=$W85)*1))),"")</f>
        <v>-0.333333333333333</v>
      </c>
      <c r="AI85" s="0" t="n">
        <f aca="false">MATCH(MAX($K85:$O85),$K85:$O85,0)</f>
        <v>2</v>
      </c>
      <c r="AJ85" s="0" t="n">
        <f aca="false">IF(AI85&lt;&gt;$E85,1,0)</f>
        <v>0</v>
      </c>
      <c r="AK85" s="0" t="str">
        <f aca="false">IF(AJ85=1,INDEX($F85:$J85,AI85)/MAX($P85:$S85),"")</f>
        <v/>
      </c>
      <c r="AL85" s="0" t="str">
        <f aca="false">IF(AJ85=1,1+COUNTIF($P85:$S85,"&gt;"&amp;INDEX($F85:$J85,AI85)),"")</f>
        <v/>
      </c>
      <c r="AM85" s="0" t="n">
        <f aca="false">AVERAGE($P85:$S85)/MAX($P85:$S85)</f>
        <v>0.834595959595959</v>
      </c>
      <c r="AN85" s="0" t="n">
        <f aca="false">100-INDEX($F85:$J85,$E85)</f>
        <v>66</v>
      </c>
    </row>
    <row r="86" customFormat="false" ht="15" hidden="false" customHeight="false" outlineLevel="0" collapsed="false">
      <c r="A86" s="0" t="s">
        <v>40</v>
      </c>
      <c r="B86" s="0" t="n">
        <v>2023</v>
      </c>
      <c r="C86" s="0" t="s">
        <v>46</v>
      </c>
      <c r="D86" s="0" t="s">
        <v>42</v>
      </c>
      <c r="E86" s="0" t="n">
        <v>5</v>
      </c>
      <c r="F86" s="0" t="n">
        <v>10.6</v>
      </c>
      <c r="G86" s="0" t="n">
        <v>13.5</v>
      </c>
      <c r="H86" s="0" t="n">
        <v>12.8</v>
      </c>
      <c r="I86" s="0" t="n">
        <v>9.5</v>
      </c>
      <c r="J86" s="0" t="n">
        <v>53.6</v>
      </c>
      <c r="K86" s="0" t="n">
        <v>3.85808941293</v>
      </c>
      <c r="L86" s="0" t="n">
        <v>46.58800279</v>
      </c>
      <c r="M86" s="0" t="n">
        <v>11.1030688219</v>
      </c>
      <c r="N86" s="0" t="n">
        <v>1.37810573115</v>
      </c>
      <c r="O86" s="0" t="n">
        <v>37.0727332441</v>
      </c>
      <c r="P86" s="0" t="n">
        <f aca="false">INDEX($F86:$J86,IF(1&lt;$E86,1,1+1))</f>
        <v>10.6</v>
      </c>
      <c r="Q86" s="0" t="n">
        <f aca="false">INDEX($F86:$J86,IF(2&lt;$E86,2,2+1))</f>
        <v>13.5</v>
      </c>
      <c r="R86" s="0" t="n">
        <f aca="false">INDEX($F86:$J86,IF(3&lt;$E86,3,3+1))</f>
        <v>12.8</v>
      </c>
      <c r="S86" s="0" t="n">
        <f aca="false">INDEX($F86:$J86,IF(4&lt;$E86,4,4+1))</f>
        <v>9.5</v>
      </c>
      <c r="T86" s="0" t="n">
        <f aca="false">INDEX($K86:$O86,IF(1&lt;$E86,1,1+1))</f>
        <v>3.85808941293</v>
      </c>
      <c r="U86" s="0" t="n">
        <f aca="false">INDEX($K86:$O86,IF(2&lt;$E86,2,2+1))</f>
        <v>46.58800279</v>
      </c>
      <c r="V86" s="0" t="n">
        <f aca="false">INDEX($K86:$O86,IF(3&lt;$E86,3,3+1))</f>
        <v>11.1030688219</v>
      </c>
      <c r="W86" s="0" t="n">
        <f aca="false">INDEX($K86:$O86,IF(4&lt;$E86,4,4+1))</f>
        <v>1.37810573115</v>
      </c>
      <c r="X86" s="0" t="n">
        <f aca="false">1+COUNTIF($P86:$S86,"&gt;"&amp;$P86)+(COUNTIF($P86:$S86,$P86)-1)/2</f>
        <v>3</v>
      </c>
      <c r="Y86" s="0" t="n">
        <f aca="false">1+COUNTIF($P86:$S86,"&gt;"&amp;$Q86)+(COUNTIF($P86:$S86,$Q86)-1)/2</f>
        <v>1</v>
      </c>
      <c r="Z86" s="0" t="n">
        <f aca="false">1+COUNTIF($P86:$S86,"&gt;"&amp;$R86)+(COUNTIF($P86:$S86,$R86)-1)/2</f>
        <v>2</v>
      </c>
      <c r="AA86" s="0" t="n">
        <f aca="false">1+COUNTIF($P86:$S86,"&gt;"&amp;$S86)+(COUNTIF($P86:$S86,$S86)-1)/2</f>
        <v>4</v>
      </c>
      <c r="AB86" s="0" t="n">
        <f aca="false">1+COUNTIF($T86:$W86,"&gt;"&amp;$T86)+(COUNTIF($T86:$W86,$T86)-1)/2</f>
        <v>3</v>
      </c>
      <c r="AC86" s="0" t="n">
        <f aca="false">1+COUNTIF($T86:$W86,"&gt;"&amp;$U86)+(COUNTIF($T86:$W86,$U86)-1)/2</f>
        <v>1</v>
      </c>
      <c r="AD86" s="0" t="n">
        <f aca="false">1+COUNTIF($T86:$W86,"&gt;"&amp;$V86)+(COUNTIF($T86:$W86,$V86)-1)/2</f>
        <v>2</v>
      </c>
      <c r="AE86" s="0" t="n">
        <f aca="false">1+COUNTIF($T86:$W86,"&gt;"&amp;$W86)+(COUNTIF($T86:$W86,$W86)-1)/2</f>
        <v>4</v>
      </c>
      <c r="AF86" s="0" t="n">
        <f aca="false">IFERROR(CORREL($P86:$S86,$T86:$W86),"")</f>
        <v>0.809071657495917</v>
      </c>
      <c r="AG86" s="0" t="n">
        <f aca="false">IFERROR(CORREL($X86:$AA86,$AB86:$AE86),"")</f>
        <v>1</v>
      </c>
      <c r="AH86" s="0" t="n">
        <f aca="false">IFERROR((SIGN($P86-$Q86)*SIGN($T86-$U86)+SIGN($P86-$R86)*SIGN($T86-$V86)+SIGN($P86-$S86)*SIGN($T86-$W86)+SIGN($Q86-$R86)*SIGN($U86-$V86)+SIGN($Q86-$S86)*SIGN($U86-$W86)+SIGN($R86-$S86)*SIGN($V86-$W86))/SQRT((6-(($P86=$Q86)*1+($P86=$R86)*1+($P86=$S86)*1+($Q86=$R86)*1+($Q86=$S86)*1+($R86=$S86)*1))*(6-(($T86=$U86)*1+($T86=$V86)*1+($T86=$W86)*1+($U86=$V86)*1+($U86=$W86)*1+($V86=$W86)*1))),"")</f>
        <v>1</v>
      </c>
      <c r="AI86" s="0" t="n">
        <f aca="false">MATCH(MAX($K86:$O86),$K86:$O86,0)</f>
        <v>2</v>
      </c>
      <c r="AJ86" s="0" t="n">
        <f aca="false">IF(AI86&lt;&gt;$E86,1,0)</f>
        <v>1</v>
      </c>
      <c r="AK86" s="0" t="n">
        <f aca="false">IF(AJ86=1,INDEX($F86:$J86,AI86)/MAX($P86:$S86),"")</f>
        <v>1</v>
      </c>
      <c r="AL86" s="0" t="n">
        <f aca="false">IF(AJ86=1,1+COUNTIF($P86:$S86,"&gt;"&amp;INDEX($F86:$J86,AI86)),"")</f>
        <v>1</v>
      </c>
      <c r="AM86" s="0" t="n">
        <f aca="false">AVERAGE($P86:$S86)/MAX($P86:$S86)</f>
        <v>0.859259259259259</v>
      </c>
      <c r="AN86" s="0" t="n">
        <f aca="false">100-INDEX($F86:$J86,$E86)</f>
        <v>46.4</v>
      </c>
    </row>
    <row r="87" customFormat="false" ht="15" hidden="false" customHeight="false" outlineLevel="0" collapsed="false">
      <c r="A87" s="0" t="s">
        <v>40</v>
      </c>
      <c r="B87" s="0" t="n">
        <v>2023</v>
      </c>
      <c r="C87" s="0" t="s">
        <v>46</v>
      </c>
      <c r="D87" s="0" t="s">
        <v>43</v>
      </c>
      <c r="E87" s="0" t="n">
        <v>1</v>
      </c>
      <c r="F87" s="0" t="n">
        <v>41.1</v>
      </c>
      <c r="G87" s="0" t="n">
        <v>19.3</v>
      </c>
      <c r="H87" s="0" t="n">
        <v>17.6</v>
      </c>
      <c r="I87" s="0" t="n">
        <v>13.5</v>
      </c>
      <c r="J87" s="0" t="n">
        <v>8.4</v>
      </c>
      <c r="K87" s="0" t="n">
        <v>12.1787752129</v>
      </c>
      <c r="L87" s="0" t="n">
        <v>55.6070981615</v>
      </c>
      <c r="M87" s="0" t="n">
        <v>16.3406916842</v>
      </c>
      <c r="N87" s="0" t="n">
        <v>2.62824022736</v>
      </c>
      <c r="O87" s="0" t="n">
        <v>13.245194714</v>
      </c>
      <c r="P87" s="0" t="n">
        <f aca="false">INDEX($F87:$J87,IF(1&lt;$E87,1,1+1))</f>
        <v>19.3</v>
      </c>
      <c r="Q87" s="0" t="n">
        <f aca="false">INDEX($F87:$J87,IF(2&lt;$E87,2,2+1))</f>
        <v>17.6</v>
      </c>
      <c r="R87" s="0" t="n">
        <f aca="false">INDEX($F87:$J87,IF(3&lt;$E87,3,3+1))</f>
        <v>13.5</v>
      </c>
      <c r="S87" s="0" t="n">
        <f aca="false">INDEX($F87:$J87,IF(4&lt;$E87,4,4+1))</f>
        <v>8.4</v>
      </c>
      <c r="T87" s="0" t="n">
        <f aca="false">INDEX($K87:$O87,IF(1&lt;$E87,1,1+1))</f>
        <v>55.6070981615</v>
      </c>
      <c r="U87" s="0" t="n">
        <f aca="false">INDEX($K87:$O87,IF(2&lt;$E87,2,2+1))</f>
        <v>16.3406916842</v>
      </c>
      <c r="V87" s="0" t="n">
        <f aca="false">INDEX($K87:$O87,IF(3&lt;$E87,3,3+1))</f>
        <v>2.62824022736</v>
      </c>
      <c r="W87" s="0" t="n">
        <f aca="false">INDEX($K87:$O87,IF(4&lt;$E87,4,4+1))</f>
        <v>13.245194714</v>
      </c>
      <c r="X87" s="0" t="n">
        <f aca="false">1+COUNTIF($P87:$S87,"&gt;"&amp;$P87)+(COUNTIF($P87:$S87,$P87)-1)/2</f>
        <v>1</v>
      </c>
      <c r="Y87" s="0" t="n">
        <f aca="false">1+COUNTIF($P87:$S87,"&gt;"&amp;$Q87)+(COUNTIF($P87:$S87,$Q87)-1)/2</f>
        <v>2</v>
      </c>
      <c r="Z87" s="0" t="n">
        <f aca="false">1+COUNTIF($P87:$S87,"&gt;"&amp;$R87)+(COUNTIF($P87:$S87,$R87)-1)/2</f>
        <v>3</v>
      </c>
      <c r="AA87" s="0" t="n">
        <f aca="false">1+COUNTIF($P87:$S87,"&gt;"&amp;$S87)+(COUNTIF($P87:$S87,$S87)-1)/2</f>
        <v>4</v>
      </c>
      <c r="AB87" s="0" t="n">
        <f aca="false">1+COUNTIF($T87:$W87,"&gt;"&amp;$T87)+(COUNTIF($T87:$W87,$T87)-1)/2</f>
        <v>1</v>
      </c>
      <c r="AC87" s="0" t="n">
        <f aca="false">1+COUNTIF($T87:$W87,"&gt;"&amp;$U87)+(COUNTIF($T87:$W87,$U87)-1)/2</f>
        <v>2</v>
      </c>
      <c r="AD87" s="0" t="n">
        <f aca="false">1+COUNTIF($T87:$W87,"&gt;"&amp;$V87)+(COUNTIF($T87:$W87,$V87)-1)/2</f>
        <v>4</v>
      </c>
      <c r="AE87" s="0" t="n">
        <f aca="false">1+COUNTIF($T87:$W87,"&gt;"&amp;$W87)+(COUNTIF($T87:$W87,$W87)-1)/2</f>
        <v>3</v>
      </c>
      <c r="AF87" s="0" t="n">
        <f aca="false">IFERROR(CORREL($P87:$S87,$T87:$W87),"")</f>
        <v>0.641277420731208</v>
      </c>
      <c r="AG87" s="0" t="n">
        <f aca="false">IFERROR(CORREL($X87:$AA87,$AB87:$AE87),"")</f>
        <v>0.8</v>
      </c>
      <c r="AH87" s="0" t="n">
        <f aca="false">IFERROR((SIGN($P87-$Q87)*SIGN($T87-$U87)+SIGN($P87-$R87)*SIGN($T87-$V87)+SIGN($P87-$S87)*SIGN($T87-$W87)+SIGN($Q87-$R87)*SIGN($U87-$V87)+SIGN($Q87-$S87)*SIGN($U87-$W87)+SIGN($R87-$S87)*SIGN($V87-$W87))/SQRT((6-(($P87=$Q87)*1+($P87=$R87)*1+($P87=$S87)*1+($Q87=$R87)*1+($Q87=$S87)*1+($R87=$S87)*1))*(6-(($T87=$U87)*1+($T87=$V87)*1+($T87=$W87)*1+($U87=$V87)*1+($U87=$W87)*1+($V87=$W87)*1))),"")</f>
        <v>0.666666666666667</v>
      </c>
      <c r="AI87" s="0" t="n">
        <f aca="false">MATCH(MAX($K87:$O87),$K87:$O87,0)</f>
        <v>2</v>
      </c>
      <c r="AJ87" s="0" t="n">
        <f aca="false">IF(AI87&lt;&gt;$E87,1,0)</f>
        <v>1</v>
      </c>
      <c r="AK87" s="0" t="n">
        <f aca="false">IF(AJ87=1,INDEX($F87:$J87,AI87)/MAX($P87:$S87),"")</f>
        <v>1</v>
      </c>
      <c r="AL87" s="0" t="n">
        <f aca="false">IF(AJ87=1,1+COUNTIF($P87:$S87,"&gt;"&amp;INDEX($F87:$J87,AI87)),"")</f>
        <v>1</v>
      </c>
      <c r="AM87" s="0" t="n">
        <f aca="false">AVERAGE($P87:$S87)/MAX($P87:$S87)</f>
        <v>0.761658031088083</v>
      </c>
      <c r="AN87" s="0" t="n">
        <f aca="false">100-INDEX($F87:$J87,$E87)</f>
        <v>58.9</v>
      </c>
    </row>
    <row r="88" customFormat="false" ht="15" hidden="false" customHeight="false" outlineLevel="0" collapsed="false">
      <c r="A88" s="0" t="s">
        <v>40</v>
      </c>
      <c r="B88" s="0" t="n">
        <v>2023</v>
      </c>
      <c r="C88" s="0" t="s">
        <v>46</v>
      </c>
      <c r="D88" s="0" t="s">
        <v>44</v>
      </c>
      <c r="E88" s="0" t="n">
        <v>3</v>
      </c>
      <c r="F88" s="0" t="n">
        <v>18.3</v>
      </c>
      <c r="G88" s="0" t="n">
        <v>17.3</v>
      </c>
      <c r="H88" s="0" t="n">
        <v>37.1</v>
      </c>
      <c r="I88" s="0" t="n">
        <v>19.3</v>
      </c>
      <c r="J88" s="0" t="n">
        <v>8</v>
      </c>
      <c r="K88" s="0" t="n">
        <v>3.14546226914</v>
      </c>
      <c r="L88" s="0" t="n">
        <v>10.3723583973</v>
      </c>
      <c r="M88" s="0" t="n">
        <v>33.1622975198</v>
      </c>
      <c r="N88" s="0" t="n">
        <v>35.1626538957</v>
      </c>
      <c r="O88" s="0" t="n">
        <v>18.1572279181</v>
      </c>
      <c r="P88" s="0" t="n">
        <f aca="false">INDEX($F88:$J88,IF(1&lt;$E88,1,1+1))</f>
        <v>18.3</v>
      </c>
      <c r="Q88" s="0" t="n">
        <f aca="false">INDEX($F88:$J88,IF(2&lt;$E88,2,2+1))</f>
        <v>17.3</v>
      </c>
      <c r="R88" s="0" t="n">
        <f aca="false">INDEX($F88:$J88,IF(3&lt;$E88,3,3+1))</f>
        <v>19.3</v>
      </c>
      <c r="S88" s="0" t="n">
        <f aca="false">INDEX($F88:$J88,IF(4&lt;$E88,4,4+1))</f>
        <v>8</v>
      </c>
      <c r="T88" s="0" t="n">
        <f aca="false">INDEX($K88:$O88,IF(1&lt;$E88,1,1+1))</f>
        <v>3.14546226914</v>
      </c>
      <c r="U88" s="0" t="n">
        <f aca="false">INDEX($K88:$O88,IF(2&lt;$E88,2,2+1))</f>
        <v>10.3723583973</v>
      </c>
      <c r="V88" s="0" t="n">
        <f aca="false">INDEX($K88:$O88,IF(3&lt;$E88,3,3+1))</f>
        <v>35.1626538957</v>
      </c>
      <c r="W88" s="0" t="n">
        <f aca="false">INDEX($K88:$O88,IF(4&lt;$E88,4,4+1))</f>
        <v>18.1572279181</v>
      </c>
      <c r="X88" s="0" t="n">
        <f aca="false">1+COUNTIF($P88:$S88,"&gt;"&amp;$P88)+(COUNTIF($P88:$S88,$P88)-1)/2</f>
        <v>2</v>
      </c>
      <c r="Y88" s="0" t="n">
        <f aca="false">1+COUNTIF($P88:$S88,"&gt;"&amp;$Q88)+(COUNTIF($P88:$S88,$Q88)-1)/2</f>
        <v>3</v>
      </c>
      <c r="Z88" s="0" t="n">
        <f aca="false">1+COUNTIF($P88:$S88,"&gt;"&amp;$R88)+(COUNTIF($P88:$S88,$R88)-1)/2</f>
        <v>1</v>
      </c>
      <c r="AA88" s="0" t="n">
        <f aca="false">1+COUNTIF($P88:$S88,"&gt;"&amp;$S88)+(COUNTIF($P88:$S88,$S88)-1)/2</f>
        <v>4</v>
      </c>
      <c r="AB88" s="0" t="n">
        <f aca="false">1+COUNTIF($T88:$W88,"&gt;"&amp;$T88)+(COUNTIF($T88:$W88,$T88)-1)/2</f>
        <v>4</v>
      </c>
      <c r="AC88" s="0" t="n">
        <f aca="false">1+COUNTIF($T88:$W88,"&gt;"&amp;$U88)+(COUNTIF($T88:$W88,$U88)-1)/2</f>
        <v>3</v>
      </c>
      <c r="AD88" s="0" t="n">
        <f aca="false">1+COUNTIF($T88:$W88,"&gt;"&amp;$V88)+(COUNTIF($T88:$W88,$V88)-1)/2</f>
        <v>1</v>
      </c>
      <c r="AE88" s="0" t="n">
        <f aca="false">1+COUNTIF($T88:$W88,"&gt;"&amp;$W88)+(COUNTIF($T88:$W88,$W88)-1)/2</f>
        <v>2</v>
      </c>
      <c r="AF88" s="0" t="n">
        <f aca="false">IFERROR(CORREL($P88:$S88,$T88:$W88),"")</f>
        <v>0.0459418936385971</v>
      </c>
      <c r="AG88" s="0" t="n">
        <f aca="false">IFERROR(CORREL($X88:$AA88,$AB88:$AE88),"")</f>
        <v>0.2</v>
      </c>
      <c r="AH88" s="0" t="n">
        <f aca="false">IFERROR((SIGN($P88-$Q88)*SIGN($T88-$U88)+SIGN($P88-$R88)*SIGN($T88-$V88)+SIGN($P88-$S88)*SIGN($T88-$W88)+SIGN($Q88-$R88)*SIGN($U88-$V88)+SIGN($Q88-$S88)*SIGN($U88-$W88)+SIGN($R88-$S88)*SIGN($V88-$W88))/SQRT((6-(($P88=$Q88)*1+($P88=$R88)*1+($P88=$S88)*1+($Q88=$R88)*1+($Q88=$S88)*1+($R88=$S88)*1))*(6-(($T88=$U88)*1+($T88=$V88)*1+($T88=$W88)*1+($U88=$V88)*1+($U88=$W88)*1+($V88=$W88)*1))),"")</f>
        <v>0</v>
      </c>
      <c r="AI88" s="0" t="n">
        <f aca="false">MATCH(MAX($K88:$O88),$K88:$O88,0)</f>
        <v>4</v>
      </c>
      <c r="AJ88" s="0" t="n">
        <f aca="false">IF(AI88&lt;&gt;$E88,1,0)</f>
        <v>1</v>
      </c>
      <c r="AK88" s="0" t="n">
        <f aca="false">IF(AJ88=1,INDEX($F88:$J88,AI88)/MAX($P88:$S88),"")</f>
        <v>1</v>
      </c>
      <c r="AL88" s="0" t="n">
        <f aca="false">IF(AJ88=1,1+COUNTIF($P88:$S88,"&gt;"&amp;INDEX($F88:$J88,AI88)),"")</f>
        <v>1</v>
      </c>
      <c r="AM88" s="0" t="n">
        <f aca="false">AVERAGE($P88:$S88)/MAX($P88:$S88)</f>
        <v>0.814766839378238</v>
      </c>
      <c r="AN88" s="0" t="n">
        <f aca="false">100-INDEX($F88:$J88,$E88)</f>
        <v>62.9</v>
      </c>
    </row>
    <row r="89" customFormat="false" ht="15" hidden="false" customHeight="false" outlineLevel="0" collapsed="false">
      <c r="A89" s="0" t="s">
        <v>40</v>
      </c>
      <c r="B89" s="0" t="n">
        <v>2023</v>
      </c>
      <c r="C89" s="0" t="s">
        <v>46</v>
      </c>
      <c r="D89" s="0" t="s">
        <v>45</v>
      </c>
      <c r="E89" s="0" t="n">
        <v>1</v>
      </c>
      <c r="F89" s="0" t="n">
        <v>32.5</v>
      </c>
      <c r="G89" s="0" t="n">
        <v>17.9</v>
      </c>
      <c r="H89" s="0" t="n">
        <v>20.7</v>
      </c>
      <c r="I89" s="0" t="n">
        <v>16.4</v>
      </c>
      <c r="J89" s="0" t="n">
        <v>12.6</v>
      </c>
      <c r="K89" s="0" t="n">
        <v>60.303061075</v>
      </c>
      <c r="L89" s="0" t="n">
        <v>29.0820957318</v>
      </c>
      <c r="M89" s="0" t="n">
        <v>1.90879124668</v>
      </c>
      <c r="N89" s="0" t="n">
        <v>4.76560484942</v>
      </c>
      <c r="O89" s="0" t="n">
        <v>3.9404470971</v>
      </c>
      <c r="P89" s="0" t="n">
        <f aca="false">INDEX($F89:$J89,IF(1&lt;$E89,1,1+1))</f>
        <v>17.9</v>
      </c>
      <c r="Q89" s="0" t="n">
        <f aca="false">INDEX($F89:$J89,IF(2&lt;$E89,2,2+1))</f>
        <v>20.7</v>
      </c>
      <c r="R89" s="0" t="n">
        <f aca="false">INDEX($F89:$J89,IF(3&lt;$E89,3,3+1))</f>
        <v>16.4</v>
      </c>
      <c r="S89" s="0" t="n">
        <f aca="false">INDEX($F89:$J89,IF(4&lt;$E89,4,4+1))</f>
        <v>12.6</v>
      </c>
      <c r="T89" s="0" t="n">
        <f aca="false">INDEX($K89:$O89,IF(1&lt;$E89,1,1+1))</f>
        <v>29.0820957318</v>
      </c>
      <c r="U89" s="0" t="n">
        <f aca="false">INDEX($K89:$O89,IF(2&lt;$E89,2,2+1))</f>
        <v>1.90879124668</v>
      </c>
      <c r="V89" s="0" t="n">
        <f aca="false">INDEX($K89:$O89,IF(3&lt;$E89,3,3+1))</f>
        <v>4.76560484942</v>
      </c>
      <c r="W89" s="0" t="n">
        <f aca="false">INDEX($K89:$O89,IF(4&lt;$E89,4,4+1))</f>
        <v>3.9404470971</v>
      </c>
      <c r="X89" s="0" t="n">
        <f aca="false">1+COUNTIF($P89:$S89,"&gt;"&amp;$P89)+(COUNTIF($P89:$S89,$P89)-1)/2</f>
        <v>2</v>
      </c>
      <c r="Y89" s="0" t="n">
        <f aca="false">1+COUNTIF($P89:$S89,"&gt;"&amp;$Q89)+(COUNTIF($P89:$S89,$Q89)-1)/2</f>
        <v>1</v>
      </c>
      <c r="Z89" s="0" t="n">
        <f aca="false">1+COUNTIF($P89:$S89,"&gt;"&amp;$R89)+(COUNTIF($P89:$S89,$R89)-1)/2</f>
        <v>3</v>
      </c>
      <c r="AA89" s="0" t="n">
        <f aca="false">1+COUNTIF($P89:$S89,"&gt;"&amp;$S89)+(COUNTIF($P89:$S89,$S89)-1)/2</f>
        <v>4</v>
      </c>
      <c r="AB89" s="0" t="n">
        <f aca="false">1+COUNTIF($T89:$W89,"&gt;"&amp;$T89)+(COUNTIF($T89:$W89,$T89)-1)/2</f>
        <v>1</v>
      </c>
      <c r="AC89" s="0" t="n">
        <f aca="false">1+COUNTIF($T89:$W89,"&gt;"&amp;$U89)+(COUNTIF($T89:$W89,$U89)-1)/2</f>
        <v>4</v>
      </c>
      <c r="AD89" s="0" t="n">
        <f aca="false">1+COUNTIF($T89:$W89,"&gt;"&amp;$V89)+(COUNTIF($T89:$W89,$V89)-1)/2</f>
        <v>2</v>
      </c>
      <c r="AE89" s="0" t="n">
        <f aca="false">1+COUNTIF($T89:$W89,"&gt;"&amp;$W89)+(COUNTIF($T89:$W89,$W89)-1)/2</f>
        <v>3</v>
      </c>
      <c r="AF89" s="0" t="n">
        <f aca="false">IFERROR(CORREL($P89:$S89,$T89:$W89),"")</f>
        <v>0.13093649775613</v>
      </c>
      <c r="AG89" s="0" t="n">
        <f aca="false">IFERROR(CORREL($X89:$AA89,$AB89:$AE89),"")</f>
        <v>-0.2</v>
      </c>
      <c r="AH89" s="0" t="n">
        <f aca="false">IFERROR((SIGN($P89-$Q89)*SIGN($T89-$U89)+SIGN($P89-$R89)*SIGN($T89-$V89)+SIGN($P89-$S89)*SIGN($T89-$W89)+SIGN($Q89-$R89)*SIGN($U89-$V89)+SIGN($Q89-$S89)*SIGN($U89-$W89)+SIGN($R89-$S89)*SIGN($V89-$W89))/SQRT((6-(($P89=$Q89)*1+($P89=$R89)*1+($P89=$S89)*1+($Q89=$R89)*1+($Q89=$S89)*1+($R89=$S89)*1))*(6-(($T89=$U89)*1+($T89=$V89)*1+($T89=$W89)*1+($U89=$V89)*1+($U89=$W89)*1+($V89=$W89)*1))),"")</f>
        <v>0</v>
      </c>
      <c r="AI89" s="0" t="n">
        <f aca="false">MATCH(MAX($K89:$O89),$K89:$O89,0)</f>
        <v>1</v>
      </c>
      <c r="AJ89" s="0" t="n">
        <f aca="false">IF(AI89&lt;&gt;$E89,1,0)</f>
        <v>0</v>
      </c>
      <c r="AK89" s="0" t="str">
        <f aca="false">IF(AJ89=1,INDEX($F89:$J89,AI89)/MAX($P89:$S89),"")</f>
        <v/>
      </c>
      <c r="AL89" s="0" t="str">
        <f aca="false">IF(AJ89=1,1+COUNTIF($P89:$S89,"&gt;"&amp;INDEX($F89:$J89,AI89)),"")</f>
        <v/>
      </c>
      <c r="AM89" s="0" t="n">
        <f aca="false">AVERAGE($P89:$S89)/MAX($P89:$S89)</f>
        <v>0.816425120772947</v>
      </c>
      <c r="AN89" s="0" t="n">
        <f aca="false">100-INDEX($F89:$J89,$E89)</f>
        <v>67.5</v>
      </c>
    </row>
    <row r="90" customFormat="false" ht="15" hidden="false" customHeight="false" outlineLevel="0" collapsed="false">
      <c r="A90" s="0" t="s">
        <v>40</v>
      </c>
      <c r="B90" s="0" t="n">
        <v>2023</v>
      </c>
      <c r="C90" s="0" t="s">
        <v>47</v>
      </c>
      <c r="D90" s="0" t="s">
        <v>42</v>
      </c>
      <c r="E90" s="0" t="n">
        <v>2</v>
      </c>
      <c r="F90" s="0" t="n">
        <v>32.6</v>
      </c>
      <c r="G90" s="0" t="n">
        <v>39.2</v>
      </c>
      <c r="H90" s="0" t="n">
        <v>9.7</v>
      </c>
      <c r="I90" s="0" t="n">
        <v>11.1</v>
      </c>
      <c r="J90" s="0" t="n">
        <v>7.5</v>
      </c>
      <c r="K90" s="0" t="n">
        <v>97.7127070805</v>
      </c>
      <c r="L90" s="0" t="n">
        <v>0.299032518516</v>
      </c>
      <c r="M90" s="0" t="n">
        <v>0.484065535185</v>
      </c>
      <c r="N90" s="0" t="n">
        <v>0.0136143723692</v>
      </c>
      <c r="O90" s="0" t="n">
        <v>1.49058049347</v>
      </c>
      <c r="P90" s="0" t="n">
        <f aca="false">INDEX($F90:$J90,IF(1&lt;$E90,1,1+1))</f>
        <v>32.6</v>
      </c>
      <c r="Q90" s="0" t="n">
        <f aca="false">INDEX($F90:$J90,IF(2&lt;$E90,2,2+1))</f>
        <v>9.7</v>
      </c>
      <c r="R90" s="0" t="n">
        <f aca="false">INDEX($F90:$J90,IF(3&lt;$E90,3,3+1))</f>
        <v>11.1</v>
      </c>
      <c r="S90" s="0" t="n">
        <f aca="false">INDEX($F90:$J90,IF(4&lt;$E90,4,4+1))</f>
        <v>7.5</v>
      </c>
      <c r="T90" s="0" t="n">
        <f aca="false">INDEX($K90:$O90,IF(1&lt;$E90,1,1+1))</f>
        <v>97.7127070805</v>
      </c>
      <c r="U90" s="0" t="n">
        <f aca="false">INDEX($K90:$O90,IF(2&lt;$E90,2,2+1))</f>
        <v>0.484065535185</v>
      </c>
      <c r="V90" s="0" t="n">
        <f aca="false">INDEX($K90:$O90,IF(3&lt;$E90,3,3+1))</f>
        <v>0.0136143723692</v>
      </c>
      <c r="W90" s="0" t="n">
        <f aca="false">INDEX($K90:$O90,IF(4&lt;$E90,4,4+1))</f>
        <v>1.49058049347</v>
      </c>
      <c r="X90" s="0" t="n">
        <f aca="false">1+COUNTIF($P90:$S90,"&gt;"&amp;$P90)+(COUNTIF($P90:$S90,$P90)-1)/2</f>
        <v>1</v>
      </c>
      <c r="Y90" s="0" t="n">
        <f aca="false">1+COUNTIF($P90:$S90,"&gt;"&amp;$Q90)+(COUNTIF($P90:$S90,$Q90)-1)/2</f>
        <v>3</v>
      </c>
      <c r="Z90" s="0" t="n">
        <f aca="false">1+COUNTIF($P90:$S90,"&gt;"&amp;$R90)+(COUNTIF($P90:$S90,$R90)-1)/2</f>
        <v>2</v>
      </c>
      <c r="AA90" s="0" t="n">
        <f aca="false">1+COUNTIF($P90:$S90,"&gt;"&amp;$S90)+(COUNTIF($P90:$S90,$S90)-1)/2</f>
        <v>4</v>
      </c>
      <c r="AB90" s="0" t="n">
        <f aca="false">1+COUNTIF($T90:$W90,"&gt;"&amp;$T90)+(COUNTIF($T90:$W90,$T90)-1)/2</f>
        <v>1</v>
      </c>
      <c r="AC90" s="0" t="n">
        <f aca="false">1+COUNTIF($T90:$W90,"&gt;"&amp;$U90)+(COUNTIF($T90:$W90,$U90)-1)/2</f>
        <v>3</v>
      </c>
      <c r="AD90" s="0" t="n">
        <f aca="false">1+COUNTIF($T90:$W90,"&gt;"&amp;$V90)+(COUNTIF($T90:$W90,$V90)-1)/2</f>
        <v>4</v>
      </c>
      <c r="AE90" s="0" t="n">
        <f aca="false">1+COUNTIF($T90:$W90,"&gt;"&amp;$W90)+(COUNTIF($T90:$W90,$W90)-1)/2</f>
        <v>2</v>
      </c>
      <c r="AF90" s="0" t="n">
        <f aca="false">IFERROR(CORREL($P90:$S90,$T90:$W90),"")</f>
        <v>0.990231583010295</v>
      </c>
      <c r="AG90" s="0" t="n">
        <f aca="false">IFERROR(CORREL($X90:$AA90,$AB90:$AE90),"")</f>
        <v>0.2</v>
      </c>
      <c r="AH90" s="0" t="n">
        <f aca="false">IFERROR((SIGN($P90-$Q90)*SIGN($T90-$U90)+SIGN($P90-$R90)*SIGN($T90-$V90)+SIGN($P90-$S90)*SIGN($T90-$W90)+SIGN($Q90-$R90)*SIGN($U90-$V90)+SIGN($Q90-$S90)*SIGN($U90-$W90)+SIGN($R90-$S90)*SIGN($V90-$W90))/SQRT((6-(($P90=$Q90)*1+($P90=$R90)*1+($P90=$S90)*1+($Q90=$R90)*1+($Q90=$S90)*1+($R90=$S90)*1))*(6-(($T90=$U90)*1+($T90=$V90)*1+($T90=$W90)*1+($U90=$V90)*1+($U90=$W90)*1+($V90=$W90)*1))),"")</f>
        <v>0</v>
      </c>
      <c r="AI90" s="0" t="n">
        <f aca="false">MATCH(MAX($K90:$O90),$K90:$O90,0)</f>
        <v>1</v>
      </c>
      <c r="AJ90" s="0" t="n">
        <f aca="false">IF(AI90&lt;&gt;$E90,1,0)</f>
        <v>1</v>
      </c>
      <c r="AK90" s="0" t="n">
        <f aca="false">IF(AJ90=1,INDEX($F90:$J90,AI90)/MAX($P90:$S90),"")</f>
        <v>1</v>
      </c>
      <c r="AL90" s="0" t="n">
        <f aca="false">IF(AJ90=1,1+COUNTIF($P90:$S90,"&gt;"&amp;INDEX($F90:$J90,AI90)),"")</f>
        <v>1</v>
      </c>
      <c r="AM90" s="0" t="n">
        <f aca="false">AVERAGE($P90:$S90)/MAX($P90:$S90)</f>
        <v>0.467024539877301</v>
      </c>
      <c r="AN90" s="0" t="n">
        <f aca="false">100-INDEX($F90:$J90,$E90)</f>
        <v>60.8</v>
      </c>
    </row>
    <row r="91" customFormat="false" ht="15" hidden="false" customHeight="false" outlineLevel="0" collapsed="false">
      <c r="A91" s="0" t="s">
        <v>40</v>
      </c>
      <c r="B91" s="0" t="n">
        <v>2023</v>
      </c>
      <c r="C91" s="0" t="s">
        <v>47</v>
      </c>
      <c r="D91" s="0" t="s">
        <v>43</v>
      </c>
      <c r="E91" s="0" t="n">
        <v>2</v>
      </c>
      <c r="F91" s="0" t="n">
        <v>21.1</v>
      </c>
      <c r="G91" s="0" t="n">
        <v>55.1</v>
      </c>
      <c r="H91" s="0" t="n">
        <v>9.7</v>
      </c>
      <c r="I91" s="0" t="n">
        <v>9.8</v>
      </c>
      <c r="J91" s="0" t="n">
        <v>4.3</v>
      </c>
      <c r="K91" s="0" t="n">
        <v>12.0185126963</v>
      </c>
      <c r="L91" s="0" t="n">
        <v>74.1351827048</v>
      </c>
      <c r="M91" s="0" t="n">
        <v>4.34479005746</v>
      </c>
      <c r="N91" s="0" t="n">
        <v>4.07100915806</v>
      </c>
      <c r="O91" s="0" t="n">
        <v>5.43050538339</v>
      </c>
      <c r="P91" s="0" t="n">
        <f aca="false">INDEX($F91:$J91,IF(1&lt;$E91,1,1+1))</f>
        <v>21.1</v>
      </c>
      <c r="Q91" s="0" t="n">
        <f aca="false">INDEX($F91:$J91,IF(2&lt;$E91,2,2+1))</f>
        <v>9.7</v>
      </c>
      <c r="R91" s="0" t="n">
        <f aca="false">INDEX($F91:$J91,IF(3&lt;$E91,3,3+1))</f>
        <v>9.8</v>
      </c>
      <c r="S91" s="0" t="n">
        <f aca="false">INDEX($F91:$J91,IF(4&lt;$E91,4,4+1))</f>
        <v>4.3</v>
      </c>
      <c r="T91" s="0" t="n">
        <f aca="false">INDEX($K91:$O91,IF(1&lt;$E91,1,1+1))</f>
        <v>12.0185126963</v>
      </c>
      <c r="U91" s="0" t="n">
        <f aca="false">INDEX($K91:$O91,IF(2&lt;$E91,2,2+1))</f>
        <v>4.34479005746</v>
      </c>
      <c r="V91" s="0" t="n">
        <f aca="false">INDEX($K91:$O91,IF(3&lt;$E91,3,3+1))</f>
        <v>4.07100915806</v>
      </c>
      <c r="W91" s="0" t="n">
        <f aca="false">INDEX($K91:$O91,IF(4&lt;$E91,4,4+1))</f>
        <v>5.43050538339</v>
      </c>
      <c r="X91" s="0" t="n">
        <f aca="false">1+COUNTIF($P91:$S91,"&gt;"&amp;$P91)+(COUNTIF($P91:$S91,$P91)-1)/2</f>
        <v>1</v>
      </c>
      <c r="Y91" s="0" t="n">
        <f aca="false">1+COUNTIF($P91:$S91,"&gt;"&amp;$Q91)+(COUNTIF($P91:$S91,$Q91)-1)/2</f>
        <v>3</v>
      </c>
      <c r="Z91" s="0" t="n">
        <f aca="false">1+COUNTIF($P91:$S91,"&gt;"&amp;$R91)+(COUNTIF($P91:$S91,$R91)-1)/2</f>
        <v>2</v>
      </c>
      <c r="AA91" s="0" t="n">
        <f aca="false">1+COUNTIF($P91:$S91,"&gt;"&amp;$S91)+(COUNTIF($P91:$S91,$S91)-1)/2</f>
        <v>4</v>
      </c>
      <c r="AB91" s="0" t="n">
        <f aca="false">1+COUNTIF($T91:$W91,"&gt;"&amp;$T91)+(COUNTIF($T91:$W91,$T91)-1)/2</f>
        <v>1</v>
      </c>
      <c r="AC91" s="0" t="n">
        <f aca="false">1+COUNTIF($T91:$W91,"&gt;"&amp;$U91)+(COUNTIF($T91:$W91,$U91)-1)/2</f>
        <v>3</v>
      </c>
      <c r="AD91" s="0" t="n">
        <f aca="false">1+COUNTIF($T91:$W91,"&gt;"&amp;$V91)+(COUNTIF($T91:$W91,$V91)-1)/2</f>
        <v>4</v>
      </c>
      <c r="AE91" s="0" t="n">
        <f aca="false">1+COUNTIF($T91:$W91,"&gt;"&amp;$W91)+(COUNTIF($T91:$W91,$W91)-1)/2</f>
        <v>2</v>
      </c>
      <c r="AF91" s="0" t="n">
        <f aca="false">IFERROR(CORREL($P91:$S91,$T91:$W91),"")</f>
        <v>0.863981170667023</v>
      </c>
      <c r="AG91" s="0" t="n">
        <f aca="false">IFERROR(CORREL($X91:$AA91,$AB91:$AE91),"")</f>
        <v>0.2</v>
      </c>
      <c r="AH91" s="0" t="n">
        <f aca="false">IFERROR((SIGN($P91-$Q91)*SIGN($T91-$U91)+SIGN($P91-$R91)*SIGN($T91-$V91)+SIGN($P91-$S91)*SIGN($T91-$W91)+SIGN($Q91-$R91)*SIGN($U91-$V91)+SIGN($Q91-$S91)*SIGN($U91-$W91)+SIGN($R91-$S91)*SIGN($V91-$W91))/SQRT((6-(($P91=$Q91)*1+($P91=$R91)*1+($P91=$S91)*1+($Q91=$R91)*1+($Q91=$S91)*1+($R91=$S91)*1))*(6-(($T91=$U91)*1+($T91=$V91)*1+($T91=$W91)*1+($U91=$V91)*1+($U91=$W91)*1+($V91=$W91)*1))),"")</f>
        <v>0</v>
      </c>
      <c r="AI91" s="0" t="n">
        <f aca="false">MATCH(MAX($K91:$O91),$K91:$O91,0)</f>
        <v>2</v>
      </c>
      <c r="AJ91" s="0" t="n">
        <f aca="false">IF(AI91&lt;&gt;$E91,1,0)</f>
        <v>0</v>
      </c>
      <c r="AK91" s="0" t="str">
        <f aca="false">IF(AJ91=1,INDEX($F91:$J91,AI91)/MAX($P91:$S91),"")</f>
        <v/>
      </c>
      <c r="AL91" s="0" t="str">
        <f aca="false">IF(AJ91=1,1+COUNTIF($P91:$S91,"&gt;"&amp;INDEX($F91:$J91,AI91)),"")</f>
        <v/>
      </c>
      <c r="AM91" s="0" t="n">
        <f aca="false">AVERAGE($P91:$S91)/MAX($P91:$S91)</f>
        <v>0.531990521327014</v>
      </c>
      <c r="AN91" s="0" t="n">
        <f aca="false">100-INDEX($F91:$J91,$E91)</f>
        <v>44.9</v>
      </c>
    </row>
    <row r="92" customFormat="false" ht="15" hidden="false" customHeight="false" outlineLevel="0" collapsed="false">
      <c r="A92" s="0" t="s">
        <v>40</v>
      </c>
      <c r="B92" s="0" t="n">
        <v>2023</v>
      </c>
      <c r="C92" s="0" t="s">
        <v>47</v>
      </c>
      <c r="D92" s="0" t="s">
        <v>44</v>
      </c>
      <c r="E92" s="0" t="n">
        <v>1</v>
      </c>
      <c r="F92" s="0" t="n">
        <v>39.7</v>
      </c>
      <c r="G92" s="0" t="n">
        <v>26.3</v>
      </c>
      <c r="H92" s="0" t="n">
        <v>16.4</v>
      </c>
      <c r="I92" s="0" t="n">
        <v>10.6</v>
      </c>
      <c r="J92" s="0" t="n">
        <v>6.9</v>
      </c>
      <c r="K92" s="0" t="n">
        <v>66.4154961835</v>
      </c>
      <c r="L92" s="0" t="n">
        <v>2.49345814796</v>
      </c>
      <c r="M92" s="0" t="n">
        <v>12.6911243935</v>
      </c>
      <c r="N92" s="0" t="n">
        <v>11.1776731395</v>
      </c>
      <c r="O92" s="0" t="n">
        <v>7.22224813546</v>
      </c>
      <c r="P92" s="0" t="n">
        <f aca="false">INDEX($F92:$J92,IF(1&lt;$E92,1,1+1))</f>
        <v>26.3</v>
      </c>
      <c r="Q92" s="0" t="n">
        <f aca="false">INDEX($F92:$J92,IF(2&lt;$E92,2,2+1))</f>
        <v>16.4</v>
      </c>
      <c r="R92" s="0" t="n">
        <f aca="false">INDEX($F92:$J92,IF(3&lt;$E92,3,3+1))</f>
        <v>10.6</v>
      </c>
      <c r="S92" s="0" t="n">
        <f aca="false">INDEX($F92:$J92,IF(4&lt;$E92,4,4+1))</f>
        <v>6.9</v>
      </c>
      <c r="T92" s="0" t="n">
        <f aca="false">INDEX($K92:$O92,IF(1&lt;$E92,1,1+1))</f>
        <v>2.49345814796</v>
      </c>
      <c r="U92" s="0" t="n">
        <f aca="false">INDEX($K92:$O92,IF(2&lt;$E92,2,2+1))</f>
        <v>12.6911243935</v>
      </c>
      <c r="V92" s="0" t="n">
        <f aca="false">INDEX($K92:$O92,IF(3&lt;$E92,3,3+1))</f>
        <v>11.1776731395</v>
      </c>
      <c r="W92" s="0" t="n">
        <f aca="false">INDEX($K92:$O92,IF(4&lt;$E92,4,4+1))</f>
        <v>7.22224813546</v>
      </c>
      <c r="X92" s="0" t="n">
        <f aca="false">1+COUNTIF($P92:$S92,"&gt;"&amp;$P92)+(COUNTIF($P92:$S92,$P92)-1)/2</f>
        <v>1</v>
      </c>
      <c r="Y92" s="0" t="n">
        <f aca="false">1+COUNTIF($P92:$S92,"&gt;"&amp;$Q92)+(COUNTIF($P92:$S92,$Q92)-1)/2</f>
        <v>2</v>
      </c>
      <c r="Z92" s="0" t="n">
        <f aca="false">1+COUNTIF($P92:$S92,"&gt;"&amp;$R92)+(COUNTIF($P92:$S92,$R92)-1)/2</f>
        <v>3</v>
      </c>
      <c r="AA92" s="0" t="n">
        <f aca="false">1+COUNTIF($P92:$S92,"&gt;"&amp;$S92)+(COUNTIF($P92:$S92,$S92)-1)/2</f>
        <v>4</v>
      </c>
      <c r="AB92" s="0" t="n">
        <f aca="false">1+COUNTIF($T92:$W92,"&gt;"&amp;$T92)+(COUNTIF($T92:$W92,$T92)-1)/2</f>
        <v>4</v>
      </c>
      <c r="AC92" s="0" t="n">
        <f aca="false">1+COUNTIF($T92:$W92,"&gt;"&amp;$U92)+(COUNTIF($T92:$W92,$U92)-1)/2</f>
        <v>1</v>
      </c>
      <c r="AD92" s="0" t="n">
        <f aca="false">1+COUNTIF($T92:$W92,"&gt;"&amp;$V92)+(COUNTIF($T92:$W92,$V92)-1)/2</f>
        <v>2</v>
      </c>
      <c r="AE92" s="0" t="n">
        <f aca="false">1+COUNTIF($T92:$W92,"&gt;"&amp;$W92)+(COUNTIF($T92:$W92,$W92)-1)/2</f>
        <v>3</v>
      </c>
      <c r="AF92" s="0" t="n">
        <f aca="false">IFERROR(CORREL($P92:$S92,$T92:$W92),"")</f>
        <v>-0.547999300698778</v>
      </c>
      <c r="AG92" s="0" t="n">
        <f aca="false">IFERROR(CORREL($X92:$AA92,$AB92:$AE92),"")</f>
        <v>-0.2</v>
      </c>
      <c r="AH92" s="0" t="n">
        <f aca="false">IFERROR((SIGN($P92-$Q92)*SIGN($T92-$U92)+SIGN($P92-$R92)*SIGN($T92-$V92)+SIGN($P92-$S92)*SIGN($T92-$W92)+SIGN($Q92-$R92)*SIGN($U92-$V92)+SIGN($Q92-$S92)*SIGN($U92-$W92)+SIGN($R92-$S92)*SIGN($V92-$W92))/SQRT((6-(($P92=$Q92)*1+($P92=$R92)*1+($P92=$S92)*1+($Q92=$R92)*1+($Q92=$S92)*1+($R92=$S92)*1))*(6-(($T92=$U92)*1+($T92=$V92)*1+($T92=$W92)*1+($U92=$V92)*1+($U92=$W92)*1+($V92=$W92)*1))),"")</f>
        <v>0</v>
      </c>
      <c r="AI92" s="0" t="n">
        <f aca="false">MATCH(MAX($K92:$O92),$K92:$O92,0)</f>
        <v>1</v>
      </c>
      <c r="AJ92" s="0" t="n">
        <f aca="false">IF(AI92&lt;&gt;$E92,1,0)</f>
        <v>0</v>
      </c>
      <c r="AK92" s="0" t="str">
        <f aca="false">IF(AJ92=1,INDEX($F92:$J92,AI92)/MAX($P92:$S92),"")</f>
        <v/>
      </c>
      <c r="AL92" s="0" t="str">
        <f aca="false">IF(AJ92=1,1+COUNTIF($P92:$S92,"&gt;"&amp;INDEX($F92:$J92,AI92)),"")</f>
        <v/>
      </c>
      <c r="AM92" s="0" t="n">
        <f aca="false">AVERAGE($P92:$S92)/MAX($P92:$S92)</f>
        <v>0.572243346007605</v>
      </c>
      <c r="AN92" s="0" t="n">
        <f aca="false">100-INDEX($F92:$J92,$E92)</f>
        <v>60.3</v>
      </c>
    </row>
    <row r="93" customFormat="false" ht="15" hidden="false" customHeight="false" outlineLevel="0" collapsed="false">
      <c r="A93" s="0" t="s">
        <v>40</v>
      </c>
      <c r="B93" s="0" t="n">
        <v>2023</v>
      </c>
      <c r="C93" s="0" t="s">
        <v>47</v>
      </c>
      <c r="D93" s="0" t="s">
        <v>45</v>
      </c>
      <c r="E93" s="0" t="n">
        <v>5</v>
      </c>
      <c r="F93" s="0" t="n">
        <v>22</v>
      </c>
      <c r="G93" s="0" t="n">
        <v>26.6</v>
      </c>
      <c r="H93" s="0" t="n">
        <v>18.8</v>
      </c>
      <c r="I93" s="0" t="n">
        <v>15.6</v>
      </c>
      <c r="J93" s="0" t="n">
        <v>17</v>
      </c>
      <c r="K93" s="0" t="n">
        <v>8.11658395439</v>
      </c>
      <c r="L93" s="0" t="n">
        <v>21.3279391558</v>
      </c>
      <c r="M93" s="0" t="n">
        <v>33.5135512638</v>
      </c>
      <c r="N93" s="0" t="n">
        <v>19.1619524787</v>
      </c>
      <c r="O93" s="0" t="n">
        <v>17.8799731473</v>
      </c>
      <c r="P93" s="0" t="n">
        <f aca="false">INDEX($F93:$J93,IF(1&lt;$E93,1,1+1))</f>
        <v>22</v>
      </c>
      <c r="Q93" s="0" t="n">
        <f aca="false">INDEX($F93:$J93,IF(2&lt;$E93,2,2+1))</f>
        <v>26.6</v>
      </c>
      <c r="R93" s="0" t="n">
        <f aca="false">INDEX($F93:$J93,IF(3&lt;$E93,3,3+1))</f>
        <v>18.8</v>
      </c>
      <c r="S93" s="0" t="n">
        <f aca="false">INDEX($F93:$J93,IF(4&lt;$E93,4,4+1))</f>
        <v>15.6</v>
      </c>
      <c r="T93" s="0" t="n">
        <f aca="false">INDEX($K93:$O93,IF(1&lt;$E93,1,1+1))</f>
        <v>8.11658395439</v>
      </c>
      <c r="U93" s="0" t="n">
        <f aca="false">INDEX($K93:$O93,IF(2&lt;$E93,2,2+1))</f>
        <v>21.3279391558</v>
      </c>
      <c r="V93" s="0" t="n">
        <f aca="false">INDEX($K93:$O93,IF(3&lt;$E93,3,3+1))</f>
        <v>33.5135512638</v>
      </c>
      <c r="W93" s="0" t="n">
        <f aca="false">INDEX($K93:$O93,IF(4&lt;$E93,4,4+1))</f>
        <v>19.1619524787</v>
      </c>
      <c r="X93" s="0" t="n">
        <f aca="false">1+COUNTIF($P93:$S93,"&gt;"&amp;$P93)+(COUNTIF($P93:$S93,$P93)-1)/2</f>
        <v>2</v>
      </c>
      <c r="Y93" s="0" t="n">
        <f aca="false">1+COUNTIF($P93:$S93,"&gt;"&amp;$Q93)+(COUNTIF($P93:$S93,$Q93)-1)/2</f>
        <v>1</v>
      </c>
      <c r="Z93" s="0" t="n">
        <f aca="false">1+COUNTIF($P93:$S93,"&gt;"&amp;$R93)+(COUNTIF($P93:$S93,$R93)-1)/2</f>
        <v>3</v>
      </c>
      <c r="AA93" s="0" t="n">
        <f aca="false">1+COUNTIF($P93:$S93,"&gt;"&amp;$S93)+(COUNTIF($P93:$S93,$S93)-1)/2</f>
        <v>4</v>
      </c>
      <c r="AB93" s="0" t="n">
        <f aca="false">1+COUNTIF($T93:$W93,"&gt;"&amp;$T93)+(COUNTIF($T93:$W93,$T93)-1)/2</f>
        <v>4</v>
      </c>
      <c r="AC93" s="0" t="n">
        <f aca="false">1+COUNTIF($T93:$W93,"&gt;"&amp;$U93)+(COUNTIF($T93:$W93,$U93)-1)/2</f>
        <v>2</v>
      </c>
      <c r="AD93" s="0" t="n">
        <f aca="false">1+COUNTIF($T93:$W93,"&gt;"&amp;$V93)+(COUNTIF($T93:$W93,$V93)-1)/2</f>
        <v>1</v>
      </c>
      <c r="AE93" s="0" t="n">
        <f aca="false">1+COUNTIF($T93:$W93,"&gt;"&amp;$W93)+(COUNTIF($T93:$W93,$W93)-1)/2</f>
        <v>3</v>
      </c>
      <c r="AF93" s="0" t="n">
        <f aca="false">IFERROR(CORREL($P93:$S93,$T93:$W93),"")</f>
        <v>-0.198618420881389</v>
      </c>
      <c r="AG93" s="0" t="n">
        <f aca="false">IFERROR(CORREL($X93:$AA93,$AB93:$AE93),"")</f>
        <v>0</v>
      </c>
      <c r="AH93" s="0" t="n">
        <f aca="false">IFERROR((SIGN($P93-$Q93)*SIGN($T93-$U93)+SIGN($P93-$R93)*SIGN($T93-$V93)+SIGN($P93-$S93)*SIGN($T93-$W93)+SIGN($Q93-$R93)*SIGN($U93-$V93)+SIGN($Q93-$S93)*SIGN($U93-$W93)+SIGN($R93-$S93)*SIGN($V93-$W93))/SQRT((6-(($P93=$Q93)*1+($P93=$R93)*1+($P93=$S93)*1+($Q93=$R93)*1+($Q93=$S93)*1+($R93=$S93)*1))*(6-(($T93=$U93)*1+($T93=$V93)*1+($T93=$W93)*1+($U93=$V93)*1+($U93=$W93)*1+($V93=$W93)*1))),"")</f>
        <v>0</v>
      </c>
      <c r="AI93" s="0" t="n">
        <f aca="false">MATCH(MAX($K93:$O93),$K93:$O93,0)</f>
        <v>3</v>
      </c>
      <c r="AJ93" s="0" t="n">
        <f aca="false">IF(AI93&lt;&gt;$E93,1,0)</f>
        <v>1</v>
      </c>
      <c r="AK93" s="0" t="n">
        <f aca="false">IF(AJ93=1,INDEX($F93:$J93,AI93)/MAX($P93:$S93),"")</f>
        <v>0.706766917293233</v>
      </c>
      <c r="AL93" s="0" t="n">
        <f aca="false">IF(AJ93=1,1+COUNTIF($P93:$S93,"&gt;"&amp;INDEX($F93:$J93,AI93)),"")</f>
        <v>3</v>
      </c>
      <c r="AM93" s="0" t="n">
        <f aca="false">AVERAGE($P93:$S93)/MAX($P93:$S93)</f>
        <v>0.780075187969925</v>
      </c>
      <c r="AN93" s="0" t="n">
        <f aca="false">100-INDEX($F93:$J93,$E93)</f>
        <v>83</v>
      </c>
    </row>
    <row r="94" customFormat="false" ht="15" hidden="false" customHeight="false" outlineLevel="0" collapsed="false">
      <c r="A94" s="0" t="s">
        <v>40</v>
      </c>
      <c r="B94" s="0" t="n">
        <v>2022</v>
      </c>
      <c r="C94" s="0" t="s">
        <v>48</v>
      </c>
      <c r="D94" s="0" t="s">
        <v>42</v>
      </c>
      <c r="E94" s="0" t="n">
        <v>2</v>
      </c>
      <c r="F94" s="0" t="n">
        <v>14.8</v>
      </c>
      <c r="G94" s="0" t="n">
        <v>46.8</v>
      </c>
      <c r="H94" s="0" t="n">
        <v>15.8</v>
      </c>
      <c r="I94" s="0" t="n">
        <v>17.4</v>
      </c>
      <c r="J94" s="0" t="n">
        <v>5.2</v>
      </c>
      <c r="K94" s="0" t="n">
        <v>0.114077800284</v>
      </c>
      <c r="L94" s="0" t="n">
        <v>31.9709558683</v>
      </c>
      <c r="M94" s="0" t="n">
        <v>7.8249957766</v>
      </c>
      <c r="N94" s="0" t="n">
        <v>0.00259633088708</v>
      </c>
      <c r="O94" s="0" t="n">
        <v>60.0873742239</v>
      </c>
      <c r="P94" s="0" t="n">
        <f aca="false">INDEX($F94:$J94,IF(1&lt;$E94,1,1+1))</f>
        <v>14.8</v>
      </c>
      <c r="Q94" s="0" t="n">
        <f aca="false">INDEX($F94:$J94,IF(2&lt;$E94,2,2+1))</f>
        <v>15.8</v>
      </c>
      <c r="R94" s="0" t="n">
        <f aca="false">INDEX($F94:$J94,IF(3&lt;$E94,3,3+1))</f>
        <v>17.4</v>
      </c>
      <c r="S94" s="0" t="n">
        <f aca="false">INDEX($F94:$J94,IF(4&lt;$E94,4,4+1))</f>
        <v>5.2</v>
      </c>
      <c r="T94" s="0" t="n">
        <f aca="false">INDEX($K94:$O94,IF(1&lt;$E94,1,1+1))</f>
        <v>0.114077800284</v>
      </c>
      <c r="U94" s="0" t="n">
        <f aca="false">INDEX($K94:$O94,IF(2&lt;$E94,2,2+1))</f>
        <v>7.8249957766</v>
      </c>
      <c r="V94" s="0" t="n">
        <f aca="false">INDEX($K94:$O94,IF(3&lt;$E94,3,3+1))</f>
        <v>0.00259633088708</v>
      </c>
      <c r="W94" s="0" t="n">
        <f aca="false">INDEX($K94:$O94,IF(4&lt;$E94,4,4+1))</f>
        <v>60.0873742239</v>
      </c>
      <c r="X94" s="0" t="n">
        <f aca="false">1+COUNTIF($P94:$S94,"&gt;"&amp;$P94)+(COUNTIF($P94:$S94,$P94)-1)/2</f>
        <v>3</v>
      </c>
      <c r="Y94" s="0" t="n">
        <f aca="false">1+COUNTIF($P94:$S94,"&gt;"&amp;$Q94)+(COUNTIF($P94:$S94,$Q94)-1)/2</f>
        <v>2</v>
      </c>
      <c r="Z94" s="0" t="n">
        <f aca="false">1+COUNTIF($P94:$S94,"&gt;"&amp;$R94)+(COUNTIF($P94:$S94,$R94)-1)/2</f>
        <v>1</v>
      </c>
      <c r="AA94" s="0" t="n">
        <f aca="false">1+COUNTIF($P94:$S94,"&gt;"&amp;$S94)+(COUNTIF($P94:$S94,$S94)-1)/2</f>
        <v>4</v>
      </c>
      <c r="AB94" s="0" t="n">
        <f aca="false">1+COUNTIF($T94:$W94,"&gt;"&amp;$T94)+(COUNTIF($T94:$W94,$T94)-1)/2</f>
        <v>3</v>
      </c>
      <c r="AC94" s="0" t="n">
        <f aca="false">1+COUNTIF($T94:$W94,"&gt;"&amp;$U94)+(COUNTIF($T94:$W94,$U94)-1)/2</f>
        <v>2</v>
      </c>
      <c r="AD94" s="0" t="n">
        <f aca="false">1+COUNTIF($T94:$W94,"&gt;"&amp;$V94)+(COUNTIF($T94:$W94,$V94)-1)/2</f>
        <v>4</v>
      </c>
      <c r="AE94" s="0" t="n">
        <f aca="false">1+COUNTIF($T94:$W94,"&gt;"&amp;$W94)+(COUNTIF($T94:$W94,$W94)-1)/2</f>
        <v>1</v>
      </c>
      <c r="AF94" s="0" t="n">
        <f aca="false">IFERROR(CORREL($P94:$S94,$T94:$W94),"")</f>
        <v>-0.976575742272755</v>
      </c>
      <c r="AG94" s="0" t="n">
        <f aca="false">IFERROR(CORREL($X94:$AA94,$AB94:$AE94),"")</f>
        <v>-0.8</v>
      </c>
      <c r="AH94" s="0" t="n">
        <f aca="false">IFERROR((SIGN($P94-$Q94)*SIGN($T94-$U94)+SIGN($P94-$R94)*SIGN($T94-$V94)+SIGN($P94-$S94)*SIGN($T94-$W94)+SIGN($Q94-$R94)*SIGN($U94-$V94)+SIGN($Q94-$S94)*SIGN($U94-$W94)+SIGN($R94-$S94)*SIGN($V94-$W94))/SQRT((6-(($P94=$Q94)*1+($P94=$R94)*1+($P94=$S94)*1+($Q94=$R94)*1+($Q94=$S94)*1+($R94=$S94)*1))*(6-(($T94=$U94)*1+($T94=$V94)*1+($T94=$W94)*1+($U94=$V94)*1+($U94=$W94)*1+($V94=$W94)*1))),"")</f>
        <v>-0.666666666666667</v>
      </c>
      <c r="AI94" s="0" t="n">
        <f aca="false">MATCH(MAX($K94:$O94),$K94:$O94,0)</f>
        <v>5</v>
      </c>
      <c r="AJ94" s="0" t="n">
        <f aca="false">IF(AI94&lt;&gt;$E94,1,0)</f>
        <v>1</v>
      </c>
      <c r="AK94" s="0" t="n">
        <f aca="false">IF(AJ94=1,INDEX($F94:$J94,AI94)/MAX($P94:$S94),"")</f>
        <v>0.298850574712644</v>
      </c>
      <c r="AL94" s="0" t="n">
        <f aca="false">IF(AJ94=1,1+COUNTIF($P94:$S94,"&gt;"&amp;INDEX($F94:$J94,AI94)),"")</f>
        <v>4</v>
      </c>
      <c r="AM94" s="0" t="n">
        <f aca="false">AVERAGE($P94:$S94)/MAX($P94:$S94)</f>
        <v>0.764367816091954</v>
      </c>
      <c r="AN94" s="0" t="n">
        <f aca="false">100-INDEX($F94:$J94,$E94)</f>
        <v>53.2</v>
      </c>
    </row>
    <row r="95" customFormat="false" ht="15" hidden="false" customHeight="false" outlineLevel="0" collapsed="false">
      <c r="A95" s="0" t="s">
        <v>40</v>
      </c>
      <c r="B95" s="0" t="n">
        <v>2022</v>
      </c>
      <c r="C95" s="0" t="s">
        <v>48</v>
      </c>
      <c r="D95" s="0" t="s">
        <v>43</v>
      </c>
      <c r="E95" s="0" t="n">
        <v>5</v>
      </c>
      <c r="F95" s="0" t="n">
        <v>14.9</v>
      </c>
      <c r="G95" s="0" t="n">
        <v>25.5</v>
      </c>
      <c r="H95" s="0" t="n">
        <v>19.1</v>
      </c>
      <c r="I95" s="0" t="n">
        <v>20.4</v>
      </c>
      <c r="J95" s="0" t="n">
        <v>20.1</v>
      </c>
      <c r="K95" s="0" t="n">
        <v>39.0924214916</v>
      </c>
      <c r="L95" s="0" t="n">
        <v>15.6513700739</v>
      </c>
      <c r="M95" s="0" t="n">
        <v>3.65106422415</v>
      </c>
      <c r="N95" s="0" t="n">
        <v>2.49375035509</v>
      </c>
      <c r="O95" s="0" t="n">
        <v>39.1113938552</v>
      </c>
      <c r="P95" s="0" t="n">
        <f aca="false">INDEX($F95:$J95,IF(1&lt;$E95,1,1+1))</f>
        <v>14.9</v>
      </c>
      <c r="Q95" s="0" t="n">
        <f aca="false">INDEX($F95:$J95,IF(2&lt;$E95,2,2+1))</f>
        <v>25.5</v>
      </c>
      <c r="R95" s="0" t="n">
        <f aca="false">INDEX($F95:$J95,IF(3&lt;$E95,3,3+1))</f>
        <v>19.1</v>
      </c>
      <c r="S95" s="0" t="n">
        <f aca="false">INDEX($F95:$J95,IF(4&lt;$E95,4,4+1))</f>
        <v>20.4</v>
      </c>
      <c r="T95" s="0" t="n">
        <f aca="false">INDEX($K95:$O95,IF(1&lt;$E95,1,1+1))</f>
        <v>39.0924214916</v>
      </c>
      <c r="U95" s="0" t="n">
        <f aca="false">INDEX($K95:$O95,IF(2&lt;$E95,2,2+1))</f>
        <v>15.6513700739</v>
      </c>
      <c r="V95" s="0" t="n">
        <f aca="false">INDEX($K95:$O95,IF(3&lt;$E95,3,3+1))</f>
        <v>3.65106422415</v>
      </c>
      <c r="W95" s="0" t="n">
        <f aca="false">INDEX($K95:$O95,IF(4&lt;$E95,4,4+1))</f>
        <v>2.49375035509</v>
      </c>
      <c r="X95" s="0" t="n">
        <f aca="false">1+COUNTIF($P95:$S95,"&gt;"&amp;$P95)+(COUNTIF($P95:$S95,$P95)-1)/2</f>
        <v>4</v>
      </c>
      <c r="Y95" s="0" t="n">
        <f aca="false">1+COUNTIF($P95:$S95,"&gt;"&amp;$Q95)+(COUNTIF($P95:$S95,$Q95)-1)/2</f>
        <v>1</v>
      </c>
      <c r="Z95" s="0" t="n">
        <f aca="false">1+COUNTIF($P95:$S95,"&gt;"&amp;$R95)+(COUNTIF($P95:$S95,$R95)-1)/2</f>
        <v>3</v>
      </c>
      <c r="AA95" s="0" t="n">
        <f aca="false">1+COUNTIF($P95:$S95,"&gt;"&amp;$S95)+(COUNTIF($P95:$S95,$S95)-1)/2</f>
        <v>2</v>
      </c>
      <c r="AB95" s="0" t="n">
        <f aca="false">1+COUNTIF($T95:$W95,"&gt;"&amp;$T95)+(COUNTIF($T95:$W95,$T95)-1)/2</f>
        <v>1</v>
      </c>
      <c r="AC95" s="0" t="n">
        <f aca="false">1+COUNTIF($T95:$W95,"&gt;"&amp;$U95)+(COUNTIF($T95:$W95,$U95)-1)/2</f>
        <v>2</v>
      </c>
      <c r="AD95" s="0" t="n">
        <f aca="false">1+COUNTIF($T95:$W95,"&gt;"&amp;$V95)+(COUNTIF($T95:$W95,$V95)-1)/2</f>
        <v>3</v>
      </c>
      <c r="AE95" s="0" t="n">
        <f aca="false">1+COUNTIF($T95:$W95,"&gt;"&amp;$W95)+(COUNTIF($T95:$W95,$W95)-1)/2</f>
        <v>4</v>
      </c>
      <c r="AF95" s="0" t="n">
        <f aca="false">IFERROR(CORREL($P95:$S95,$T95:$W95),"")</f>
        <v>-0.512370642452696</v>
      </c>
      <c r="AG95" s="0" t="n">
        <f aca="false">IFERROR(CORREL($X95:$AA95,$AB95:$AE95),"")</f>
        <v>-0.4</v>
      </c>
      <c r="AH95" s="0" t="n">
        <f aca="false">IFERROR((SIGN($P95-$Q95)*SIGN($T95-$U95)+SIGN($P95-$R95)*SIGN($T95-$V95)+SIGN($P95-$S95)*SIGN($T95-$W95)+SIGN($Q95-$R95)*SIGN($U95-$V95)+SIGN($Q95-$S95)*SIGN($U95-$W95)+SIGN($R95-$S95)*SIGN($V95-$W95))/SQRT((6-(($P95=$Q95)*1+($P95=$R95)*1+($P95=$S95)*1+($Q95=$R95)*1+($Q95=$S95)*1+($R95=$S95)*1))*(6-(($T95=$U95)*1+($T95=$V95)*1+($T95=$W95)*1+($U95=$V95)*1+($U95=$W95)*1+($V95=$W95)*1))),"")</f>
        <v>-0.333333333333333</v>
      </c>
      <c r="AI95" s="0" t="n">
        <f aca="false">MATCH(MAX($K95:$O95),$K95:$O95,0)</f>
        <v>5</v>
      </c>
      <c r="AJ95" s="0" t="n">
        <f aca="false">IF(AI95&lt;&gt;$E95,1,0)</f>
        <v>0</v>
      </c>
      <c r="AK95" s="0" t="str">
        <f aca="false">IF(AJ95=1,INDEX($F95:$J95,AI95)/MAX($P95:$S95),"")</f>
        <v/>
      </c>
      <c r="AL95" s="0" t="str">
        <f aca="false">IF(AJ95=1,1+COUNTIF($P95:$S95,"&gt;"&amp;INDEX($F95:$J95,AI95)),"")</f>
        <v/>
      </c>
      <c r="AM95" s="0" t="n">
        <f aca="false">AVERAGE($P95:$S95)/MAX($P95:$S95)</f>
        <v>0.783333333333333</v>
      </c>
      <c r="AN95" s="0" t="n">
        <f aca="false">100-INDEX($F95:$J95,$E95)</f>
        <v>79.9</v>
      </c>
    </row>
    <row r="96" customFormat="false" ht="15" hidden="false" customHeight="false" outlineLevel="0" collapsed="false">
      <c r="A96" s="0" t="s">
        <v>40</v>
      </c>
      <c r="B96" s="0" t="n">
        <v>2022</v>
      </c>
      <c r="C96" s="0" t="s">
        <v>48</v>
      </c>
      <c r="D96" s="0" t="s">
        <v>44</v>
      </c>
      <c r="E96" s="0" t="n">
        <v>4</v>
      </c>
      <c r="F96" s="0" t="n">
        <v>17.5</v>
      </c>
      <c r="G96" s="0" t="n">
        <v>19.3</v>
      </c>
      <c r="H96" s="0" t="n">
        <v>24.1</v>
      </c>
      <c r="I96" s="0" t="n">
        <v>25.5</v>
      </c>
      <c r="J96" s="0" t="n">
        <v>13.6</v>
      </c>
      <c r="K96" s="0" t="n">
        <v>35.4119668935</v>
      </c>
      <c r="L96" s="0" t="n">
        <v>8.14810783018</v>
      </c>
      <c r="M96" s="0" t="n">
        <v>12.1069626954</v>
      </c>
      <c r="N96" s="0" t="n">
        <v>31.0660104034</v>
      </c>
      <c r="O96" s="0" t="n">
        <v>13.2669521775</v>
      </c>
      <c r="P96" s="0" t="n">
        <f aca="false">INDEX($F96:$J96,IF(1&lt;$E96,1,1+1))</f>
        <v>17.5</v>
      </c>
      <c r="Q96" s="0" t="n">
        <f aca="false">INDEX($F96:$J96,IF(2&lt;$E96,2,2+1))</f>
        <v>19.3</v>
      </c>
      <c r="R96" s="0" t="n">
        <f aca="false">INDEX($F96:$J96,IF(3&lt;$E96,3,3+1))</f>
        <v>24.1</v>
      </c>
      <c r="S96" s="0" t="n">
        <f aca="false">INDEX($F96:$J96,IF(4&lt;$E96,4,4+1))</f>
        <v>13.6</v>
      </c>
      <c r="T96" s="0" t="n">
        <f aca="false">INDEX($K96:$O96,IF(1&lt;$E96,1,1+1))</f>
        <v>35.4119668935</v>
      </c>
      <c r="U96" s="0" t="n">
        <f aca="false">INDEX($K96:$O96,IF(2&lt;$E96,2,2+1))</f>
        <v>8.14810783018</v>
      </c>
      <c r="V96" s="0" t="n">
        <f aca="false">INDEX($K96:$O96,IF(3&lt;$E96,3,3+1))</f>
        <v>12.1069626954</v>
      </c>
      <c r="W96" s="0" t="n">
        <f aca="false">INDEX($K96:$O96,IF(4&lt;$E96,4,4+1))</f>
        <v>13.2669521775</v>
      </c>
      <c r="X96" s="0" t="n">
        <f aca="false">1+COUNTIF($P96:$S96,"&gt;"&amp;$P96)+(COUNTIF($P96:$S96,$P96)-1)/2</f>
        <v>3</v>
      </c>
      <c r="Y96" s="0" t="n">
        <f aca="false">1+COUNTIF($P96:$S96,"&gt;"&amp;$Q96)+(COUNTIF($P96:$S96,$Q96)-1)/2</f>
        <v>2</v>
      </c>
      <c r="Z96" s="0" t="n">
        <f aca="false">1+COUNTIF($P96:$S96,"&gt;"&amp;$R96)+(COUNTIF($P96:$S96,$R96)-1)/2</f>
        <v>1</v>
      </c>
      <c r="AA96" s="0" t="n">
        <f aca="false">1+COUNTIF($P96:$S96,"&gt;"&amp;$S96)+(COUNTIF($P96:$S96,$S96)-1)/2</f>
        <v>4</v>
      </c>
      <c r="AB96" s="0" t="n">
        <f aca="false">1+COUNTIF($T96:$W96,"&gt;"&amp;$T96)+(COUNTIF($T96:$W96,$T96)-1)/2</f>
        <v>1</v>
      </c>
      <c r="AC96" s="0" t="n">
        <f aca="false">1+COUNTIF($T96:$W96,"&gt;"&amp;$U96)+(COUNTIF($T96:$W96,$U96)-1)/2</f>
        <v>4</v>
      </c>
      <c r="AD96" s="0" t="n">
        <f aca="false">1+COUNTIF($T96:$W96,"&gt;"&amp;$V96)+(COUNTIF($T96:$W96,$V96)-1)/2</f>
        <v>3</v>
      </c>
      <c r="AE96" s="0" t="n">
        <f aca="false">1+COUNTIF($T96:$W96,"&gt;"&amp;$W96)+(COUNTIF($T96:$W96,$W96)-1)/2</f>
        <v>2</v>
      </c>
      <c r="AF96" s="0" t="n">
        <f aca="false">IFERROR(CORREL($P96:$S96,$T96:$W96),"")</f>
        <v>-0.215685223724968</v>
      </c>
      <c r="AG96" s="0" t="n">
        <f aca="false">IFERROR(CORREL($X96:$AA96,$AB96:$AE96),"")</f>
        <v>-0.6</v>
      </c>
      <c r="AH96" s="0" t="n">
        <f aca="false">IFERROR((SIGN($P96-$Q96)*SIGN($T96-$U96)+SIGN($P96-$R96)*SIGN($T96-$V96)+SIGN($P96-$S96)*SIGN($T96-$W96)+SIGN($Q96-$R96)*SIGN($U96-$V96)+SIGN($Q96-$S96)*SIGN($U96-$W96)+SIGN($R96-$S96)*SIGN($V96-$W96))/SQRT((6-(($P96=$Q96)*1+($P96=$R96)*1+($P96=$S96)*1+($Q96=$R96)*1+($Q96=$S96)*1+($R96=$S96)*1))*(6-(($T96=$U96)*1+($T96=$V96)*1+($T96=$W96)*1+($U96=$V96)*1+($U96=$W96)*1+($V96=$W96)*1))),"")</f>
        <v>-0.333333333333333</v>
      </c>
      <c r="AI96" s="0" t="n">
        <f aca="false">MATCH(MAX($K96:$O96),$K96:$O96,0)</f>
        <v>1</v>
      </c>
      <c r="AJ96" s="0" t="n">
        <f aca="false">IF(AI96&lt;&gt;$E96,1,0)</f>
        <v>1</v>
      </c>
      <c r="AK96" s="0" t="n">
        <f aca="false">IF(AJ96=1,INDEX($F96:$J96,AI96)/MAX($P96:$S96),"")</f>
        <v>0.726141078838174</v>
      </c>
      <c r="AL96" s="0" t="n">
        <f aca="false">IF(AJ96=1,1+COUNTIF($P96:$S96,"&gt;"&amp;INDEX($F96:$J96,AI96)),"")</f>
        <v>3</v>
      </c>
      <c r="AM96" s="0" t="n">
        <f aca="false">AVERAGE($P96:$S96)/MAX($P96:$S96)</f>
        <v>0.772821576763485</v>
      </c>
      <c r="AN96" s="0" t="n">
        <f aca="false">100-INDEX($F96:$J96,$E96)</f>
        <v>74.5</v>
      </c>
    </row>
    <row r="97" customFormat="false" ht="15" hidden="false" customHeight="false" outlineLevel="0" collapsed="false">
      <c r="A97" s="0" t="s">
        <v>40</v>
      </c>
      <c r="B97" s="0" t="n">
        <v>2022</v>
      </c>
      <c r="C97" s="0" t="s">
        <v>48</v>
      </c>
      <c r="D97" s="0" t="s">
        <v>45</v>
      </c>
      <c r="E97" s="0" t="n">
        <v>1</v>
      </c>
      <c r="F97" s="0" t="n">
        <v>33.8</v>
      </c>
      <c r="G97" s="0" t="n">
        <v>22.4</v>
      </c>
      <c r="H97" s="0" t="n">
        <v>16.9</v>
      </c>
      <c r="I97" s="0" t="n">
        <v>16</v>
      </c>
      <c r="J97" s="0" t="n">
        <v>10.8</v>
      </c>
      <c r="K97" s="0" t="n">
        <v>11.2217955673</v>
      </c>
      <c r="L97" s="0" t="n">
        <v>17.0137780144</v>
      </c>
      <c r="M97" s="0" t="n">
        <v>5.19142870959</v>
      </c>
      <c r="N97" s="0" t="n">
        <v>58.0342077952</v>
      </c>
      <c r="O97" s="0" t="n">
        <v>8.53878991351</v>
      </c>
      <c r="P97" s="0" t="n">
        <f aca="false">INDEX($F97:$J97,IF(1&lt;$E97,1,1+1))</f>
        <v>22.4</v>
      </c>
      <c r="Q97" s="0" t="n">
        <f aca="false">INDEX($F97:$J97,IF(2&lt;$E97,2,2+1))</f>
        <v>16.9</v>
      </c>
      <c r="R97" s="0" t="n">
        <f aca="false">INDEX($F97:$J97,IF(3&lt;$E97,3,3+1))</f>
        <v>16</v>
      </c>
      <c r="S97" s="0" t="n">
        <f aca="false">INDEX($F97:$J97,IF(4&lt;$E97,4,4+1))</f>
        <v>10.8</v>
      </c>
      <c r="T97" s="0" t="n">
        <f aca="false">INDEX($K97:$O97,IF(1&lt;$E97,1,1+1))</f>
        <v>17.0137780144</v>
      </c>
      <c r="U97" s="0" t="n">
        <f aca="false">INDEX($K97:$O97,IF(2&lt;$E97,2,2+1))</f>
        <v>5.19142870959</v>
      </c>
      <c r="V97" s="0" t="n">
        <f aca="false">INDEX($K97:$O97,IF(3&lt;$E97,3,3+1))</f>
        <v>58.0342077952</v>
      </c>
      <c r="W97" s="0" t="n">
        <f aca="false">INDEX($K97:$O97,IF(4&lt;$E97,4,4+1))</f>
        <v>8.53878991351</v>
      </c>
      <c r="X97" s="0" t="n">
        <f aca="false">1+COUNTIF($P97:$S97,"&gt;"&amp;$P97)+(COUNTIF($P97:$S97,$P97)-1)/2</f>
        <v>1</v>
      </c>
      <c r="Y97" s="0" t="n">
        <f aca="false">1+COUNTIF($P97:$S97,"&gt;"&amp;$Q97)+(COUNTIF($P97:$S97,$Q97)-1)/2</f>
        <v>2</v>
      </c>
      <c r="Z97" s="0" t="n">
        <f aca="false">1+COUNTIF($P97:$S97,"&gt;"&amp;$R97)+(COUNTIF($P97:$S97,$R97)-1)/2</f>
        <v>3</v>
      </c>
      <c r="AA97" s="0" t="n">
        <f aca="false">1+COUNTIF($P97:$S97,"&gt;"&amp;$S97)+(COUNTIF($P97:$S97,$S97)-1)/2</f>
        <v>4</v>
      </c>
      <c r="AB97" s="0" t="n">
        <f aca="false">1+COUNTIF($T97:$W97,"&gt;"&amp;$T97)+(COUNTIF($T97:$W97,$T97)-1)/2</f>
        <v>2</v>
      </c>
      <c r="AC97" s="0" t="n">
        <f aca="false">1+COUNTIF($T97:$W97,"&gt;"&amp;$U97)+(COUNTIF($T97:$W97,$U97)-1)/2</f>
        <v>4</v>
      </c>
      <c r="AD97" s="0" t="n">
        <f aca="false">1+COUNTIF($T97:$W97,"&gt;"&amp;$V97)+(COUNTIF($T97:$W97,$V97)-1)/2</f>
        <v>1</v>
      </c>
      <c r="AE97" s="0" t="n">
        <f aca="false">1+COUNTIF($T97:$W97,"&gt;"&amp;$W97)+(COUNTIF($T97:$W97,$W97)-1)/2</f>
        <v>3</v>
      </c>
      <c r="AF97" s="0" t="n">
        <f aca="false">IFERROR(CORREL($P97:$S97,$T97:$W97),"")</f>
        <v>0.0648307419212608</v>
      </c>
      <c r="AG97" s="0" t="n">
        <f aca="false">IFERROR(CORREL($X97:$AA97,$AB97:$AE97),"")</f>
        <v>0</v>
      </c>
      <c r="AH97" s="0" t="n">
        <f aca="false">IFERROR((SIGN($P97-$Q97)*SIGN($T97-$U97)+SIGN($P97-$R97)*SIGN($T97-$V97)+SIGN($P97-$S97)*SIGN($T97-$W97)+SIGN($Q97-$R97)*SIGN($U97-$V97)+SIGN($Q97-$S97)*SIGN($U97-$W97)+SIGN($R97-$S97)*SIGN($V97-$W97))/SQRT((6-(($P97=$Q97)*1+($P97=$R97)*1+($P97=$S97)*1+($Q97=$R97)*1+($Q97=$S97)*1+($R97=$S97)*1))*(6-(($T97=$U97)*1+($T97=$V97)*1+($T97=$W97)*1+($U97=$V97)*1+($U97=$W97)*1+($V97=$W97)*1))),"")</f>
        <v>0</v>
      </c>
      <c r="AI97" s="0" t="n">
        <f aca="false">MATCH(MAX($K97:$O97),$K97:$O97,0)</f>
        <v>4</v>
      </c>
      <c r="AJ97" s="0" t="n">
        <f aca="false">IF(AI97&lt;&gt;$E97,1,0)</f>
        <v>1</v>
      </c>
      <c r="AK97" s="0" t="n">
        <f aca="false">IF(AJ97=1,INDEX($F97:$J97,AI97)/MAX($P97:$S97),"")</f>
        <v>0.714285714285714</v>
      </c>
      <c r="AL97" s="0" t="n">
        <f aca="false">IF(AJ97=1,1+COUNTIF($P97:$S97,"&gt;"&amp;INDEX($F97:$J97,AI97)),"")</f>
        <v>3</v>
      </c>
      <c r="AM97" s="0" t="n">
        <f aca="false">AVERAGE($P97:$S97)/MAX($P97:$S97)</f>
        <v>0.737723214285714</v>
      </c>
      <c r="AN97" s="0" t="n">
        <f aca="false">100-INDEX($F97:$J97,$E97)</f>
        <v>66.2</v>
      </c>
    </row>
    <row r="98" customFormat="false" ht="15" hidden="false" customHeight="false" outlineLevel="0" collapsed="false">
      <c r="A98" s="0" t="s">
        <v>40</v>
      </c>
      <c r="B98" s="0" t="n">
        <v>2022</v>
      </c>
      <c r="C98" s="0" t="s">
        <v>49</v>
      </c>
      <c r="D98" s="0" t="s">
        <v>42</v>
      </c>
      <c r="E98" s="0" t="n">
        <v>2</v>
      </c>
      <c r="F98" s="0" t="n">
        <v>10.9</v>
      </c>
      <c r="G98" s="0" t="n">
        <v>55.7</v>
      </c>
      <c r="H98" s="0" t="n">
        <v>8</v>
      </c>
      <c r="I98" s="0" t="n">
        <v>11.8</v>
      </c>
      <c r="J98" s="0" t="n">
        <v>13.6</v>
      </c>
      <c r="K98" s="0" t="n">
        <v>9.72960730572</v>
      </c>
      <c r="L98" s="0" t="n">
        <v>6.82382939571</v>
      </c>
      <c r="M98" s="0" t="n">
        <v>38.9292211987</v>
      </c>
      <c r="N98" s="0" t="n">
        <v>21.7943395158</v>
      </c>
      <c r="O98" s="0" t="n">
        <v>22.7230025841</v>
      </c>
      <c r="P98" s="0" t="n">
        <f aca="false">INDEX($F98:$J98,IF(1&lt;$E98,1,1+1))</f>
        <v>10.9</v>
      </c>
      <c r="Q98" s="0" t="n">
        <f aca="false">INDEX($F98:$J98,IF(2&lt;$E98,2,2+1))</f>
        <v>8</v>
      </c>
      <c r="R98" s="0" t="n">
        <f aca="false">INDEX($F98:$J98,IF(3&lt;$E98,3,3+1))</f>
        <v>11.8</v>
      </c>
      <c r="S98" s="0" t="n">
        <f aca="false">INDEX($F98:$J98,IF(4&lt;$E98,4,4+1))</f>
        <v>13.6</v>
      </c>
      <c r="T98" s="0" t="n">
        <f aca="false">INDEX($K98:$O98,IF(1&lt;$E98,1,1+1))</f>
        <v>9.72960730572</v>
      </c>
      <c r="U98" s="0" t="n">
        <f aca="false">INDEX($K98:$O98,IF(2&lt;$E98,2,2+1))</f>
        <v>38.9292211987</v>
      </c>
      <c r="V98" s="0" t="n">
        <f aca="false">INDEX($K98:$O98,IF(3&lt;$E98,3,3+1))</f>
        <v>21.7943395158</v>
      </c>
      <c r="W98" s="0" t="n">
        <f aca="false">INDEX($K98:$O98,IF(4&lt;$E98,4,4+1))</f>
        <v>22.7230025841</v>
      </c>
      <c r="X98" s="0" t="n">
        <f aca="false">1+COUNTIF($P98:$S98,"&gt;"&amp;$P98)+(COUNTIF($P98:$S98,$P98)-1)/2</f>
        <v>3</v>
      </c>
      <c r="Y98" s="0" t="n">
        <f aca="false">1+COUNTIF($P98:$S98,"&gt;"&amp;$Q98)+(COUNTIF($P98:$S98,$Q98)-1)/2</f>
        <v>4</v>
      </c>
      <c r="Z98" s="0" t="n">
        <f aca="false">1+COUNTIF($P98:$S98,"&gt;"&amp;$R98)+(COUNTIF($P98:$S98,$R98)-1)/2</f>
        <v>2</v>
      </c>
      <c r="AA98" s="0" t="n">
        <f aca="false">1+COUNTIF($P98:$S98,"&gt;"&amp;$S98)+(COUNTIF($P98:$S98,$S98)-1)/2</f>
        <v>1</v>
      </c>
      <c r="AB98" s="0" t="n">
        <f aca="false">1+COUNTIF($T98:$W98,"&gt;"&amp;$T98)+(COUNTIF($T98:$W98,$T98)-1)/2</f>
        <v>4</v>
      </c>
      <c r="AC98" s="0" t="n">
        <f aca="false">1+COUNTIF($T98:$W98,"&gt;"&amp;$U98)+(COUNTIF($T98:$W98,$U98)-1)/2</f>
        <v>1</v>
      </c>
      <c r="AD98" s="0" t="n">
        <f aca="false">1+COUNTIF($T98:$W98,"&gt;"&amp;$V98)+(COUNTIF($T98:$W98,$V98)-1)/2</f>
        <v>3</v>
      </c>
      <c r="AE98" s="0" t="n">
        <f aca="false">1+COUNTIF($T98:$W98,"&gt;"&amp;$W98)+(COUNTIF($T98:$W98,$W98)-1)/2</f>
        <v>2</v>
      </c>
      <c r="AF98" s="0" t="n">
        <f aca="false">IFERROR(CORREL($P98:$S98,$T98:$W98),"")</f>
        <v>-0.57390532901568</v>
      </c>
      <c r="AG98" s="0" t="n">
        <f aca="false">IFERROR(CORREL($X98:$AA98,$AB98:$AE98),"")</f>
        <v>-0.2</v>
      </c>
      <c r="AH98" s="0" t="n">
        <f aca="false">IFERROR((SIGN($P98-$Q98)*SIGN($T98-$U98)+SIGN($P98-$R98)*SIGN($T98-$V98)+SIGN($P98-$S98)*SIGN($T98-$W98)+SIGN($Q98-$R98)*SIGN($U98-$V98)+SIGN($Q98-$S98)*SIGN($U98-$W98)+SIGN($R98-$S98)*SIGN($V98-$W98))/SQRT((6-(($P98=$Q98)*1+($P98=$R98)*1+($P98=$S98)*1+($Q98=$R98)*1+($Q98=$S98)*1+($R98=$S98)*1))*(6-(($T98=$U98)*1+($T98=$V98)*1+($T98=$W98)*1+($U98=$V98)*1+($U98=$W98)*1+($V98=$W98)*1))),"")</f>
        <v>0</v>
      </c>
      <c r="AI98" s="0" t="n">
        <f aca="false">MATCH(MAX($K98:$O98),$K98:$O98,0)</f>
        <v>3</v>
      </c>
      <c r="AJ98" s="0" t="n">
        <f aca="false">IF(AI98&lt;&gt;$E98,1,0)</f>
        <v>1</v>
      </c>
      <c r="AK98" s="0" t="n">
        <f aca="false">IF(AJ98=1,INDEX($F98:$J98,AI98)/MAX($P98:$S98),"")</f>
        <v>0.588235294117647</v>
      </c>
      <c r="AL98" s="0" t="n">
        <f aca="false">IF(AJ98=1,1+COUNTIF($P98:$S98,"&gt;"&amp;INDEX($F98:$J98,AI98)),"")</f>
        <v>4</v>
      </c>
      <c r="AM98" s="0" t="n">
        <f aca="false">AVERAGE($P98:$S98)/MAX($P98:$S98)</f>
        <v>0.814338235294118</v>
      </c>
      <c r="AN98" s="0" t="n">
        <f aca="false">100-INDEX($F98:$J98,$E98)</f>
        <v>44.3</v>
      </c>
    </row>
    <row r="99" customFormat="false" ht="15" hidden="false" customHeight="false" outlineLevel="0" collapsed="false">
      <c r="A99" s="0" t="s">
        <v>40</v>
      </c>
      <c r="B99" s="0" t="n">
        <v>2022</v>
      </c>
      <c r="C99" s="0" t="s">
        <v>49</v>
      </c>
      <c r="D99" s="0" t="s">
        <v>43</v>
      </c>
      <c r="E99" s="0" t="n">
        <v>4</v>
      </c>
      <c r="F99" s="0" t="n">
        <v>13.2</v>
      </c>
      <c r="G99" s="0" t="n">
        <v>18.8</v>
      </c>
      <c r="H99" s="0" t="n">
        <v>10.7</v>
      </c>
      <c r="I99" s="0" t="n">
        <v>52.2</v>
      </c>
      <c r="J99" s="0" t="n">
        <v>5</v>
      </c>
      <c r="K99" s="0" t="n">
        <v>5.04540108204</v>
      </c>
      <c r="L99" s="0" t="n">
        <v>12.4715507508</v>
      </c>
      <c r="M99" s="0" t="n">
        <v>4.63242930731</v>
      </c>
      <c r="N99" s="0" t="n">
        <v>72.1220730393</v>
      </c>
      <c r="O99" s="0" t="n">
        <v>5.72854582058</v>
      </c>
      <c r="P99" s="0" t="n">
        <f aca="false">INDEX($F99:$J99,IF(1&lt;$E99,1,1+1))</f>
        <v>13.2</v>
      </c>
      <c r="Q99" s="0" t="n">
        <f aca="false">INDEX($F99:$J99,IF(2&lt;$E99,2,2+1))</f>
        <v>18.8</v>
      </c>
      <c r="R99" s="0" t="n">
        <f aca="false">INDEX($F99:$J99,IF(3&lt;$E99,3,3+1))</f>
        <v>10.7</v>
      </c>
      <c r="S99" s="0" t="n">
        <f aca="false">INDEX($F99:$J99,IF(4&lt;$E99,4,4+1))</f>
        <v>5</v>
      </c>
      <c r="T99" s="0" t="n">
        <f aca="false">INDEX($K99:$O99,IF(1&lt;$E99,1,1+1))</f>
        <v>5.04540108204</v>
      </c>
      <c r="U99" s="0" t="n">
        <f aca="false">INDEX($K99:$O99,IF(2&lt;$E99,2,2+1))</f>
        <v>12.4715507508</v>
      </c>
      <c r="V99" s="0" t="n">
        <f aca="false">INDEX($K99:$O99,IF(3&lt;$E99,3,3+1))</f>
        <v>4.63242930731</v>
      </c>
      <c r="W99" s="0" t="n">
        <f aca="false">INDEX($K99:$O99,IF(4&lt;$E99,4,4+1))</f>
        <v>5.72854582058</v>
      </c>
      <c r="X99" s="0" t="n">
        <f aca="false">1+COUNTIF($P99:$S99,"&gt;"&amp;$P99)+(COUNTIF($P99:$S99,$P99)-1)/2</f>
        <v>2</v>
      </c>
      <c r="Y99" s="0" t="n">
        <f aca="false">1+COUNTIF($P99:$S99,"&gt;"&amp;$Q99)+(COUNTIF($P99:$S99,$Q99)-1)/2</f>
        <v>1</v>
      </c>
      <c r="Z99" s="0" t="n">
        <f aca="false">1+COUNTIF($P99:$S99,"&gt;"&amp;$R99)+(COUNTIF($P99:$S99,$R99)-1)/2</f>
        <v>3</v>
      </c>
      <c r="AA99" s="0" t="n">
        <f aca="false">1+COUNTIF($P99:$S99,"&gt;"&amp;$S99)+(COUNTIF($P99:$S99,$S99)-1)/2</f>
        <v>4</v>
      </c>
      <c r="AB99" s="0" t="n">
        <f aca="false">1+COUNTIF($T99:$W99,"&gt;"&amp;$T99)+(COUNTIF($T99:$W99,$T99)-1)/2</f>
        <v>3</v>
      </c>
      <c r="AC99" s="0" t="n">
        <f aca="false">1+COUNTIF($T99:$W99,"&gt;"&amp;$U99)+(COUNTIF($T99:$W99,$U99)-1)/2</f>
        <v>1</v>
      </c>
      <c r="AD99" s="0" t="n">
        <f aca="false">1+COUNTIF($T99:$W99,"&gt;"&amp;$V99)+(COUNTIF($T99:$W99,$V99)-1)/2</f>
        <v>4</v>
      </c>
      <c r="AE99" s="0" t="n">
        <f aca="false">1+COUNTIF($T99:$W99,"&gt;"&amp;$W99)+(COUNTIF($T99:$W99,$W99)-1)/2</f>
        <v>2</v>
      </c>
      <c r="AF99" s="0" t="n">
        <f aca="false">IFERROR(CORREL($P99:$S99,$T99:$W99),"")</f>
        <v>0.73768951325013</v>
      </c>
      <c r="AG99" s="0" t="n">
        <f aca="false">IFERROR(CORREL($X99:$AA99,$AB99:$AE99),"")</f>
        <v>0.4</v>
      </c>
      <c r="AH99" s="0" t="n">
        <f aca="false">IFERROR((SIGN($P99-$Q99)*SIGN($T99-$U99)+SIGN($P99-$R99)*SIGN($T99-$V99)+SIGN($P99-$S99)*SIGN($T99-$W99)+SIGN($Q99-$R99)*SIGN($U99-$V99)+SIGN($Q99-$S99)*SIGN($U99-$W99)+SIGN($R99-$S99)*SIGN($V99-$W99))/SQRT((6-(($P99=$Q99)*1+($P99=$R99)*1+($P99=$S99)*1+($Q99=$R99)*1+($Q99=$S99)*1+($R99=$S99)*1))*(6-(($T99=$U99)*1+($T99=$V99)*1+($T99=$W99)*1+($U99=$V99)*1+($U99=$W99)*1+($V99=$W99)*1))),"")</f>
        <v>0.333333333333333</v>
      </c>
      <c r="AI99" s="0" t="n">
        <f aca="false">MATCH(MAX($K99:$O99),$K99:$O99,0)</f>
        <v>4</v>
      </c>
      <c r="AJ99" s="0" t="n">
        <f aca="false">IF(AI99&lt;&gt;$E99,1,0)</f>
        <v>0</v>
      </c>
      <c r="AK99" s="0" t="str">
        <f aca="false">IF(AJ99=1,INDEX($F99:$J99,AI99)/MAX($P99:$S99),"")</f>
        <v/>
      </c>
      <c r="AL99" s="0" t="str">
        <f aca="false">IF(AJ99=1,1+COUNTIF($P99:$S99,"&gt;"&amp;INDEX($F99:$J99,AI99)),"")</f>
        <v/>
      </c>
      <c r="AM99" s="0" t="n">
        <f aca="false">AVERAGE($P99:$S99)/MAX($P99:$S99)</f>
        <v>0.634308510638298</v>
      </c>
      <c r="AN99" s="0" t="n">
        <f aca="false">100-INDEX($F99:$J99,$E99)</f>
        <v>47.8</v>
      </c>
    </row>
    <row r="100" customFormat="false" ht="15" hidden="false" customHeight="false" outlineLevel="0" collapsed="false">
      <c r="A100" s="0" t="s">
        <v>40</v>
      </c>
      <c r="B100" s="0" t="n">
        <v>2022</v>
      </c>
      <c r="C100" s="0" t="s">
        <v>49</v>
      </c>
      <c r="D100" s="0" t="s">
        <v>44</v>
      </c>
      <c r="E100" s="0" t="n">
        <v>4</v>
      </c>
      <c r="F100" s="0" t="n">
        <v>16.7</v>
      </c>
      <c r="G100" s="0" t="n">
        <v>13.6</v>
      </c>
      <c r="H100" s="0" t="n">
        <v>13.4</v>
      </c>
      <c r="I100" s="0" t="n">
        <v>43.3</v>
      </c>
      <c r="J100" s="0" t="n">
        <v>13</v>
      </c>
      <c r="K100" s="0" t="n">
        <v>3.86198693937</v>
      </c>
      <c r="L100" s="0" t="n">
        <v>4.58729372184</v>
      </c>
      <c r="M100" s="0" t="n">
        <v>3.12713886444</v>
      </c>
      <c r="N100" s="0" t="n">
        <v>73.8867253768</v>
      </c>
      <c r="O100" s="0" t="n">
        <v>14.5368550975</v>
      </c>
      <c r="P100" s="0" t="n">
        <f aca="false">INDEX($F100:$J100,IF(1&lt;$E100,1,1+1))</f>
        <v>16.7</v>
      </c>
      <c r="Q100" s="0" t="n">
        <f aca="false">INDEX($F100:$J100,IF(2&lt;$E100,2,2+1))</f>
        <v>13.6</v>
      </c>
      <c r="R100" s="0" t="n">
        <f aca="false">INDEX($F100:$J100,IF(3&lt;$E100,3,3+1))</f>
        <v>13.4</v>
      </c>
      <c r="S100" s="0" t="n">
        <f aca="false">INDEX($F100:$J100,IF(4&lt;$E100,4,4+1))</f>
        <v>13</v>
      </c>
      <c r="T100" s="0" t="n">
        <f aca="false">INDEX($K100:$O100,IF(1&lt;$E100,1,1+1))</f>
        <v>3.86198693937</v>
      </c>
      <c r="U100" s="0" t="n">
        <f aca="false">INDEX($K100:$O100,IF(2&lt;$E100,2,2+1))</f>
        <v>4.58729372184</v>
      </c>
      <c r="V100" s="0" t="n">
        <f aca="false">INDEX($K100:$O100,IF(3&lt;$E100,3,3+1))</f>
        <v>3.12713886444</v>
      </c>
      <c r="W100" s="0" t="n">
        <f aca="false">INDEX($K100:$O100,IF(4&lt;$E100,4,4+1))</f>
        <v>14.5368550975</v>
      </c>
      <c r="X100" s="0" t="n">
        <f aca="false">1+COUNTIF($P100:$S100,"&gt;"&amp;$P100)+(COUNTIF($P100:$S100,$P100)-1)/2</f>
        <v>1</v>
      </c>
      <c r="Y100" s="0" t="n">
        <f aca="false">1+COUNTIF($P100:$S100,"&gt;"&amp;$Q100)+(COUNTIF($P100:$S100,$Q100)-1)/2</f>
        <v>2</v>
      </c>
      <c r="Z100" s="0" t="n">
        <f aca="false">1+COUNTIF($P100:$S100,"&gt;"&amp;$R100)+(COUNTIF($P100:$S100,$R100)-1)/2</f>
        <v>3</v>
      </c>
      <c r="AA100" s="0" t="n">
        <f aca="false">1+COUNTIF($P100:$S100,"&gt;"&amp;$S100)+(COUNTIF($P100:$S100,$S100)-1)/2</f>
        <v>4</v>
      </c>
      <c r="AB100" s="0" t="n">
        <f aca="false">1+COUNTIF($T100:$W100,"&gt;"&amp;$T100)+(COUNTIF($T100:$W100,$T100)-1)/2</f>
        <v>3</v>
      </c>
      <c r="AC100" s="0" t="n">
        <f aca="false">1+COUNTIF($T100:$W100,"&gt;"&amp;$U100)+(COUNTIF($T100:$W100,$U100)-1)/2</f>
        <v>2</v>
      </c>
      <c r="AD100" s="0" t="n">
        <f aca="false">1+COUNTIF($T100:$W100,"&gt;"&amp;$V100)+(COUNTIF($T100:$W100,$V100)-1)/2</f>
        <v>4</v>
      </c>
      <c r="AE100" s="0" t="n">
        <f aca="false">1+COUNTIF($T100:$W100,"&gt;"&amp;$W100)+(COUNTIF($T100:$W100,$W100)-1)/2</f>
        <v>1</v>
      </c>
      <c r="AF100" s="0" t="n">
        <f aca="false">IFERROR(CORREL($P100:$S100,$T100:$W100),"")</f>
        <v>-0.451782248085941</v>
      </c>
      <c r="AG100" s="0" t="n">
        <f aca="false">IFERROR(CORREL($X100:$AA100,$AB100:$AE100),"")</f>
        <v>-0.4</v>
      </c>
      <c r="AH100" s="0" t="n">
        <f aca="false">IFERROR((SIGN($P100-$Q100)*SIGN($T100-$U100)+SIGN($P100-$R100)*SIGN($T100-$V100)+SIGN($P100-$S100)*SIGN($T100-$W100)+SIGN($Q100-$R100)*SIGN($U100-$V100)+SIGN($Q100-$S100)*SIGN($U100-$W100)+SIGN($R100-$S100)*SIGN($V100-$W100))/SQRT((6-(($P100=$Q100)*1+($P100=$R100)*1+($P100=$S100)*1+($Q100=$R100)*1+($Q100=$S100)*1+($R100=$S100)*1))*(6-(($T100=$U100)*1+($T100=$V100)*1+($T100=$W100)*1+($U100=$V100)*1+($U100=$W100)*1+($V100=$W100)*1))),"")</f>
        <v>-0.333333333333333</v>
      </c>
      <c r="AI100" s="0" t="n">
        <f aca="false">MATCH(MAX($K100:$O100),$K100:$O100,0)</f>
        <v>4</v>
      </c>
      <c r="AJ100" s="0" t="n">
        <f aca="false">IF(AI100&lt;&gt;$E100,1,0)</f>
        <v>0</v>
      </c>
      <c r="AK100" s="0" t="str">
        <f aca="false">IF(AJ100=1,INDEX($F100:$J100,AI100)/MAX($P100:$S100),"")</f>
        <v/>
      </c>
      <c r="AL100" s="0" t="str">
        <f aca="false">IF(AJ100=1,1+COUNTIF($P100:$S100,"&gt;"&amp;INDEX($F100:$J100,AI100)),"")</f>
        <v/>
      </c>
      <c r="AM100" s="0" t="n">
        <f aca="false">AVERAGE($P100:$S100)/MAX($P100:$S100)</f>
        <v>0.848802395209581</v>
      </c>
      <c r="AN100" s="0" t="n">
        <f aca="false">100-INDEX($F100:$J100,$E100)</f>
        <v>56.7</v>
      </c>
    </row>
    <row r="101" customFormat="false" ht="15" hidden="false" customHeight="false" outlineLevel="0" collapsed="false">
      <c r="A101" s="0" t="s">
        <v>40</v>
      </c>
      <c r="B101" s="0" t="n">
        <v>2022</v>
      </c>
      <c r="C101" s="0" t="s">
        <v>49</v>
      </c>
      <c r="D101" s="0" t="s">
        <v>45</v>
      </c>
      <c r="E101" s="0" t="n">
        <v>1</v>
      </c>
      <c r="F101" s="0" t="n">
        <v>39.3</v>
      </c>
      <c r="G101" s="0" t="n">
        <v>18.4</v>
      </c>
      <c r="H101" s="0" t="n">
        <v>11.8</v>
      </c>
      <c r="I101" s="0" t="n">
        <v>19.3</v>
      </c>
      <c r="J101" s="0" t="n">
        <v>11.2</v>
      </c>
      <c r="K101" s="0" t="n">
        <v>57.8717267778</v>
      </c>
      <c r="L101" s="0" t="n">
        <v>14.2154393845</v>
      </c>
      <c r="M101" s="0" t="n">
        <v>4.59984990691</v>
      </c>
      <c r="N101" s="0" t="n">
        <v>8.67153133782</v>
      </c>
      <c r="O101" s="0" t="n">
        <v>14.6414525929</v>
      </c>
      <c r="P101" s="0" t="n">
        <f aca="false">INDEX($F101:$J101,IF(1&lt;$E101,1,1+1))</f>
        <v>18.4</v>
      </c>
      <c r="Q101" s="0" t="n">
        <f aca="false">INDEX($F101:$J101,IF(2&lt;$E101,2,2+1))</f>
        <v>11.8</v>
      </c>
      <c r="R101" s="0" t="n">
        <f aca="false">INDEX($F101:$J101,IF(3&lt;$E101,3,3+1))</f>
        <v>19.3</v>
      </c>
      <c r="S101" s="0" t="n">
        <f aca="false">INDEX($F101:$J101,IF(4&lt;$E101,4,4+1))</f>
        <v>11.2</v>
      </c>
      <c r="T101" s="0" t="n">
        <f aca="false">INDEX($K101:$O101,IF(1&lt;$E101,1,1+1))</f>
        <v>14.2154393845</v>
      </c>
      <c r="U101" s="0" t="n">
        <f aca="false">INDEX($K101:$O101,IF(2&lt;$E101,2,2+1))</f>
        <v>4.59984990691</v>
      </c>
      <c r="V101" s="0" t="n">
        <f aca="false">INDEX($K101:$O101,IF(3&lt;$E101,3,3+1))</f>
        <v>8.67153133782</v>
      </c>
      <c r="W101" s="0" t="n">
        <f aca="false">INDEX($K101:$O101,IF(4&lt;$E101,4,4+1))</f>
        <v>14.6414525929</v>
      </c>
      <c r="X101" s="0" t="n">
        <f aca="false">1+COUNTIF($P101:$S101,"&gt;"&amp;$P101)+(COUNTIF($P101:$S101,$P101)-1)/2</f>
        <v>2</v>
      </c>
      <c r="Y101" s="0" t="n">
        <f aca="false">1+COUNTIF($P101:$S101,"&gt;"&amp;$Q101)+(COUNTIF($P101:$S101,$Q101)-1)/2</f>
        <v>3</v>
      </c>
      <c r="Z101" s="0" t="n">
        <f aca="false">1+COUNTIF($P101:$S101,"&gt;"&amp;$R101)+(COUNTIF($P101:$S101,$R101)-1)/2</f>
        <v>1</v>
      </c>
      <c r="AA101" s="0" t="n">
        <f aca="false">1+COUNTIF($P101:$S101,"&gt;"&amp;$S101)+(COUNTIF($P101:$S101,$S101)-1)/2</f>
        <v>4</v>
      </c>
      <c r="AB101" s="0" t="n">
        <f aca="false">1+COUNTIF($T101:$W101,"&gt;"&amp;$T101)+(COUNTIF($T101:$W101,$T101)-1)/2</f>
        <v>2</v>
      </c>
      <c r="AC101" s="0" t="n">
        <f aca="false">1+COUNTIF($T101:$W101,"&gt;"&amp;$U101)+(COUNTIF($T101:$W101,$U101)-1)/2</f>
        <v>4</v>
      </c>
      <c r="AD101" s="0" t="n">
        <f aca="false">1+COUNTIF($T101:$W101,"&gt;"&amp;$V101)+(COUNTIF($T101:$W101,$V101)-1)/2</f>
        <v>3</v>
      </c>
      <c r="AE101" s="0" t="n">
        <f aca="false">1+COUNTIF($T101:$W101,"&gt;"&amp;$W101)+(COUNTIF($T101:$W101,$W101)-1)/2</f>
        <v>1</v>
      </c>
      <c r="AF101" s="0" t="n">
        <f aca="false">IFERROR(CORREL($P101:$S101,$T101:$W101),"")</f>
        <v>0.128446462157825</v>
      </c>
      <c r="AG101" s="0" t="n">
        <f aca="false">IFERROR(CORREL($X101:$AA101,$AB101:$AE101),"")</f>
        <v>-0.4</v>
      </c>
      <c r="AH101" s="0" t="n">
        <f aca="false">IFERROR((SIGN($P101-$Q101)*SIGN($T101-$U101)+SIGN($P101-$R101)*SIGN($T101-$V101)+SIGN($P101-$S101)*SIGN($T101-$W101)+SIGN($Q101-$R101)*SIGN($U101-$V101)+SIGN($Q101-$S101)*SIGN($U101-$W101)+SIGN($R101-$S101)*SIGN($V101-$W101))/SQRT((6-(($P101=$Q101)*1+($P101=$R101)*1+($P101=$S101)*1+($Q101=$R101)*1+($Q101=$S101)*1+($R101=$S101)*1))*(6-(($T101=$U101)*1+($T101=$V101)*1+($T101=$W101)*1+($U101=$V101)*1+($U101=$W101)*1+($V101=$W101)*1))),"")</f>
        <v>-0.333333333333333</v>
      </c>
      <c r="AI101" s="0" t="n">
        <f aca="false">MATCH(MAX($K101:$O101),$K101:$O101,0)</f>
        <v>1</v>
      </c>
      <c r="AJ101" s="0" t="n">
        <f aca="false">IF(AI101&lt;&gt;$E101,1,0)</f>
        <v>0</v>
      </c>
      <c r="AK101" s="0" t="str">
        <f aca="false">IF(AJ101=1,INDEX($F101:$J101,AI101)/MAX($P101:$S101),"")</f>
        <v/>
      </c>
      <c r="AL101" s="0" t="str">
        <f aca="false">IF(AJ101=1,1+COUNTIF($P101:$S101,"&gt;"&amp;INDEX($F101:$J101,AI101)),"")</f>
        <v/>
      </c>
      <c r="AM101" s="0" t="n">
        <f aca="false">AVERAGE($P101:$S101)/MAX($P101:$S101)</f>
        <v>0.786269430051814</v>
      </c>
      <c r="AN101" s="0" t="n">
        <f aca="false">100-INDEX($F101:$J101,$E101)</f>
        <v>60.7</v>
      </c>
    </row>
    <row r="102" customFormat="false" ht="15" hidden="false" customHeight="false" outlineLevel="0" collapsed="false">
      <c r="A102" s="0" t="s">
        <v>40</v>
      </c>
      <c r="B102" s="0" t="n">
        <v>2022</v>
      </c>
      <c r="C102" s="0" t="s">
        <v>50</v>
      </c>
      <c r="D102" s="0" t="s">
        <v>42</v>
      </c>
      <c r="E102" s="0" t="n">
        <v>1</v>
      </c>
      <c r="F102" s="0" t="n">
        <v>53.1</v>
      </c>
      <c r="G102" s="0" t="n">
        <v>15</v>
      </c>
      <c r="H102" s="0" t="n">
        <v>11.6</v>
      </c>
      <c r="I102" s="0" t="n">
        <v>10.9</v>
      </c>
      <c r="J102" s="0" t="n">
        <v>9.4</v>
      </c>
      <c r="K102" s="0" t="n">
        <v>59.0519165407</v>
      </c>
      <c r="L102" s="0" t="n">
        <v>0.381938425839</v>
      </c>
      <c r="M102" s="0" t="n">
        <v>2.20077549094</v>
      </c>
      <c r="N102" s="0" t="n">
        <v>2.66883844856</v>
      </c>
      <c r="O102" s="0" t="n">
        <v>35.696531094</v>
      </c>
      <c r="P102" s="0" t="n">
        <f aca="false">INDEX($F102:$J102,IF(1&lt;$E102,1,1+1))</f>
        <v>15</v>
      </c>
      <c r="Q102" s="0" t="n">
        <f aca="false">INDEX($F102:$J102,IF(2&lt;$E102,2,2+1))</f>
        <v>11.6</v>
      </c>
      <c r="R102" s="0" t="n">
        <f aca="false">INDEX($F102:$J102,IF(3&lt;$E102,3,3+1))</f>
        <v>10.9</v>
      </c>
      <c r="S102" s="0" t="n">
        <f aca="false">INDEX($F102:$J102,IF(4&lt;$E102,4,4+1))</f>
        <v>9.4</v>
      </c>
      <c r="T102" s="0" t="n">
        <f aca="false">INDEX($K102:$O102,IF(1&lt;$E102,1,1+1))</f>
        <v>0.381938425839</v>
      </c>
      <c r="U102" s="0" t="n">
        <f aca="false">INDEX($K102:$O102,IF(2&lt;$E102,2,2+1))</f>
        <v>2.20077549094</v>
      </c>
      <c r="V102" s="0" t="n">
        <f aca="false">INDEX($K102:$O102,IF(3&lt;$E102,3,3+1))</f>
        <v>2.66883844856</v>
      </c>
      <c r="W102" s="0" t="n">
        <f aca="false">INDEX($K102:$O102,IF(4&lt;$E102,4,4+1))</f>
        <v>35.696531094</v>
      </c>
      <c r="X102" s="0" t="n">
        <f aca="false">1+COUNTIF($P102:$S102,"&gt;"&amp;$P102)+(COUNTIF($P102:$S102,$P102)-1)/2</f>
        <v>1</v>
      </c>
      <c r="Y102" s="0" t="n">
        <f aca="false">1+COUNTIF($P102:$S102,"&gt;"&amp;$Q102)+(COUNTIF($P102:$S102,$Q102)-1)/2</f>
        <v>2</v>
      </c>
      <c r="Z102" s="0" t="n">
        <f aca="false">1+COUNTIF($P102:$S102,"&gt;"&amp;$R102)+(COUNTIF($P102:$S102,$R102)-1)/2</f>
        <v>3</v>
      </c>
      <c r="AA102" s="0" t="n">
        <f aca="false">1+COUNTIF($P102:$S102,"&gt;"&amp;$S102)+(COUNTIF($P102:$S102,$S102)-1)/2</f>
        <v>4</v>
      </c>
      <c r="AB102" s="0" t="n">
        <f aca="false">1+COUNTIF($T102:$W102,"&gt;"&amp;$T102)+(COUNTIF($T102:$W102,$T102)-1)/2</f>
        <v>4</v>
      </c>
      <c r="AC102" s="0" t="n">
        <f aca="false">1+COUNTIF($T102:$W102,"&gt;"&amp;$U102)+(COUNTIF($T102:$W102,$U102)-1)/2</f>
        <v>3</v>
      </c>
      <c r="AD102" s="0" t="n">
        <f aca="false">1+COUNTIF($T102:$W102,"&gt;"&amp;$V102)+(COUNTIF($T102:$W102,$V102)-1)/2</f>
        <v>2</v>
      </c>
      <c r="AE102" s="0" t="n">
        <f aca="false">1+COUNTIF($T102:$W102,"&gt;"&amp;$W102)+(COUNTIF($T102:$W102,$W102)-1)/2</f>
        <v>1</v>
      </c>
      <c r="AF102" s="0" t="n">
        <f aca="false">IFERROR(CORREL($P102:$S102,$T102:$W102),"")</f>
        <v>-0.69719823960907</v>
      </c>
      <c r="AG102" s="0" t="n">
        <f aca="false">IFERROR(CORREL($X102:$AA102,$AB102:$AE102),"")</f>
        <v>-1</v>
      </c>
      <c r="AH102" s="0" t="n">
        <f aca="false">IFERROR((SIGN($P102-$Q102)*SIGN($T102-$U102)+SIGN($P102-$R102)*SIGN($T102-$V102)+SIGN($P102-$S102)*SIGN($T102-$W102)+SIGN($Q102-$R102)*SIGN($U102-$V102)+SIGN($Q102-$S102)*SIGN($U102-$W102)+SIGN($R102-$S102)*SIGN($V102-$W102))/SQRT((6-(($P102=$Q102)*1+($P102=$R102)*1+($P102=$S102)*1+($Q102=$R102)*1+($Q102=$S102)*1+($R102=$S102)*1))*(6-(($T102=$U102)*1+($T102=$V102)*1+($T102=$W102)*1+($U102=$V102)*1+($U102=$W102)*1+($V102=$W102)*1))),"")</f>
        <v>-1</v>
      </c>
      <c r="AI102" s="0" t="n">
        <f aca="false">MATCH(MAX($K102:$O102),$K102:$O102,0)</f>
        <v>1</v>
      </c>
      <c r="AJ102" s="0" t="n">
        <f aca="false">IF(AI102&lt;&gt;$E102,1,0)</f>
        <v>0</v>
      </c>
      <c r="AK102" s="0" t="str">
        <f aca="false">IF(AJ102=1,INDEX($F102:$J102,AI102)/MAX($P102:$S102),"")</f>
        <v/>
      </c>
      <c r="AL102" s="0" t="str">
        <f aca="false">IF(AJ102=1,1+COUNTIF($P102:$S102,"&gt;"&amp;INDEX($F102:$J102,AI102)),"")</f>
        <v/>
      </c>
      <c r="AM102" s="0" t="n">
        <f aca="false">AVERAGE($P102:$S102)/MAX($P102:$S102)</f>
        <v>0.781666666666667</v>
      </c>
      <c r="AN102" s="0" t="n">
        <f aca="false">100-INDEX($F102:$J102,$E102)</f>
        <v>46.9</v>
      </c>
    </row>
    <row r="103" customFormat="false" ht="15" hidden="false" customHeight="false" outlineLevel="0" collapsed="false">
      <c r="A103" s="0" t="s">
        <v>40</v>
      </c>
      <c r="B103" s="0" t="n">
        <v>2022</v>
      </c>
      <c r="C103" s="0" t="s">
        <v>50</v>
      </c>
      <c r="D103" s="0" t="s">
        <v>43</v>
      </c>
      <c r="E103" s="0" t="n">
        <v>4</v>
      </c>
      <c r="F103" s="0" t="n">
        <v>27.9</v>
      </c>
      <c r="G103" s="0" t="n">
        <v>18.9</v>
      </c>
      <c r="H103" s="0" t="n">
        <v>10.6</v>
      </c>
      <c r="I103" s="0" t="n">
        <v>35.7</v>
      </c>
      <c r="J103" s="0" t="n">
        <v>6.9</v>
      </c>
      <c r="K103" s="0" t="n">
        <v>2.39425072278</v>
      </c>
      <c r="L103" s="0" t="n">
        <v>9.65230990946</v>
      </c>
      <c r="M103" s="0" t="n">
        <v>12.7133668154</v>
      </c>
      <c r="N103" s="0" t="n">
        <v>52.584811067</v>
      </c>
      <c r="O103" s="0" t="n">
        <v>22.6552614854</v>
      </c>
      <c r="P103" s="0" t="n">
        <f aca="false">INDEX($F103:$J103,IF(1&lt;$E103,1,1+1))</f>
        <v>27.9</v>
      </c>
      <c r="Q103" s="0" t="n">
        <f aca="false">INDEX($F103:$J103,IF(2&lt;$E103,2,2+1))</f>
        <v>18.9</v>
      </c>
      <c r="R103" s="0" t="n">
        <f aca="false">INDEX($F103:$J103,IF(3&lt;$E103,3,3+1))</f>
        <v>10.6</v>
      </c>
      <c r="S103" s="0" t="n">
        <f aca="false">INDEX($F103:$J103,IF(4&lt;$E103,4,4+1))</f>
        <v>6.9</v>
      </c>
      <c r="T103" s="0" t="n">
        <f aca="false">INDEX($K103:$O103,IF(1&lt;$E103,1,1+1))</f>
        <v>2.39425072278</v>
      </c>
      <c r="U103" s="0" t="n">
        <f aca="false">INDEX($K103:$O103,IF(2&lt;$E103,2,2+1))</f>
        <v>9.65230990946</v>
      </c>
      <c r="V103" s="0" t="n">
        <f aca="false">INDEX($K103:$O103,IF(3&lt;$E103,3,3+1))</f>
        <v>12.7133668154</v>
      </c>
      <c r="W103" s="0" t="n">
        <f aca="false">INDEX($K103:$O103,IF(4&lt;$E103,4,4+1))</f>
        <v>22.6552614854</v>
      </c>
      <c r="X103" s="0" t="n">
        <f aca="false">1+COUNTIF($P103:$S103,"&gt;"&amp;$P103)+(COUNTIF($P103:$S103,$P103)-1)/2</f>
        <v>1</v>
      </c>
      <c r="Y103" s="0" t="n">
        <f aca="false">1+COUNTIF($P103:$S103,"&gt;"&amp;$Q103)+(COUNTIF($P103:$S103,$Q103)-1)/2</f>
        <v>2</v>
      </c>
      <c r="Z103" s="0" t="n">
        <f aca="false">1+COUNTIF($P103:$S103,"&gt;"&amp;$R103)+(COUNTIF($P103:$S103,$R103)-1)/2</f>
        <v>3</v>
      </c>
      <c r="AA103" s="0" t="n">
        <f aca="false">1+COUNTIF($P103:$S103,"&gt;"&amp;$S103)+(COUNTIF($P103:$S103,$S103)-1)/2</f>
        <v>4</v>
      </c>
      <c r="AB103" s="0" t="n">
        <f aca="false">1+COUNTIF($T103:$W103,"&gt;"&amp;$T103)+(COUNTIF($T103:$W103,$T103)-1)/2</f>
        <v>4</v>
      </c>
      <c r="AC103" s="0" t="n">
        <f aca="false">1+COUNTIF($T103:$W103,"&gt;"&amp;$U103)+(COUNTIF($T103:$W103,$U103)-1)/2</f>
        <v>3</v>
      </c>
      <c r="AD103" s="0" t="n">
        <f aca="false">1+COUNTIF($T103:$W103,"&gt;"&amp;$V103)+(COUNTIF($T103:$W103,$V103)-1)/2</f>
        <v>2</v>
      </c>
      <c r="AE103" s="0" t="n">
        <f aca="false">1+COUNTIF($T103:$W103,"&gt;"&amp;$W103)+(COUNTIF($T103:$W103,$W103)-1)/2</f>
        <v>1</v>
      </c>
      <c r="AF103" s="0" t="n">
        <f aca="false">IFERROR(CORREL($P103:$S103,$T103:$W103),"")</f>
        <v>-0.942124794189726</v>
      </c>
      <c r="AG103" s="0" t="n">
        <f aca="false">IFERROR(CORREL($X103:$AA103,$AB103:$AE103),"")</f>
        <v>-1</v>
      </c>
      <c r="AH103" s="0" t="n">
        <f aca="false">IFERROR((SIGN($P103-$Q103)*SIGN($T103-$U103)+SIGN($P103-$R103)*SIGN($T103-$V103)+SIGN($P103-$S103)*SIGN($T103-$W103)+SIGN($Q103-$R103)*SIGN($U103-$V103)+SIGN($Q103-$S103)*SIGN($U103-$W103)+SIGN($R103-$S103)*SIGN($V103-$W103))/SQRT((6-(($P103=$Q103)*1+($P103=$R103)*1+($P103=$S103)*1+($Q103=$R103)*1+($Q103=$S103)*1+($R103=$S103)*1))*(6-(($T103=$U103)*1+($T103=$V103)*1+($T103=$W103)*1+($U103=$V103)*1+($U103=$W103)*1+($V103=$W103)*1))),"")</f>
        <v>-1</v>
      </c>
      <c r="AI103" s="0" t="n">
        <f aca="false">MATCH(MAX($K103:$O103),$K103:$O103,0)</f>
        <v>4</v>
      </c>
      <c r="AJ103" s="0" t="n">
        <f aca="false">IF(AI103&lt;&gt;$E103,1,0)</f>
        <v>0</v>
      </c>
      <c r="AK103" s="0" t="str">
        <f aca="false">IF(AJ103=1,INDEX($F103:$J103,AI103)/MAX($P103:$S103),"")</f>
        <v/>
      </c>
      <c r="AL103" s="0" t="str">
        <f aca="false">IF(AJ103=1,1+COUNTIF($P103:$S103,"&gt;"&amp;INDEX($F103:$J103,AI103)),"")</f>
        <v/>
      </c>
      <c r="AM103" s="0" t="n">
        <f aca="false">AVERAGE($P103:$S103)/MAX($P103:$S103)</f>
        <v>0.576164874551971</v>
      </c>
      <c r="AN103" s="0" t="n">
        <f aca="false">100-INDEX($F103:$J103,$E103)</f>
        <v>64.3</v>
      </c>
    </row>
    <row r="104" customFormat="false" ht="15" hidden="false" customHeight="false" outlineLevel="0" collapsed="false">
      <c r="A104" s="0" t="s">
        <v>40</v>
      </c>
      <c r="B104" s="0" t="n">
        <v>2022</v>
      </c>
      <c r="C104" s="0" t="s">
        <v>50</v>
      </c>
      <c r="D104" s="0" t="s">
        <v>44</v>
      </c>
      <c r="E104" s="0" t="n">
        <v>3</v>
      </c>
      <c r="F104" s="0" t="n">
        <v>10.4</v>
      </c>
      <c r="G104" s="0" t="n">
        <v>25.6</v>
      </c>
      <c r="H104" s="0" t="n">
        <v>34.6</v>
      </c>
      <c r="I104" s="0" t="n">
        <v>15</v>
      </c>
      <c r="J104" s="0" t="n">
        <v>14.5</v>
      </c>
      <c r="K104" s="0" t="n">
        <v>2.59021025436</v>
      </c>
      <c r="L104" s="0" t="n">
        <v>16.3959684074</v>
      </c>
      <c r="M104" s="0" t="n">
        <v>24.9950275161</v>
      </c>
      <c r="N104" s="0" t="n">
        <v>2.90667387109</v>
      </c>
      <c r="O104" s="0" t="n">
        <v>53.1121199511</v>
      </c>
      <c r="P104" s="0" t="n">
        <f aca="false">INDEX($F104:$J104,IF(1&lt;$E104,1,1+1))</f>
        <v>10.4</v>
      </c>
      <c r="Q104" s="0" t="n">
        <f aca="false">INDEX($F104:$J104,IF(2&lt;$E104,2,2+1))</f>
        <v>25.6</v>
      </c>
      <c r="R104" s="0" t="n">
        <f aca="false">INDEX($F104:$J104,IF(3&lt;$E104,3,3+1))</f>
        <v>15</v>
      </c>
      <c r="S104" s="0" t="n">
        <f aca="false">INDEX($F104:$J104,IF(4&lt;$E104,4,4+1))</f>
        <v>14.5</v>
      </c>
      <c r="T104" s="0" t="n">
        <f aca="false">INDEX($K104:$O104,IF(1&lt;$E104,1,1+1))</f>
        <v>2.59021025436</v>
      </c>
      <c r="U104" s="0" t="n">
        <f aca="false">INDEX($K104:$O104,IF(2&lt;$E104,2,2+1))</f>
        <v>16.3959684074</v>
      </c>
      <c r="V104" s="0" t="n">
        <f aca="false">INDEX($K104:$O104,IF(3&lt;$E104,3,3+1))</f>
        <v>2.90667387109</v>
      </c>
      <c r="W104" s="0" t="n">
        <f aca="false">INDEX($K104:$O104,IF(4&lt;$E104,4,4+1))</f>
        <v>53.1121199511</v>
      </c>
      <c r="X104" s="0" t="n">
        <f aca="false">1+COUNTIF($P104:$S104,"&gt;"&amp;$P104)+(COUNTIF($P104:$S104,$P104)-1)/2</f>
        <v>4</v>
      </c>
      <c r="Y104" s="0" t="n">
        <f aca="false">1+COUNTIF($P104:$S104,"&gt;"&amp;$Q104)+(COUNTIF($P104:$S104,$Q104)-1)/2</f>
        <v>1</v>
      </c>
      <c r="Z104" s="0" t="n">
        <f aca="false">1+COUNTIF($P104:$S104,"&gt;"&amp;$R104)+(COUNTIF($P104:$S104,$R104)-1)/2</f>
        <v>2</v>
      </c>
      <c r="AA104" s="0" t="n">
        <f aca="false">1+COUNTIF($P104:$S104,"&gt;"&amp;$S104)+(COUNTIF($P104:$S104,$S104)-1)/2</f>
        <v>3</v>
      </c>
      <c r="AB104" s="0" t="n">
        <f aca="false">1+COUNTIF($T104:$W104,"&gt;"&amp;$T104)+(COUNTIF($T104:$W104,$T104)-1)/2</f>
        <v>4</v>
      </c>
      <c r="AC104" s="0" t="n">
        <f aca="false">1+COUNTIF($T104:$W104,"&gt;"&amp;$U104)+(COUNTIF($T104:$W104,$U104)-1)/2</f>
        <v>2</v>
      </c>
      <c r="AD104" s="0" t="n">
        <f aca="false">1+COUNTIF($T104:$W104,"&gt;"&amp;$V104)+(COUNTIF($T104:$W104,$V104)-1)/2</f>
        <v>3</v>
      </c>
      <c r="AE104" s="0" t="n">
        <f aca="false">1+COUNTIF($T104:$W104,"&gt;"&amp;$W104)+(COUNTIF($T104:$W104,$W104)-1)/2</f>
        <v>1</v>
      </c>
      <c r="AF104" s="0" t="n">
        <f aca="false">IFERROR(CORREL($P104:$S104,$T104:$W104),"")</f>
        <v>0.069536339421634</v>
      </c>
      <c r="AG104" s="0" t="n">
        <f aca="false">IFERROR(CORREL($X104:$AA104,$AB104:$AE104),"")</f>
        <v>0.4</v>
      </c>
      <c r="AH104" s="0" t="n">
        <f aca="false">IFERROR((SIGN($P104-$Q104)*SIGN($T104-$U104)+SIGN($P104-$R104)*SIGN($T104-$V104)+SIGN($P104-$S104)*SIGN($T104-$W104)+SIGN($Q104-$R104)*SIGN($U104-$V104)+SIGN($Q104-$S104)*SIGN($U104-$W104)+SIGN($R104-$S104)*SIGN($V104-$W104))/SQRT((6-(($P104=$Q104)*1+($P104=$R104)*1+($P104=$S104)*1+($Q104=$R104)*1+($Q104=$S104)*1+($R104=$S104)*1))*(6-(($T104=$U104)*1+($T104=$V104)*1+($T104=$W104)*1+($U104=$V104)*1+($U104=$W104)*1+($V104=$W104)*1))),"")</f>
        <v>0.333333333333333</v>
      </c>
      <c r="AI104" s="0" t="n">
        <f aca="false">MATCH(MAX($K104:$O104),$K104:$O104,0)</f>
        <v>5</v>
      </c>
      <c r="AJ104" s="0" t="n">
        <f aca="false">IF(AI104&lt;&gt;$E104,1,0)</f>
        <v>1</v>
      </c>
      <c r="AK104" s="0" t="n">
        <f aca="false">IF(AJ104=1,INDEX($F104:$J104,AI104)/MAX($P104:$S104),"")</f>
        <v>0.56640625</v>
      </c>
      <c r="AL104" s="0" t="n">
        <f aca="false">IF(AJ104=1,1+COUNTIF($P104:$S104,"&gt;"&amp;INDEX($F104:$J104,AI104)),"")</f>
        <v>3</v>
      </c>
      <c r="AM104" s="0" t="n">
        <f aca="false">AVERAGE($P104:$S104)/MAX($P104:$S104)</f>
        <v>0.6396484375</v>
      </c>
      <c r="AN104" s="0" t="n">
        <f aca="false">100-INDEX($F104:$J104,$E104)</f>
        <v>65.4</v>
      </c>
    </row>
    <row r="105" customFormat="false" ht="15" hidden="false" customHeight="false" outlineLevel="0" collapsed="false">
      <c r="A105" s="0" t="s">
        <v>40</v>
      </c>
      <c r="B105" s="0" t="n">
        <v>2022</v>
      </c>
      <c r="C105" s="0" t="s">
        <v>50</v>
      </c>
      <c r="D105" s="0" t="s">
        <v>45</v>
      </c>
      <c r="E105" s="0" t="n">
        <v>2</v>
      </c>
      <c r="F105" s="0" t="n">
        <v>17.7</v>
      </c>
      <c r="G105" s="0" t="n">
        <v>33.4</v>
      </c>
      <c r="H105" s="0" t="n">
        <v>26.1</v>
      </c>
      <c r="I105" s="0" t="n">
        <v>12.2</v>
      </c>
      <c r="J105" s="0" t="n">
        <v>10.6</v>
      </c>
      <c r="K105" s="0" t="n">
        <v>3.72570850706</v>
      </c>
      <c r="L105" s="0" t="n">
        <v>16.5758943158</v>
      </c>
      <c r="M105" s="0" t="n">
        <v>8.16761467051</v>
      </c>
      <c r="N105" s="0" t="n">
        <v>6.24419159288</v>
      </c>
      <c r="O105" s="0" t="n">
        <v>65.2865909138</v>
      </c>
      <c r="P105" s="0" t="n">
        <f aca="false">INDEX($F105:$J105,IF(1&lt;$E105,1,1+1))</f>
        <v>17.7</v>
      </c>
      <c r="Q105" s="0" t="n">
        <f aca="false">INDEX($F105:$J105,IF(2&lt;$E105,2,2+1))</f>
        <v>26.1</v>
      </c>
      <c r="R105" s="0" t="n">
        <f aca="false">INDEX($F105:$J105,IF(3&lt;$E105,3,3+1))</f>
        <v>12.2</v>
      </c>
      <c r="S105" s="0" t="n">
        <f aca="false">INDEX($F105:$J105,IF(4&lt;$E105,4,4+1))</f>
        <v>10.6</v>
      </c>
      <c r="T105" s="0" t="n">
        <f aca="false">INDEX($K105:$O105,IF(1&lt;$E105,1,1+1))</f>
        <v>3.72570850706</v>
      </c>
      <c r="U105" s="0" t="n">
        <f aca="false">INDEX($K105:$O105,IF(2&lt;$E105,2,2+1))</f>
        <v>8.16761467051</v>
      </c>
      <c r="V105" s="0" t="n">
        <f aca="false">INDEX($K105:$O105,IF(3&lt;$E105,3,3+1))</f>
        <v>6.24419159288</v>
      </c>
      <c r="W105" s="0" t="n">
        <f aca="false">INDEX($K105:$O105,IF(4&lt;$E105,4,4+1))</f>
        <v>65.2865909138</v>
      </c>
      <c r="X105" s="0" t="n">
        <f aca="false">1+COUNTIF($P105:$S105,"&gt;"&amp;$P105)+(COUNTIF($P105:$S105,$P105)-1)/2</f>
        <v>2</v>
      </c>
      <c r="Y105" s="0" t="n">
        <f aca="false">1+COUNTIF($P105:$S105,"&gt;"&amp;$Q105)+(COUNTIF($P105:$S105,$Q105)-1)/2</f>
        <v>1</v>
      </c>
      <c r="Z105" s="0" t="n">
        <f aca="false">1+COUNTIF($P105:$S105,"&gt;"&amp;$R105)+(COUNTIF($P105:$S105,$R105)-1)/2</f>
        <v>3</v>
      </c>
      <c r="AA105" s="0" t="n">
        <f aca="false">1+COUNTIF($P105:$S105,"&gt;"&amp;$S105)+(COUNTIF($P105:$S105,$S105)-1)/2</f>
        <v>4</v>
      </c>
      <c r="AB105" s="0" t="n">
        <f aca="false">1+COUNTIF($T105:$W105,"&gt;"&amp;$T105)+(COUNTIF($T105:$W105,$T105)-1)/2</f>
        <v>4</v>
      </c>
      <c r="AC105" s="0" t="n">
        <f aca="false">1+COUNTIF($T105:$W105,"&gt;"&amp;$U105)+(COUNTIF($T105:$W105,$U105)-1)/2</f>
        <v>2</v>
      </c>
      <c r="AD105" s="0" t="n">
        <f aca="false">1+COUNTIF($T105:$W105,"&gt;"&amp;$V105)+(COUNTIF($T105:$W105,$V105)-1)/2</f>
        <v>3</v>
      </c>
      <c r="AE105" s="0" t="n">
        <f aca="false">1+COUNTIF($T105:$W105,"&gt;"&amp;$W105)+(COUNTIF($T105:$W105,$W105)-1)/2</f>
        <v>1</v>
      </c>
      <c r="AF105" s="0" t="n">
        <f aca="false">IFERROR(CORREL($P105:$S105,$T105:$W105),"")</f>
        <v>-0.54861342963597</v>
      </c>
      <c r="AG105" s="0" t="n">
        <f aca="false">IFERROR(CORREL($X105:$AA105,$AB105:$AE105),"")</f>
        <v>-0.4</v>
      </c>
      <c r="AH105" s="0" t="n">
        <f aca="false">IFERROR((SIGN($P105-$Q105)*SIGN($T105-$U105)+SIGN($P105-$R105)*SIGN($T105-$V105)+SIGN($P105-$S105)*SIGN($T105-$W105)+SIGN($Q105-$R105)*SIGN($U105-$V105)+SIGN($Q105-$S105)*SIGN($U105-$W105)+SIGN($R105-$S105)*SIGN($V105-$W105))/SQRT((6-(($P105=$Q105)*1+($P105=$R105)*1+($P105=$S105)*1+($Q105=$R105)*1+($Q105=$S105)*1+($R105=$S105)*1))*(6-(($T105=$U105)*1+($T105=$V105)*1+($T105=$W105)*1+($U105=$V105)*1+($U105=$W105)*1+($V105=$W105)*1))),"")</f>
        <v>-0.333333333333333</v>
      </c>
      <c r="AI105" s="0" t="n">
        <f aca="false">MATCH(MAX($K105:$O105),$K105:$O105,0)</f>
        <v>5</v>
      </c>
      <c r="AJ105" s="0" t="n">
        <f aca="false">IF(AI105&lt;&gt;$E105,1,0)</f>
        <v>1</v>
      </c>
      <c r="AK105" s="0" t="n">
        <f aca="false">IF(AJ105=1,INDEX($F105:$J105,AI105)/MAX($P105:$S105),"")</f>
        <v>0.406130268199234</v>
      </c>
      <c r="AL105" s="0" t="n">
        <f aca="false">IF(AJ105=1,1+COUNTIF($P105:$S105,"&gt;"&amp;INDEX($F105:$J105,AI105)),"")</f>
        <v>4</v>
      </c>
      <c r="AM105" s="0" t="n">
        <f aca="false">AVERAGE($P105:$S105)/MAX($P105:$S105)</f>
        <v>0.637931034482759</v>
      </c>
      <c r="AN105" s="0" t="n">
        <f aca="false">100-INDEX($F105:$J105,$E105)</f>
        <v>66.6</v>
      </c>
    </row>
    <row r="106" customFormat="false" ht="15" hidden="false" customHeight="false" outlineLevel="0" collapsed="false">
      <c r="A106" s="0" t="s">
        <v>40</v>
      </c>
      <c r="B106" s="0" t="n">
        <v>2022</v>
      </c>
      <c r="C106" s="0" t="s">
        <v>51</v>
      </c>
      <c r="D106" s="0" t="s">
        <v>42</v>
      </c>
      <c r="E106" s="0" t="n">
        <v>5</v>
      </c>
      <c r="F106" s="0" t="n">
        <v>21.2</v>
      </c>
      <c r="G106" s="0" t="n">
        <v>31.5</v>
      </c>
      <c r="H106" s="0" t="n">
        <v>15</v>
      </c>
      <c r="I106" s="0" t="n">
        <v>6.8</v>
      </c>
      <c r="J106" s="0" t="n">
        <v>25.5</v>
      </c>
      <c r="K106" s="0" t="n">
        <v>50.5948053032</v>
      </c>
      <c r="L106" s="0" t="n">
        <v>0.582494915648</v>
      </c>
      <c r="M106" s="0" t="n">
        <v>9.18587634055</v>
      </c>
      <c r="N106" s="0" t="n">
        <v>0.0096719155441</v>
      </c>
      <c r="O106" s="0" t="n">
        <v>39.627151525</v>
      </c>
      <c r="P106" s="0" t="n">
        <f aca="false">INDEX($F106:$J106,IF(1&lt;$E106,1,1+1))</f>
        <v>21.2</v>
      </c>
      <c r="Q106" s="0" t="n">
        <f aca="false">INDEX($F106:$J106,IF(2&lt;$E106,2,2+1))</f>
        <v>31.5</v>
      </c>
      <c r="R106" s="0" t="n">
        <f aca="false">INDEX($F106:$J106,IF(3&lt;$E106,3,3+1))</f>
        <v>15</v>
      </c>
      <c r="S106" s="0" t="n">
        <f aca="false">INDEX($F106:$J106,IF(4&lt;$E106,4,4+1))</f>
        <v>6.8</v>
      </c>
      <c r="T106" s="0" t="n">
        <f aca="false">INDEX($K106:$O106,IF(1&lt;$E106,1,1+1))</f>
        <v>50.5948053032</v>
      </c>
      <c r="U106" s="0" t="n">
        <f aca="false">INDEX($K106:$O106,IF(2&lt;$E106,2,2+1))</f>
        <v>0.582494915648</v>
      </c>
      <c r="V106" s="0" t="n">
        <f aca="false">INDEX($K106:$O106,IF(3&lt;$E106,3,3+1))</f>
        <v>9.18587634055</v>
      </c>
      <c r="W106" s="0" t="n">
        <f aca="false">INDEX($K106:$O106,IF(4&lt;$E106,4,4+1))</f>
        <v>0.0096719155441</v>
      </c>
      <c r="X106" s="0" t="n">
        <f aca="false">1+COUNTIF($P106:$S106,"&gt;"&amp;$P106)+(COUNTIF($P106:$S106,$P106)-1)/2</f>
        <v>2</v>
      </c>
      <c r="Y106" s="0" t="n">
        <f aca="false">1+COUNTIF($P106:$S106,"&gt;"&amp;$Q106)+(COUNTIF($P106:$S106,$Q106)-1)/2</f>
        <v>1</v>
      </c>
      <c r="Z106" s="0" t="n">
        <f aca="false">1+COUNTIF($P106:$S106,"&gt;"&amp;$R106)+(COUNTIF($P106:$S106,$R106)-1)/2</f>
        <v>3</v>
      </c>
      <c r="AA106" s="0" t="n">
        <f aca="false">1+COUNTIF($P106:$S106,"&gt;"&amp;$S106)+(COUNTIF($P106:$S106,$S106)-1)/2</f>
        <v>4</v>
      </c>
      <c r="AB106" s="0" t="n">
        <f aca="false">1+COUNTIF($T106:$W106,"&gt;"&amp;$T106)+(COUNTIF($T106:$W106,$T106)-1)/2</f>
        <v>1</v>
      </c>
      <c r="AC106" s="0" t="n">
        <f aca="false">1+COUNTIF($T106:$W106,"&gt;"&amp;$U106)+(COUNTIF($T106:$W106,$U106)-1)/2</f>
        <v>3</v>
      </c>
      <c r="AD106" s="0" t="n">
        <f aca="false">1+COUNTIF($T106:$W106,"&gt;"&amp;$V106)+(COUNTIF($T106:$W106,$V106)-1)/2</f>
        <v>2</v>
      </c>
      <c r="AE106" s="0" t="n">
        <f aca="false">1+COUNTIF($T106:$W106,"&gt;"&amp;$W106)+(COUNTIF($T106:$W106,$W106)-1)/2</f>
        <v>4</v>
      </c>
      <c r="AF106" s="0" t="n">
        <f aca="false">IFERROR(CORREL($P106:$S106,$T106:$W106),"")</f>
        <v>0.138975893532303</v>
      </c>
      <c r="AG106" s="0" t="n">
        <f aca="false">IFERROR(CORREL($X106:$AA106,$AB106:$AE106),"")</f>
        <v>0.4</v>
      </c>
      <c r="AH106" s="0" t="n">
        <f aca="false">IFERROR((SIGN($P106-$Q106)*SIGN($T106-$U106)+SIGN($P106-$R106)*SIGN($T106-$V106)+SIGN($P106-$S106)*SIGN($T106-$W106)+SIGN($Q106-$R106)*SIGN($U106-$V106)+SIGN($Q106-$S106)*SIGN($U106-$W106)+SIGN($R106-$S106)*SIGN($V106-$W106))/SQRT((6-(($P106=$Q106)*1+($P106=$R106)*1+($P106=$S106)*1+($Q106=$R106)*1+($Q106=$S106)*1+($R106=$S106)*1))*(6-(($T106=$U106)*1+($T106=$V106)*1+($T106=$W106)*1+($U106=$V106)*1+($U106=$W106)*1+($V106=$W106)*1))),"")</f>
        <v>0.333333333333333</v>
      </c>
      <c r="AI106" s="0" t="n">
        <f aca="false">MATCH(MAX($K106:$O106),$K106:$O106,0)</f>
        <v>1</v>
      </c>
      <c r="AJ106" s="0" t="n">
        <f aca="false">IF(AI106&lt;&gt;$E106,1,0)</f>
        <v>1</v>
      </c>
      <c r="AK106" s="0" t="n">
        <f aca="false">IF(AJ106=1,INDEX($F106:$J106,AI106)/MAX($P106:$S106),"")</f>
        <v>0.673015873015873</v>
      </c>
      <c r="AL106" s="0" t="n">
        <f aca="false">IF(AJ106=1,1+COUNTIF($P106:$S106,"&gt;"&amp;INDEX($F106:$J106,AI106)),"")</f>
        <v>2</v>
      </c>
      <c r="AM106" s="0" t="n">
        <f aca="false">AVERAGE($P106:$S106)/MAX($P106:$S106)</f>
        <v>0.591269841269841</v>
      </c>
      <c r="AN106" s="0" t="n">
        <f aca="false">100-INDEX($F106:$J106,$E106)</f>
        <v>74.5</v>
      </c>
    </row>
    <row r="107" customFormat="false" ht="15" hidden="false" customHeight="false" outlineLevel="0" collapsed="false">
      <c r="A107" s="0" t="s">
        <v>40</v>
      </c>
      <c r="B107" s="0" t="n">
        <v>2022</v>
      </c>
      <c r="C107" s="0" t="s">
        <v>51</v>
      </c>
      <c r="D107" s="0" t="s">
        <v>43</v>
      </c>
      <c r="E107" s="0" t="n">
        <v>4</v>
      </c>
      <c r="F107" s="0" t="n">
        <v>20.9</v>
      </c>
      <c r="G107" s="0" t="n">
        <v>15.1</v>
      </c>
      <c r="H107" s="0" t="n">
        <v>20.6</v>
      </c>
      <c r="I107" s="0" t="n">
        <v>33.8</v>
      </c>
      <c r="J107" s="0" t="n">
        <v>9.5</v>
      </c>
      <c r="K107" s="0" t="n">
        <v>39.2145955615</v>
      </c>
      <c r="L107" s="0" t="n">
        <v>23.6852799047</v>
      </c>
      <c r="M107" s="0" t="n">
        <v>3.65892239363</v>
      </c>
      <c r="N107" s="0" t="n">
        <v>30.0588688773</v>
      </c>
      <c r="O107" s="0" t="n">
        <v>3.38233326293</v>
      </c>
      <c r="P107" s="0" t="n">
        <f aca="false">INDEX($F107:$J107,IF(1&lt;$E107,1,1+1))</f>
        <v>20.9</v>
      </c>
      <c r="Q107" s="0" t="n">
        <f aca="false">INDEX($F107:$J107,IF(2&lt;$E107,2,2+1))</f>
        <v>15.1</v>
      </c>
      <c r="R107" s="0" t="n">
        <f aca="false">INDEX($F107:$J107,IF(3&lt;$E107,3,3+1))</f>
        <v>20.6</v>
      </c>
      <c r="S107" s="0" t="n">
        <f aca="false">INDEX($F107:$J107,IF(4&lt;$E107,4,4+1))</f>
        <v>9.5</v>
      </c>
      <c r="T107" s="0" t="n">
        <f aca="false">INDEX($K107:$O107,IF(1&lt;$E107,1,1+1))</f>
        <v>39.2145955615</v>
      </c>
      <c r="U107" s="0" t="n">
        <f aca="false">INDEX($K107:$O107,IF(2&lt;$E107,2,2+1))</f>
        <v>23.6852799047</v>
      </c>
      <c r="V107" s="0" t="n">
        <f aca="false">INDEX($K107:$O107,IF(3&lt;$E107,3,3+1))</f>
        <v>3.65892239363</v>
      </c>
      <c r="W107" s="0" t="n">
        <f aca="false">INDEX($K107:$O107,IF(4&lt;$E107,4,4+1))</f>
        <v>3.38233326293</v>
      </c>
      <c r="X107" s="0" t="n">
        <f aca="false">1+COUNTIF($P107:$S107,"&gt;"&amp;$P107)+(COUNTIF($P107:$S107,$P107)-1)/2</f>
        <v>1</v>
      </c>
      <c r="Y107" s="0" t="n">
        <f aca="false">1+COUNTIF($P107:$S107,"&gt;"&amp;$Q107)+(COUNTIF($P107:$S107,$Q107)-1)/2</f>
        <v>3</v>
      </c>
      <c r="Z107" s="0" t="n">
        <f aca="false">1+COUNTIF($P107:$S107,"&gt;"&amp;$R107)+(COUNTIF($P107:$S107,$R107)-1)/2</f>
        <v>2</v>
      </c>
      <c r="AA107" s="0" t="n">
        <f aca="false">1+COUNTIF($P107:$S107,"&gt;"&amp;$S107)+(COUNTIF($P107:$S107,$S107)-1)/2</f>
        <v>4</v>
      </c>
      <c r="AB107" s="0" t="n">
        <f aca="false">1+COUNTIF($T107:$W107,"&gt;"&amp;$T107)+(COUNTIF($T107:$W107,$T107)-1)/2</f>
        <v>1</v>
      </c>
      <c r="AC107" s="0" t="n">
        <f aca="false">1+COUNTIF($T107:$W107,"&gt;"&amp;$U107)+(COUNTIF($T107:$W107,$U107)-1)/2</f>
        <v>2</v>
      </c>
      <c r="AD107" s="0" t="n">
        <f aca="false">1+COUNTIF($T107:$W107,"&gt;"&amp;$V107)+(COUNTIF($T107:$W107,$V107)-1)/2</f>
        <v>3</v>
      </c>
      <c r="AE107" s="0" t="n">
        <f aca="false">1+COUNTIF($T107:$W107,"&gt;"&amp;$W107)+(COUNTIF($T107:$W107,$W107)-1)/2</f>
        <v>4</v>
      </c>
      <c r="AF107" s="0" t="n">
        <f aca="false">IFERROR(CORREL($P107:$S107,$T107:$W107),"")</f>
        <v>0.460363741544449</v>
      </c>
      <c r="AG107" s="0" t="n">
        <f aca="false">IFERROR(CORREL($X107:$AA107,$AB107:$AE107),"")</f>
        <v>0.8</v>
      </c>
      <c r="AH107" s="0" t="n">
        <f aca="false">IFERROR((SIGN($P107-$Q107)*SIGN($T107-$U107)+SIGN($P107-$R107)*SIGN($T107-$V107)+SIGN($P107-$S107)*SIGN($T107-$W107)+SIGN($Q107-$R107)*SIGN($U107-$V107)+SIGN($Q107-$S107)*SIGN($U107-$W107)+SIGN($R107-$S107)*SIGN($V107-$W107))/SQRT((6-(($P107=$Q107)*1+($P107=$R107)*1+($P107=$S107)*1+($Q107=$R107)*1+($Q107=$S107)*1+($R107=$S107)*1))*(6-(($T107=$U107)*1+($T107=$V107)*1+($T107=$W107)*1+($U107=$V107)*1+($U107=$W107)*1+($V107=$W107)*1))),"")</f>
        <v>0.666666666666667</v>
      </c>
      <c r="AI107" s="0" t="n">
        <f aca="false">MATCH(MAX($K107:$O107),$K107:$O107,0)</f>
        <v>1</v>
      </c>
      <c r="AJ107" s="0" t="n">
        <f aca="false">IF(AI107&lt;&gt;$E107,1,0)</f>
        <v>1</v>
      </c>
      <c r="AK107" s="0" t="n">
        <f aca="false">IF(AJ107=1,INDEX($F107:$J107,AI107)/MAX($P107:$S107),"")</f>
        <v>1</v>
      </c>
      <c r="AL107" s="0" t="n">
        <f aca="false">IF(AJ107=1,1+COUNTIF($P107:$S107,"&gt;"&amp;INDEX($F107:$J107,AI107)),"")</f>
        <v>1</v>
      </c>
      <c r="AM107" s="0" t="n">
        <f aca="false">AVERAGE($P107:$S107)/MAX($P107:$S107)</f>
        <v>0.79066985645933</v>
      </c>
      <c r="AN107" s="0" t="n">
        <f aca="false">100-INDEX($F107:$J107,$E107)</f>
        <v>66.2</v>
      </c>
    </row>
    <row r="108" customFormat="false" ht="15" hidden="false" customHeight="false" outlineLevel="0" collapsed="false">
      <c r="A108" s="0" t="s">
        <v>40</v>
      </c>
      <c r="B108" s="0" t="n">
        <v>2022</v>
      </c>
      <c r="C108" s="0" t="s">
        <v>51</v>
      </c>
      <c r="D108" s="0" t="s">
        <v>44</v>
      </c>
      <c r="E108" s="0" t="n">
        <v>2</v>
      </c>
      <c r="F108" s="0" t="n">
        <v>17.3</v>
      </c>
      <c r="G108" s="0" t="n">
        <v>29.6</v>
      </c>
      <c r="H108" s="0" t="n">
        <v>30</v>
      </c>
      <c r="I108" s="0" t="n">
        <v>13.9</v>
      </c>
      <c r="J108" s="0" t="n">
        <v>9.3</v>
      </c>
      <c r="K108" s="0" t="n">
        <v>1.93429908954</v>
      </c>
      <c r="L108" s="0" t="n">
        <v>9.67398893532</v>
      </c>
      <c r="M108" s="0" t="n">
        <v>12.8252130589</v>
      </c>
      <c r="N108" s="0" t="n">
        <v>37.0605114893</v>
      </c>
      <c r="O108" s="0" t="n">
        <v>38.5059874269</v>
      </c>
      <c r="P108" s="0" t="n">
        <f aca="false">INDEX($F108:$J108,IF(1&lt;$E108,1,1+1))</f>
        <v>17.3</v>
      </c>
      <c r="Q108" s="0" t="n">
        <f aca="false">INDEX($F108:$J108,IF(2&lt;$E108,2,2+1))</f>
        <v>30</v>
      </c>
      <c r="R108" s="0" t="n">
        <f aca="false">INDEX($F108:$J108,IF(3&lt;$E108,3,3+1))</f>
        <v>13.9</v>
      </c>
      <c r="S108" s="0" t="n">
        <f aca="false">INDEX($F108:$J108,IF(4&lt;$E108,4,4+1))</f>
        <v>9.3</v>
      </c>
      <c r="T108" s="0" t="n">
        <f aca="false">INDEX($K108:$O108,IF(1&lt;$E108,1,1+1))</f>
        <v>1.93429908954</v>
      </c>
      <c r="U108" s="0" t="n">
        <f aca="false">INDEX($K108:$O108,IF(2&lt;$E108,2,2+1))</f>
        <v>12.8252130589</v>
      </c>
      <c r="V108" s="0" t="n">
        <f aca="false">INDEX($K108:$O108,IF(3&lt;$E108,3,3+1))</f>
        <v>37.0605114893</v>
      </c>
      <c r="W108" s="0" t="n">
        <f aca="false">INDEX($K108:$O108,IF(4&lt;$E108,4,4+1))</f>
        <v>38.5059874269</v>
      </c>
      <c r="X108" s="0" t="n">
        <f aca="false">1+COUNTIF($P108:$S108,"&gt;"&amp;$P108)+(COUNTIF($P108:$S108,$P108)-1)/2</f>
        <v>2</v>
      </c>
      <c r="Y108" s="0" t="n">
        <f aca="false">1+COUNTIF($P108:$S108,"&gt;"&amp;$Q108)+(COUNTIF($P108:$S108,$Q108)-1)/2</f>
        <v>1</v>
      </c>
      <c r="Z108" s="0" t="n">
        <f aca="false">1+COUNTIF($P108:$S108,"&gt;"&amp;$R108)+(COUNTIF($P108:$S108,$R108)-1)/2</f>
        <v>3</v>
      </c>
      <c r="AA108" s="0" t="n">
        <f aca="false">1+COUNTIF($P108:$S108,"&gt;"&amp;$S108)+(COUNTIF($P108:$S108,$S108)-1)/2</f>
        <v>4</v>
      </c>
      <c r="AB108" s="0" t="n">
        <f aca="false">1+COUNTIF($T108:$W108,"&gt;"&amp;$T108)+(COUNTIF($T108:$W108,$T108)-1)/2</f>
        <v>4</v>
      </c>
      <c r="AC108" s="0" t="n">
        <f aca="false">1+COUNTIF($T108:$W108,"&gt;"&amp;$U108)+(COUNTIF($T108:$W108,$U108)-1)/2</f>
        <v>3</v>
      </c>
      <c r="AD108" s="0" t="n">
        <f aca="false">1+COUNTIF($T108:$W108,"&gt;"&amp;$V108)+(COUNTIF($T108:$W108,$V108)-1)/2</f>
        <v>2</v>
      </c>
      <c r="AE108" s="0" t="n">
        <f aca="false">1+COUNTIF($T108:$W108,"&gt;"&amp;$W108)+(COUNTIF($T108:$W108,$W108)-1)/2</f>
        <v>1</v>
      </c>
      <c r="AF108" s="0" t="n">
        <f aca="false">IFERROR(CORREL($P108:$S108,$T108:$W108),"")</f>
        <v>-0.62284629216241</v>
      </c>
      <c r="AG108" s="0" t="n">
        <f aca="false">IFERROR(CORREL($X108:$AA108,$AB108:$AE108),"")</f>
        <v>-0.8</v>
      </c>
      <c r="AH108" s="0" t="n">
        <f aca="false">IFERROR((SIGN($P108-$Q108)*SIGN($T108-$U108)+SIGN($P108-$R108)*SIGN($T108-$V108)+SIGN($P108-$S108)*SIGN($T108-$W108)+SIGN($Q108-$R108)*SIGN($U108-$V108)+SIGN($Q108-$S108)*SIGN($U108-$W108)+SIGN($R108-$S108)*SIGN($V108-$W108))/SQRT((6-(($P108=$Q108)*1+($P108=$R108)*1+($P108=$S108)*1+($Q108=$R108)*1+($Q108=$S108)*1+($R108=$S108)*1))*(6-(($T108=$U108)*1+($T108=$V108)*1+($T108=$W108)*1+($U108=$V108)*1+($U108=$W108)*1+($V108=$W108)*1))),"")</f>
        <v>-0.666666666666667</v>
      </c>
      <c r="AI108" s="0" t="n">
        <f aca="false">MATCH(MAX($K108:$O108),$K108:$O108,0)</f>
        <v>5</v>
      </c>
      <c r="AJ108" s="0" t="n">
        <f aca="false">IF(AI108&lt;&gt;$E108,1,0)</f>
        <v>1</v>
      </c>
      <c r="AK108" s="0" t="n">
        <f aca="false">IF(AJ108=1,INDEX($F108:$J108,AI108)/MAX($P108:$S108),"")</f>
        <v>0.31</v>
      </c>
      <c r="AL108" s="0" t="n">
        <f aca="false">IF(AJ108=1,1+COUNTIF($P108:$S108,"&gt;"&amp;INDEX($F108:$J108,AI108)),"")</f>
        <v>4</v>
      </c>
      <c r="AM108" s="0" t="n">
        <f aca="false">AVERAGE($P108:$S108)/MAX($P108:$S108)</f>
        <v>0.5875</v>
      </c>
      <c r="AN108" s="0" t="n">
        <f aca="false">100-INDEX($F108:$J108,$E108)</f>
        <v>70.4</v>
      </c>
    </row>
    <row r="109" customFormat="false" ht="15" hidden="false" customHeight="false" outlineLevel="0" collapsed="false">
      <c r="A109" s="0" t="s">
        <v>40</v>
      </c>
      <c r="B109" s="0" t="n">
        <v>2022</v>
      </c>
      <c r="C109" s="0" t="s">
        <v>51</v>
      </c>
      <c r="D109" s="0" t="s">
        <v>45</v>
      </c>
      <c r="E109" s="0" t="n">
        <v>2</v>
      </c>
      <c r="F109" s="0" t="n">
        <v>19.3</v>
      </c>
      <c r="G109" s="0" t="n">
        <v>27.3</v>
      </c>
      <c r="H109" s="0" t="n">
        <v>18.3</v>
      </c>
      <c r="I109" s="0" t="n">
        <v>17.7</v>
      </c>
      <c r="J109" s="0" t="n">
        <v>17.4</v>
      </c>
      <c r="K109" s="0" t="n">
        <v>10.6717453806</v>
      </c>
      <c r="L109" s="0" t="n">
        <v>59.2040614953</v>
      </c>
      <c r="M109" s="0" t="n">
        <v>2.99099240155</v>
      </c>
      <c r="N109" s="0" t="n">
        <v>10.7400160588</v>
      </c>
      <c r="O109" s="0" t="n">
        <v>16.3931846637</v>
      </c>
      <c r="P109" s="0" t="n">
        <f aca="false">INDEX($F109:$J109,IF(1&lt;$E109,1,1+1))</f>
        <v>19.3</v>
      </c>
      <c r="Q109" s="0" t="n">
        <f aca="false">INDEX($F109:$J109,IF(2&lt;$E109,2,2+1))</f>
        <v>18.3</v>
      </c>
      <c r="R109" s="0" t="n">
        <f aca="false">INDEX($F109:$J109,IF(3&lt;$E109,3,3+1))</f>
        <v>17.7</v>
      </c>
      <c r="S109" s="0" t="n">
        <f aca="false">INDEX($F109:$J109,IF(4&lt;$E109,4,4+1))</f>
        <v>17.4</v>
      </c>
      <c r="T109" s="0" t="n">
        <f aca="false">INDEX($K109:$O109,IF(1&lt;$E109,1,1+1))</f>
        <v>10.6717453806</v>
      </c>
      <c r="U109" s="0" t="n">
        <f aca="false">INDEX($K109:$O109,IF(2&lt;$E109,2,2+1))</f>
        <v>2.99099240155</v>
      </c>
      <c r="V109" s="0" t="n">
        <f aca="false">INDEX($K109:$O109,IF(3&lt;$E109,3,3+1))</f>
        <v>10.7400160588</v>
      </c>
      <c r="W109" s="0" t="n">
        <f aca="false">INDEX($K109:$O109,IF(4&lt;$E109,4,4+1))</f>
        <v>16.3931846637</v>
      </c>
      <c r="X109" s="0" t="n">
        <f aca="false">1+COUNTIF($P109:$S109,"&gt;"&amp;$P109)+(COUNTIF($P109:$S109,$P109)-1)/2</f>
        <v>1</v>
      </c>
      <c r="Y109" s="0" t="n">
        <f aca="false">1+COUNTIF($P109:$S109,"&gt;"&amp;$Q109)+(COUNTIF($P109:$S109,$Q109)-1)/2</f>
        <v>2</v>
      </c>
      <c r="Z109" s="0" t="n">
        <f aca="false">1+COUNTIF($P109:$S109,"&gt;"&amp;$R109)+(COUNTIF($P109:$S109,$R109)-1)/2</f>
        <v>3</v>
      </c>
      <c r="AA109" s="0" t="n">
        <f aca="false">1+COUNTIF($P109:$S109,"&gt;"&amp;$S109)+(COUNTIF($P109:$S109,$S109)-1)/2</f>
        <v>4</v>
      </c>
      <c r="AB109" s="0" t="n">
        <f aca="false">1+COUNTIF($T109:$W109,"&gt;"&amp;$T109)+(COUNTIF($T109:$W109,$T109)-1)/2</f>
        <v>3</v>
      </c>
      <c r="AC109" s="0" t="n">
        <f aca="false">1+COUNTIF($T109:$W109,"&gt;"&amp;$U109)+(COUNTIF($T109:$W109,$U109)-1)/2</f>
        <v>4</v>
      </c>
      <c r="AD109" s="0" t="n">
        <f aca="false">1+COUNTIF($T109:$W109,"&gt;"&amp;$V109)+(COUNTIF($T109:$W109,$V109)-1)/2</f>
        <v>2</v>
      </c>
      <c r="AE109" s="0" t="n">
        <f aca="false">1+COUNTIF($T109:$W109,"&gt;"&amp;$W109)+(COUNTIF($T109:$W109,$W109)-1)/2</f>
        <v>1</v>
      </c>
      <c r="AF109" s="0" t="n">
        <f aca="false">IFERROR(CORREL($P109:$S109,$T109:$W109),"")</f>
        <v>-0.392201944373936</v>
      </c>
      <c r="AG109" s="0" t="n">
        <f aca="false">IFERROR(CORREL($X109:$AA109,$AB109:$AE109),"")</f>
        <v>-0.8</v>
      </c>
      <c r="AH109" s="0" t="n">
        <f aca="false">IFERROR((SIGN($P109-$Q109)*SIGN($T109-$U109)+SIGN($P109-$R109)*SIGN($T109-$V109)+SIGN($P109-$S109)*SIGN($T109-$W109)+SIGN($Q109-$R109)*SIGN($U109-$V109)+SIGN($Q109-$S109)*SIGN($U109-$W109)+SIGN($R109-$S109)*SIGN($V109-$W109))/SQRT((6-(($P109=$Q109)*1+($P109=$R109)*1+($P109=$S109)*1+($Q109=$R109)*1+($Q109=$S109)*1+($R109=$S109)*1))*(6-(($T109=$U109)*1+($T109=$V109)*1+($T109=$W109)*1+($U109=$V109)*1+($U109=$W109)*1+($V109=$W109)*1))),"")</f>
        <v>-0.666666666666667</v>
      </c>
      <c r="AI109" s="0" t="n">
        <f aca="false">MATCH(MAX($K109:$O109),$K109:$O109,0)</f>
        <v>2</v>
      </c>
      <c r="AJ109" s="0" t="n">
        <f aca="false">IF(AI109&lt;&gt;$E109,1,0)</f>
        <v>0</v>
      </c>
      <c r="AK109" s="0" t="str">
        <f aca="false">IF(AJ109=1,INDEX($F109:$J109,AI109)/MAX($P109:$S109),"")</f>
        <v/>
      </c>
      <c r="AL109" s="0" t="str">
        <f aca="false">IF(AJ109=1,1+COUNTIF($P109:$S109,"&gt;"&amp;INDEX($F109:$J109,AI109)),"")</f>
        <v/>
      </c>
      <c r="AM109" s="0" t="n">
        <f aca="false">AVERAGE($P109:$S109)/MAX($P109:$S109)</f>
        <v>0.941709844559586</v>
      </c>
      <c r="AN109" s="0" t="n">
        <f aca="false">100-INDEX($F109:$J109,$E109)</f>
        <v>72.7</v>
      </c>
    </row>
    <row r="110" customFormat="false" ht="15" hidden="false" customHeight="false" outlineLevel="0" collapsed="false">
      <c r="A110" s="0" t="s">
        <v>40</v>
      </c>
      <c r="B110" s="0" t="n">
        <v>2022</v>
      </c>
      <c r="C110" s="0" t="s">
        <v>52</v>
      </c>
      <c r="D110" s="0" t="s">
        <v>42</v>
      </c>
      <c r="E110" s="0" t="n">
        <v>2</v>
      </c>
      <c r="F110" s="0" t="n">
        <v>19.7</v>
      </c>
      <c r="G110" s="0" t="n">
        <v>26.5</v>
      </c>
      <c r="H110" s="0" t="n">
        <v>27.8</v>
      </c>
      <c r="I110" s="0" t="n">
        <v>14.3</v>
      </c>
      <c r="J110" s="0" t="n">
        <v>10.6</v>
      </c>
      <c r="K110" s="0" t="n">
        <v>1.49844477705</v>
      </c>
      <c r="L110" s="0" t="n">
        <v>0.862960192799</v>
      </c>
      <c r="M110" s="0" t="n">
        <v>96.2934602835</v>
      </c>
      <c r="N110" s="0" t="n">
        <v>0.402111058206</v>
      </c>
      <c r="O110" s="0" t="n">
        <v>0.943023688421</v>
      </c>
      <c r="P110" s="0" t="n">
        <f aca="false">INDEX($F110:$J110,IF(1&lt;$E110,1,1+1))</f>
        <v>19.7</v>
      </c>
      <c r="Q110" s="0" t="n">
        <f aca="false">INDEX($F110:$J110,IF(2&lt;$E110,2,2+1))</f>
        <v>27.8</v>
      </c>
      <c r="R110" s="0" t="n">
        <f aca="false">INDEX($F110:$J110,IF(3&lt;$E110,3,3+1))</f>
        <v>14.3</v>
      </c>
      <c r="S110" s="0" t="n">
        <f aca="false">INDEX($F110:$J110,IF(4&lt;$E110,4,4+1))</f>
        <v>10.6</v>
      </c>
      <c r="T110" s="0" t="n">
        <f aca="false">INDEX($K110:$O110,IF(1&lt;$E110,1,1+1))</f>
        <v>1.49844477705</v>
      </c>
      <c r="U110" s="0" t="n">
        <f aca="false">INDEX($K110:$O110,IF(2&lt;$E110,2,2+1))</f>
        <v>96.2934602835</v>
      </c>
      <c r="V110" s="0" t="n">
        <f aca="false">INDEX($K110:$O110,IF(3&lt;$E110,3,3+1))</f>
        <v>0.402111058206</v>
      </c>
      <c r="W110" s="0" t="n">
        <f aca="false">INDEX($K110:$O110,IF(4&lt;$E110,4,4+1))</f>
        <v>0.943023688421</v>
      </c>
      <c r="X110" s="0" t="n">
        <f aca="false">1+COUNTIF($P110:$S110,"&gt;"&amp;$P110)+(COUNTIF($P110:$S110,$P110)-1)/2</f>
        <v>2</v>
      </c>
      <c r="Y110" s="0" t="n">
        <f aca="false">1+COUNTIF($P110:$S110,"&gt;"&amp;$Q110)+(COUNTIF($P110:$S110,$Q110)-1)/2</f>
        <v>1</v>
      </c>
      <c r="Z110" s="0" t="n">
        <f aca="false">1+COUNTIF($P110:$S110,"&gt;"&amp;$R110)+(COUNTIF($P110:$S110,$R110)-1)/2</f>
        <v>3</v>
      </c>
      <c r="AA110" s="0" t="n">
        <f aca="false">1+COUNTIF($P110:$S110,"&gt;"&amp;$S110)+(COUNTIF($P110:$S110,$S110)-1)/2</f>
        <v>4</v>
      </c>
      <c r="AB110" s="0" t="n">
        <f aca="false">1+COUNTIF($T110:$W110,"&gt;"&amp;$T110)+(COUNTIF($T110:$W110,$T110)-1)/2</f>
        <v>2</v>
      </c>
      <c r="AC110" s="0" t="n">
        <f aca="false">1+COUNTIF($T110:$W110,"&gt;"&amp;$U110)+(COUNTIF($T110:$W110,$U110)-1)/2</f>
        <v>1</v>
      </c>
      <c r="AD110" s="0" t="n">
        <f aca="false">1+COUNTIF($T110:$W110,"&gt;"&amp;$V110)+(COUNTIF($T110:$W110,$V110)-1)/2</f>
        <v>4</v>
      </c>
      <c r="AE110" s="0" t="n">
        <f aca="false">1+COUNTIF($T110:$W110,"&gt;"&amp;$W110)+(COUNTIF($T110:$W110,$W110)-1)/2</f>
        <v>3</v>
      </c>
      <c r="AF110" s="0" t="n">
        <f aca="false">IFERROR(CORREL($P110:$S110,$T110:$W110),"")</f>
        <v>0.868609068773332</v>
      </c>
      <c r="AG110" s="0" t="n">
        <f aca="false">IFERROR(CORREL($X110:$AA110,$AB110:$AE110),"")</f>
        <v>0.8</v>
      </c>
      <c r="AH110" s="0" t="n">
        <f aca="false">IFERROR((SIGN($P110-$Q110)*SIGN($T110-$U110)+SIGN($P110-$R110)*SIGN($T110-$V110)+SIGN($P110-$S110)*SIGN($T110-$W110)+SIGN($Q110-$R110)*SIGN($U110-$V110)+SIGN($Q110-$S110)*SIGN($U110-$W110)+SIGN($R110-$S110)*SIGN($V110-$W110))/SQRT((6-(($P110=$Q110)*1+($P110=$R110)*1+($P110=$S110)*1+($Q110=$R110)*1+($Q110=$S110)*1+($R110=$S110)*1))*(6-(($T110=$U110)*1+($T110=$V110)*1+($T110=$W110)*1+($U110=$V110)*1+($U110=$W110)*1+($V110=$W110)*1))),"")</f>
        <v>0.666666666666667</v>
      </c>
      <c r="AI110" s="0" t="n">
        <f aca="false">MATCH(MAX($K110:$O110),$K110:$O110,0)</f>
        <v>3</v>
      </c>
      <c r="AJ110" s="0" t="n">
        <f aca="false">IF(AI110&lt;&gt;$E110,1,0)</f>
        <v>1</v>
      </c>
      <c r="AK110" s="0" t="n">
        <f aca="false">IF(AJ110=1,INDEX($F110:$J110,AI110)/MAX($P110:$S110),"")</f>
        <v>1</v>
      </c>
      <c r="AL110" s="0" t="n">
        <f aca="false">IF(AJ110=1,1+COUNTIF($P110:$S110,"&gt;"&amp;INDEX($F110:$J110,AI110)),"")</f>
        <v>1</v>
      </c>
      <c r="AM110" s="0" t="n">
        <f aca="false">AVERAGE($P110:$S110)/MAX($P110:$S110)</f>
        <v>0.651079136690648</v>
      </c>
      <c r="AN110" s="0" t="n">
        <f aca="false">100-INDEX($F110:$J110,$E110)</f>
        <v>73.5</v>
      </c>
    </row>
    <row r="111" customFormat="false" ht="15" hidden="false" customHeight="false" outlineLevel="0" collapsed="false">
      <c r="A111" s="0" t="s">
        <v>40</v>
      </c>
      <c r="B111" s="0" t="n">
        <v>2022</v>
      </c>
      <c r="C111" s="0" t="s">
        <v>52</v>
      </c>
      <c r="D111" s="0" t="s">
        <v>43</v>
      </c>
      <c r="E111" s="0" t="n">
        <v>1</v>
      </c>
      <c r="F111" s="0" t="n">
        <v>35.3</v>
      </c>
      <c r="G111" s="0" t="n">
        <v>13.1</v>
      </c>
      <c r="H111" s="0" t="n">
        <v>16.5</v>
      </c>
      <c r="I111" s="0" t="n">
        <v>26.5</v>
      </c>
      <c r="J111" s="0" t="n">
        <v>7.5</v>
      </c>
      <c r="K111" s="0" t="n">
        <v>56.9320638875</v>
      </c>
      <c r="L111" s="0" t="n">
        <v>5.64537530942</v>
      </c>
      <c r="M111" s="0" t="n">
        <v>8.62646506433</v>
      </c>
      <c r="N111" s="0" t="n">
        <v>23.9320071795</v>
      </c>
      <c r="O111" s="0" t="n">
        <v>4.86408855921</v>
      </c>
      <c r="P111" s="0" t="n">
        <f aca="false">INDEX($F111:$J111,IF(1&lt;$E111,1,1+1))</f>
        <v>13.1</v>
      </c>
      <c r="Q111" s="0" t="n">
        <f aca="false">INDEX($F111:$J111,IF(2&lt;$E111,2,2+1))</f>
        <v>16.5</v>
      </c>
      <c r="R111" s="0" t="n">
        <f aca="false">INDEX($F111:$J111,IF(3&lt;$E111,3,3+1))</f>
        <v>26.5</v>
      </c>
      <c r="S111" s="0" t="n">
        <f aca="false">INDEX($F111:$J111,IF(4&lt;$E111,4,4+1))</f>
        <v>7.5</v>
      </c>
      <c r="T111" s="0" t="n">
        <f aca="false">INDEX($K111:$O111,IF(1&lt;$E111,1,1+1))</f>
        <v>5.64537530942</v>
      </c>
      <c r="U111" s="0" t="n">
        <f aca="false">INDEX($K111:$O111,IF(2&lt;$E111,2,2+1))</f>
        <v>8.62646506433</v>
      </c>
      <c r="V111" s="0" t="n">
        <f aca="false">INDEX($K111:$O111,IF(3&lt;$E111,3,3+1))</f>
        <v>23.9320071795</v>
      </c>
      <c r="W111" s="0" t="n">
        <f aca="false">INDEX($K111:$O111,IF(4&lt;$E111,4,4+1))</f>
        <v>4.86408855921</v>
      </c>
      <c r="X111" s="0" t="n">
        <f aca="false">1+COUNTIF($P111:$S111,"&gt;"&amp;$P111)+(COUNTIF($P111:$S111,$P111)-1)/2</f>
        <v>3</v>
      </c>
      <c r="Y111" s="0" t="n">
        <f aca="false">1+COUNTIF($P111:$S111,"&gt;"&amp;$Q111)+(COUNTIF($P111:$S111,$Q111)-1)/2</f>
        <v>2</v>
      </c>
      <c r="Z111" s="0" t="n">
        <f aca="false">1+COUNTIF($P111:$S111,"&gt;"&amp;$R111)+(COUNTIF($P111:$S111,$R111)-1)/2</f>
        <v>1</v>
      </c>
      <c r="AA111" s="0" t="n">
        <f aca="false">1+COUNTIF($P111:$S111,"&gt;"&amp;$S111)+(COUNTIF($P111:$S111,$S111)-1)/2</f>
        <v>4</v>
      </c>
      <c r="AB111" s="0" t="n">
        <f aca="false">1+COUNTIF($T111:$W111,"&gt;"&amp;$T111)+(COUNTIF($T111:$W111,$T111)-1)/2</f>
        <v>3</v>
      </c>
      <c r="AC111" s="0" t="n">
        <f aca="false">1+COUNTIF($T111:$W111,"&gt;"&amp;$U111)+(COUNTIF($T111:$W111,$U111)-1)/2</f>
        <v>2</v>
      </c>
      <c r="AD111" s="0" t="n">
        <f aca="false">1+COUNTIF($T111:$W111,"&gt;"&amp;$V111)+(COUNTIF($T111:$W111,$V111)-1)/2</f>
        <v>1</v>
      </c>
      <c r="AE111" s="0" t="n">
        <f aca="false">1+COUNTIF($T111:$W111,"&gt;"&amp;$W111)+(COUNTIF($T111:$W111,$W111)-1)/2</f>
        <v>4</v>
      </c>
      <c r="AF111" s="0" t="n">
        <f aca="false">IFERROR(CORREL($P111:$S111,$T111:$W111),"")</f>
        <v>0.946084920701139</v>
      </c>
      <c r="AG111" s="0" t="n">
        <f aca="false">IFERROR(CORREL($X111:$AA111,$AB111:$AE111),"")</f>
        <v>1</v>
      </c>
      <c r="AH111" s="0" t="n">
        <f aca="false">IFERROR((SIGN($P111-$Q111)*SIGN($T111-$U111)+SIGN($P111-$R111)*SIGN($T111-$V111)+SIGN($P111-$S111)*SIGN($T111-$W111)+SIGN($Q111-$R111)*SIGN($U111-$V111)+SIGN($Q111-$S111)*SIGN($U111-$W111)+SIGN($R111-$S111)*SIGN($V111-$W111))/SQRT((6-(($P111=$Q111)*1+($P111=$R111)*1+($P111=$S111)*1+($Q111=$R111)*1+($Q111=$S111)*1+($R111=$S111)*1))*(6-(($T111=$U111)*1+($T111=$V111)*1+($T111=$W111)*1+($U111=$V111)*1+($U111=$W111)*1+($V111=$W111)*1))),"")</f>
        <v>1</v>
      </c>
      <c r="AI111" s="0" t="n">
        <f aca="false">MATCH(MAX($K111:$O111),$K111:$O111,0)</f>
        <v>1</v>
      </c>
      <c r="AJ111" s="0" t="n">
        <f aca="false">IF(AI111&lt;&gt;$E111,1,0)</f>
        <v>0</v>
      </c>
      <c r="AK111" s="0" t="str">
        <f aca="false">IF(AJ111=1,INDEX($F111:$J111,AI111)/MAX($P111:$S111),"")</f>
        <v/>
      </c>
      <c r="AL111" s="0" t="str">
        <f aca="false">IF(AJ111=1,1+COUNTIF($P111:$S111,"&gt;"&amp;INDEX($F111:$J111,AI111)),"")</f>
        <v/>
      </c>
      <c r="AM111" s="0" t="n">
        <f aca="false">AVERAGE($P111:$S111)/MAX($P111:$S111)</f>
        <v>0.6</v>
      </c>
      <c r="AN111" s="0" t="n">
        <f aca="false">100-INDEX($F111:$J111,$E111)</f>
        <v>64.7</v>
      </c>
    </row>
    <row r="112" customFormat="false" ht="15" hidden="false" customHeight="false" outlineLevel="0" collapsed="false">
      <c r="A112" s="0" t="s">
        <v>40</v>
      </c>
      <c r="B112" s="0" t="n">
        <v>2022</v>
      </c>
      <c r="C112" s="0" t="s">
        <v>52</v>
      </c>
      <c r="D112" s="0" t="s">
        <v>44</v>
      </c>
      <c r="E112" s="0" t="n">
        <v>3</v>
      </c>
      <c r="F112" s="0" t="n">
        <v>14.1</v>
      </c>
      <c r="G112" s="0" t="n">
        <v>25.9</v>
      </c>
      <c r="H112" s="0" t="n">
        <v>30.1</v>
      </c>
      <c r="I112" s="0" t="n">
        <v>16.4</v>
      </c>
      <c r="J112" s="0" t="n">
        <v>12.4</v>
      </c>
      <c r="K112" s="0" t="n">
        <v>37.8033248001</v>
      </c>
      <c r="L112" s="0" t="n">
        <v>3.20326070454</v>
      </c>
      <c r="M112" s="0" t="n">
        <v>17.9752660621</v>
      </c>
      <c r="N112" s="0" t="n">
        <v>7.37499064764</v>
      </c>
      <c r="O112" s="0" t="n">
        <v>33.6431577856</v>
      </c>
      <c r="P112" s="0" t="n">
        <f aca="false">INDEX($F112:$J112,IF(1&lt;$E112,1,1+1))</f>
        <v>14.1</v>
      </c>
      <c r="Q112" s="0" t="n">
        <f aca="false">INDEX($F112:$J112,IF(2&lt;$E112,2,2+1))</f>
        <v>25.9</v>
      </c>
      <c r="R112" s="0" t="n">
        <f aca="false">INDEX($F112:$J112,IF(3&lt;$E112,3,3+1))</f>
        <v>16.4</v>
      </c>
      <c r="S112" s="0" t="n">
        <f aca="false">INDEX($F112:$J112,IF(4&lt;$E112,4,4+1))</f>
        <v>12.4</v>
      </c>
      <c r="T112" s="0" t="n">
        <f aca="false">INDEX($K112:$O112,IF(1&lt;$E112,1,1+1))</f>
        <v>37.8033248001</v>
      </c>
      <c r="U112" s="0" t="n">
        <f aca="false">INDEX($K112:$O112,IF(2&lt;$E112,2,2+1))</f>
        <v>3.20326070454</v>
      </c>
      <c r="V112" s="0" t="n">
        <f aca="false">INDEX($K112:$O112,IF(3&lt;$E112,3,3+1))</f>
        <v>7.37499064764</v>
      </c>
      <c r="W112" s="0" t="n">
        <f aca="false">INDEX($K112:$O112,IF(4&lt;$E112,4,4+1))</f>
        <v>33.6431577856</v>
      </c>
      <c r="X112" s="0" t="n">
        <f aca="false">1+COUNTIF($P112:$S112,"&gt;"&amp;$P112)+(COUNTIF($P112:$S112,$P112)-1)/2</f>
        <v>3</v>
      </c>
      <c r="Y112" s="0" t="n">
        <f aca="false">1+COUNTIF($P112:$S112,"&gt;"&amp;$Q112)+(COUNTIF($P112:$S112,$Q112)-1)/2</f>
        <v>1</v>
      </c>
      <c r="Z112" s="0" t="n">
        <f aca="false">1+COUNTIF($P112:$S112,"&gt;"&amp;$R112)+(COUNTIF($P112:$S112,$R112)-1)/2</f>
        <v>2</v>
      </c>
      <c r="AA112" s="0" t="n">
        <f aca="false">1+COUNTIF($P112:$S112,"&gt;"&amp;$S112)+(COUNTIF($P112:$S112,$S112)-1)/2</f>
        <v>4</v>
      </c>
      <c r="AB112" s="0" t="n">
        <f aca="false">1+COUNTIF($T112:$W112,"&gt;"&amp;$T112)+(COUNTIF($T112:$W112,$T112)-1)/2</f>
        <v>1</v>
      </c>
      <c r="AC112" s="0" t="n">
        <f aca="false">1+COUNTIF($T112:$W112,"&gt;"&amp;$U112)+(COUNTIF($T112:$W112,$U112)-1)/2</f>
        <v>4</v>
      </c>
      <c r="AD112" s="0" t="n">
        <f aca="false">1+COUNTIF($T112:$W112,"&gt;"&amp;$V112)+(COUNTIF($T112:$W112,$V112)-1)/2</f>
        <v>3</v>
      </c>
      <c r="AE112" s="0" t="n">
        <f aca="false">1+COUNTIF($T112:$W112,"&gt;"&amp;$W112)+(COUNTIF($T112:$W112,$W112)-1)/2</f>
        <v>2</v>
      </c>
      <c r="AF112" s="0" t="n">
        <f aca="false">IFERROR(CORREL($P112:$S112,$T112:$W112),"")</f>
        <v>-0.80052712277031</v>
      </c>
      <c r="AG112" s="0" t="n">
        <f aca="false">IFERROR(CORREL($X112:$AA112,$AB112:$AE112),"")</f>
        <v>-0.8</v>
      </c>
      <c r="AH112" s="0" t="n">
        <f aca="false">IFERROR((SIGN($P112-$Q112)*SIGN($T112-$U112)+SIGN($P112-$R112)*SIGN($T112-$V112)+SIGN($P112-$S112)*SIGN($T112-$W112)+SIGN($Q112-$R112)*SIGN($U112-$V112)+SIGN($Q112-$S112)*SIGN($U112-$W112)+SIGN($R112-$S112)*SIGN($V112-$W112))/SQRT((6-(($P112=$Q112)*1+($P112=$R112)*1+($P112=$S112)*1+($Q112=$R112)*1+($Q112=$S112)*1+($R112=$S112)*1))*(6-(($T112=$U112)*1+($T112=$V112)*1+($T112=$W112)*1+($U112=$V112)*1+($U112=$W112)*1+($V112=$W112)*1))),"")</f>
        <v>-0.666666666666667</v>
      </c>
      <c r="AI112" s="0" t="n">
        <f aca="false">MATCH(MAX($K112:$O112),$K112:$O112,0)</f>
        <v>1</v>
      </c>
      <c r="AJ112" s="0" t="n">
        <f aca="false">IF(AI112&lt;&gt;$E112,1,0)</f>
        <v>1</v>
      </c>
      <c r="AK112" s="0" t="n">
        <f aca="false">IF(AJ112=1,INDEX($F112:$J112,AI112)/MAX($P112:$S112),"")</f>
        <v>0.544401544401544</v>
      </c>
      <c r="AL112" s="0" t="n">
        <f aca="false">IF(AJ112=1,1+COUNTIF($P112:$S112,"&gt;"&amp;INDEX($F112:$J112,AI112)),"")</f>
        <v>3</v>
      </c>
      <c r="AM112" s="0" t="n">
        <f aca="false">AVERAGE($P112:$S112)/MAX($P112:$S112)</f>
        <v>0.664092664092664</v>
      </c>
      <c r="AN112" s="0" t="n">
        <f aca="false">100-INDEX($F112:$J112,$E112)</f>
        <v>69.9</v>
      </c>
    </row>
    <row r="113" customFormat="false" ht="15" hidden="false" customHeight="false" outlineLevel="0" collapsed="false">
      <c r="A113" s="0" t="s">
        <v>40</v>
      </c>
      <c r="B113" s="0" t="n">
        <v>2022</v>
      </c>
      <c r="C113" s="0" t="s">
        <v>52</v>
      </c>
      <c r="D113" s="0" t="s">
        <v>45</v>
      </c>
      <c r="E113" s="0" t="n">
        <v>5</v>
      </c>
      <c r="F113" s="0" t="n">
        <v>26.1</v>
      </c>
      <c r="G113" s="0" t="n">
        <v>18.5</v>
      </c>
      <c r="H113" s="0" t="n">
        <v>20.1</v>
      </c>
      <c r="I113" s="0" t="n">
        <v>13.2</v>
      </c>
      <c r="J113" s="0" t="n">
        <v>21</v>
      </c>
      <c r="K113" s="0" t="n">
        <v>51.9826917152</v>
      </c>
      <c r="L113" s="0" t="n">
        <v>12.4550545473</v>
      </c>
      <c r="M113" s="0" t="n">
        <v>2.43725877168</v>
      </c>
      <c r="N113" s="0" t="n">
        <v>6.86928258626</v>
      </c>
      <c r="O113" s="0" t="n">
        <v>26.2557123795</v>
      </c>
      <c r="P113" s="0" t="n">
        <f aca="false">INDEX($F113:$J113,IF(1&lt;$E113,1,1+1))</f>
        <v>26.1</v>
      </c>
      <c r="Q113" s="0" t="n">
        <f aca="false">INDEX($F113:$J113,IF(2&lt;$E113,2,2+1))</f>
        <v>18.5</v>
      </c>
      <c r="R113" s="0" t="n">
        <f aca="false">INDEX($F113:$J113,IF(3&lt;$E113,3,3+1))</f>
        <v>20.1</v>
      </c>
      <c r="S113" s="0" t="n">
        <f aca="false">INDEX($F113:$J113,IF(4&lt;$E113,4,4+1))</f>
        <v>13.2</v>
      </c>
      <c r="T113" s="0" t="n">
        <f aca="false">INDEX($K113:$O113,IF(1&lt;$E113,1,1+1))</f>
        <v>51.9826917152</v>
      </c>
      <c r="U113" s="0" t="n">
        <f aca="false">INDEX($K113:$O113,IF(2&lt;$E113,2,2+1))</f>
        <v>12.4550545473</v>
      </c>
      <c r="V113" s="0" t="n">
        <f aca="false">INDEX($K113:$O113,IF(3&lt;$E113,3,3+1))</f>
        <v>2.43725877168</v>
      </c>
      <c r="W113" s="0" t="n">
        <f aca="false">INDEX($K113:$O113,IF(4&lt;$E113,4,4+1))</f>
        <v>6.86928258626</v>
      </c>
      <c r="X113" s="0" t="n">
        <f aca="false">1+COUNTIF($P113:$S113,"&gt;"&amp;$P113)+(COUNTIF($P113:$S113,$P113)-1)/2</f>
        <v>1</v>
      </c>
      <c r="Y113" s="0" t="n">
        <f aca="false">1+COUNTIF($P113:$S113,"&gt;"&amp;$Q113)+(COUNTIF($P113:$S113,$Q113)-1)/2</f>
        <v>3</v>
      </c>
      <c r="Z113" s="0" t="n">
        <f aca="false">1+COUNTIF($P113:$S113,"&gt;"&amp;$R113)+(COUNTIF($P113:$S113,$R113)-1)/2</f>
        <v>2</v>
      </c>
      <c r="AA113" s="0" t="n">
        <f aca="false">1+COUNTIF($P113:$S113,"&gt;"&amp;$S113)+(COUNTIF($P113:$S113,$S113)-1)/2</f>
        <v>4</v>
      </c>
      <c r="AB113" s="0" t="n">
        <f aca="false">1+COUNTIF($T113:$W113,"&gt;"&amp;$T113)+(COUNTIF($T113:$W113,$T113)-1)/2</f>
        <v>1</v>
      </c>
      <c r="AC113" s="0" t="n">
        <f aca="false">1+COUNTIF($T113:$W113,"&gt;"&amp;$U113)+(COUNTIF($T113:$W113,$U113)-1)/2</f>
        <v>2</v>
      </c>
      <c r="AD113" s="0" t="n">
        <f aca="false">1+COUNTIF($T113:$W113,"&gt;"&amp;$V113)+(COUNTIF($T113:$W113,$V113)-1)/2</f>
        <v>4</v>
      </c>
      <c r="AE113" s="0" t="n">
        <f aca="false">1+COUNTIF($T113:$W113,"&gt;"&amp;$W113)+(COUNTIF($T113:$W113,$W113)-1)/2</f>
        <v>3</v>
      </c>
      <c r="AF113" s="0" t="n">
        <f aca="false">IFERROR(CORREL($P113:$S113,$T113:$W113),"")</f>
        <v>0.802396639803496</v>
      </c>
      <c r="AG113" s="0" t="n">
        <f aca="false">IFERROR(CORREL($X113:$AA113,$AB113:$AE113),"")</f>
        <v>0.4</v>
      </c>
      <c r="AH113" s="0" t="n">
        <f aca="false">IFERROR((SIGN($P113-$Q113)*SIGN($T113-$U113)+SIGN($P113-$R113)*SIGN($T113-$V113)+SIGN($P113-$S113)*SIGN($T113-$W113)+SIGN($Q113-$R113)*SIGN($U113-$V113)+SIGN($Q113-$S113)*SIGN($U113-$W113)+SIGN($R113-$S113)*SIGN($V113-$W113))/SQRT((6-(($P113=$Q113)*1+($P113=$R113)*1+($P113=$S113)*1+($Q113=$R113)*1+($Q113=$S113)*1+($R113=$S113)*1))*(6-(($T113=$U113)*1+($T113=$V113)*1+($T113=$W113)*1+($U113=$V113)*1+($U113=$W113)*1+($V113=$W113)*1))),"")</f>
        <v>0.333333333333333</v>
      </c>
      <c r="AI113" s="0" t="n">
        <f aca="false">MATCH(MAX($K113:$O113),$K113:$O113,0)</f>
        <v>1</v>
      </c>
      <c r="AJ113" s="0" t="n">
        <f aca="false">IF(AI113&lt;&gt;$E113,1,0)</f>
        <v>1</v>
      </c>
      <c r="AK113" s="0" t="n">
        <f aca="false">IF(AJ113=1,INDEX($F113:$J113,AI113)/MAX($P113:$S113),"")</f>
        <v>1</v>
      </c>
      <c r="AL113" s="0" t="n">
        <f aca="false">IF(AJ113=1,1+COUNTIF($P113:$S113,"&gt;"&amp;INDEX($F113:$J113,AI113)),"")</f>
        <v>1</v>
      </c>
      <c r="AM113" s="0" t="n">
        <f aca="false">AVERAGE($P113:$S113)/MAX($P113:$S113)</f>
        <v>0.746168582375479</v>
      </c>
      <c r="AN113" s="0" t="n">
        <f aca="false">100-INDEX($F113:$J113,$E113)</f>
        <v>79</v>
      </c>
    </row>
    <row r="114" customFormat="false" ht="15" hidden="false" customHeight="false" outlineLevel="0" collapsed="false">
      <c r="A114" s="0" t="s">
        <v>40</v>
      </c>
      <c r="B114" s="0" t="n">
        <v>2022</v>
      </c>
      <c r="C114" s="0" t="s">
        <v>46</v>
      </c>
      <c r="D114" s="0" t="s">
        <v>42</v>
      </c>
      <c r="E114" s="0" t="n">
        <v>3</v>
      </c>
      <c r="F114" s="0" t="n">
        <v>12.1</v>
      </c>
      <c r="G114" s="0" t="n">
        <v>44.9</v>
      </c>
      <c r="H114" s="0" t="n">
        <v>24.3</v>
      </c>
      <c r="I114" s="0" t="n">
        <v>8.8</v>
      </c>
      <c r="J114" s="0" t="n">
        <v>8.9</v>
      </c>
      <c r="K114" s="0" t="n">
        <v>2.50566621398</v>
      </c>
      <c r="L114" s="0" t="n">
        <v>23.9722636755</v>
      </c>
      <c r="M114" s="0" t="n">
        <v>46.7791662166</v>
      </c>
      <c r="N114" s="0" t="n">
        <v>0.709460487452</v>
      </c>
      <c r="O114" s="0" t="n">
        <v>26.0334434065</v>
      </c>
      <c r="P114" s="0" t="n">
        <f aca="false">INDEX($F114:$J114,IF(1&lt;$E114,1,1+1))</f>
        <v>12.1</v>
      </c>
      <c r="Q114" s="0" t="n">
        <f aca="false">INDEX($F114:$J114,IF(2&lt;$E114,2,2+1))</f>
        <v>44.9</v>
      </c>
      <c r="R114" s="0" t="n">
        <f aca="false">INDEX($F114:$J114,IF(3&lt;$E114,3,3+1))</f>
        <v>8.8</v>
      </c>
      <c r="S114" s="0" t="n">
        <f aca="false">INDEX($F114:$J114,IF(4&lt;$E114,4,4+1))</f>
        <v>8.9</v>
      </c>
      <c r="T114" s="0" t="n">
        <f aca="false">INDEX($K114:$O114,IF(1&lt;$E114,1,1+1))</f>
        <v>2.50566621398</v>
      </c>
      <c r="U114" s="0" t="n">
        <f aca="false">INDEX($K114:$O114,IF(2&lt;$E114,2,2+1))</f>
        <v>23.9722636755</v>
      </c>
      <c r="V114" s="0" t="n">
        <f aca="false">INDEX($K114:$O114,IF(3&lt;$E114,3,3+1))</f>
        <v>0.709460487452</v>
      </c>
      <c r="W114" s="0" t="n">
        <f aca="false">INDEX($K114:$O114,IF(4&lt;$E114,4,4+1))</f>
        <v>26.0334434065</v>
      </c>
      <c r="X114" s="0" t="n">
        <f aca="false">1+COUNTIF($P114:$S114,"&gt;"&amp;$P114)+(COUNTIF($P114:$S114,$P114)-1)/2</f>
        <v>2</v>
      </c>
      <c r="Y114" s="0" t="n">
        <f aca="false">1+COUNTIF($P114:$S114,"&gt;"&amp;$Q114)+(COUNTIF($P114:$S114,$Q114)-1)/2</f>
        <v>1</v>
      </c>
      <c r="Z114" s="0" t="n">
        <f aca="false">1+COUNTIF($P114:$S114,"&gt;"&amp;$R114)+(COUNTIF($P114:$S114,$R114)-1)/2</f>
        <v>4</v>
      </c>
      <c r="AA114" s="0" t="n">
        <f aca="false">1+COUNTIF($P114:$S114,"&gt;"&amp;$S114)+(COUNTIF($P114:$S114,$S114)-1)/2</f>
        <v>3</v>
      </c>
      <c r="AB114" s="0" t="n">
        <f aca="false">1+COUNTIF($T114:$W114,"&gt;"&amp;$T114)+(COUNTIF($T114:$W114,$T114)-1)/2</f>
        <v>3</v>
      </c>
      <c r="AC114" s="0" t="n">
        <f aca="false">1+COUNTIF($T114:$W114,"&gt;"&amp;$U114)+(COUNTIF($T114:$W114,$U114)-1)/2</f>
        <v>2</v>
      </c>
      <c r="AD114" s="0" t="n">
        <f aca="false">1+COUNTIF($T114:$W114,"&gt;"&amp;$V114)+(COUNTIF($T114:$W114,$V114)-1)/2</f>
        <v>4</v>
      </c>
      <c r="AE114" s="0" t="n">
        <f aca="false">1+COUNTIF($T114:$W114,"&gt;"&amp;$W114)+(COUNTIF($T114:$W114,$W114)-1)/2</f>
        <v>1</v>
      </c>
      <c r="AF114" s="0" t="n">
        <f aca="false">IFERROR(CORREL($P114:$S114,$T114:$W114),"")</f>
        <v>0.4914746024404</v>
      </c>
      <c r="AG114" s="0" t="n">
        <f aca="false">IFERROR(CORREL($X114:$AA114,$AB114:$AE114),"")</f>
        <v>0.4</v>
      </c>
      <c r="AH114" s="0" t="n">
        <f aca="false">IFERROR((SIGN($P114-$Q114)*SIGN($T114-$U114)+SIGN($P114-$R114)*SIGN($T114-$V114)+SIGN($P114-$S114)*SIGN($T114-$W114)+SIGN($Q114-$R114)*SIGN($U114-$V114)+SIGN($Q114-$S114)*SIGN($U114-$W114)+SIGN($R114-$S114)*SIGN($V114-$W114))/SQRT((6-(($P114=$Q114)*1+($P114=$R114)*1+($P114=$S114)*1+($Q114=$R114)*1+($Q114=$S114)*1+($R114=$S114)*1))*(6-(($T114=$U114)*1+($T114=$V114)*1+($T114=$W114)*1+($U114=$V114)*1+($U114=$W114)*1+($V114=$W114)*1))),"")</f>
        <v>0.333333333333333</v>
      </c>
      <c r="AI114" s="0" t="n">
        <f aca="false">MATCH(MAX($K114:$O114),$K114:$O114,0)</f>
        <v>3</v>
      </c>
      <c r="AJ114" s="0" t="n">
        <f aca="false">IF(AI114&lt;&gt;$E114,1,0)</f>
        <v>0</v>
      </c>
      <c r="AK114" s="0" t="str">
        <f aca="false">IF(AJ114=1,INDEX($F114:$J114,AI114)/MAX($P114:$S114),"")</f>
        <v/>
      </c>
      <c r="AL114" s="0" t="str">
        <f aca="false">IF(AJ114=1,1+COUNTIF($P114:$S114,"&gt;"&amp;INDEX($F114:$J114,AI114)),"")</f>
        <v/>
      </c>
      <c r="AM114" s="0" t="n">
        <f aca="false">AVERAGE($P114:$S114)/MAX($P114:$S114)</f>
        <v>0.415924276169265</v>
      </c>
      <c r="AN114" s="0" t="n">
        <f aca="false">100-INDEX($F114:$J114,$E114)</f>
        <v>75.7</v>
      </c>
    </row>
    <row r="115" customFormat="false" ht="15" hidden="false" customHeight="false" outlineLevel="0" collapsed="false">
      <c r="A115" s="0" t="s">
        <v>40</v>
      </c>
      <c r="B115" s="0" t="n">
        <v>2022</v>
      </c>
      <c r="C115" s="0" t="s">
        <v>46</v>
      </c>
      <c r="D115" s="0" t="s">
        <v>43</v>
      </c>
      <c r="E115" s="0" t="n">
        <v>1</v>
      </c>
      <c r="F115" s="0" t="n">
        <v>29.2</v>
      </c>
      <c r="G115" s="0" t="n">
        <v>24.6</v>
      </c>
      <c r="H115" s="0" t="n">
        <v>18.4</v>
      </c>
      <c r="I115" s="0" t="n">
        <v>17.9</v>
      </c>
      <c r="J115" s="0" t="n">
        <v>8.8</v>
      </c>
      <c r="K115" s="0" t="n">
        <v>41.2352666577</v>
      </c>
      <c r="L115" s="0" t="n">
        <v>13.1711264585</v>
      </c>
      <c r="M115" s="0" t="n">
        <v>28.8781582925</v>
      </c>
      <c r="N115" s="0" t="n">
        <v>6.22643698569</v>
      </c>
      <c r="O115" s="0" t="n">
        <v>10.4890116057</v>
      </c>
      <c r="P115" s="0" t="n">
        <f aca="false">INDEX($F115:$J115,IF(1&lt;$E115,1,1+1))</f>
        <v>24.6</v>
      </c>
      <c r="Q115" s="0" t="n">
        <f aca="false">INDEX($F115:$J115,IF(2&lt;$E115,2,2+1))</f>
        <v>18.4</v>
      </c>
      <c r="R115" s="0" t="n">
        <f aca="false">INDEX($F115:$J115,IF(3&lt;$E115,3,3+1))</f>
        <v>17.9</v>
      </c>
      <c r="S115" s="0" t="n">
        <f aca="false">INDEX($F115:$J115,IF(4&lt;$E115,4,4+1))</f>
        <v>8.8</v>
      </c>
      <c r="T115" s="0" t="n">
        <f aca="false">INDEX($K115:$O115,IF(1&lt;$E115,1,1+1))</f>
        <v>13.1711264585</v>
      </c>
      <c r="U115" s="0" t="n">
        <f aca="false">INDEX($K115:$O115,IF(2&lt;$E115,2,2+1))</f>
        <v>28.8781582925</v>
      </c>
      <c r="V115" s="0" t="n">
        <f aca="false">INDEX($K115:$O115,IF(3&lt;$E115,3,3+1))</f>
        <v>6.22643698569</v>
      </c>
      <c r="W115" s="0" t="n">
        <f aca="false">INDEX($K115:$O115,IF(4&lt;$E115,4,4+1))</f>
        <v>10.4890116057</v>
      </c>
      <c r="X115" s="0" t="n">
        <f aca="false">1+COUNTIF($P115:$S115,"&gt;"&amp;$P115)+(COUNTIF($P115:$S115,$P115)-1)/2</f>
        <v>1</v>
      </c>
      <c r="Y115" s="0" t="n">
        <f aca="false">1+COUNTIF($P115:$S115,"&gt;"&amp;$Q115)+(COUNTIF($P115:$S115,$Q115)-1)/2</f>
        <v>2</v>
      </c>
      <c r="Z115" s="0" t="n">
        <f aca="false">1+COUNTIF($P115:$S115,"&gt;"&amp;$R115)+(COUNTIF($P115:$S115,$R115)-1)/2</f>
        <v>3</v>
      </c>
      <c r="AA115" s="0" t="n">
        <f aca="false">1+COUNTIF($P115:$S115,"&gt;"&amp;$S115)+(COUNTIF($P115:$S115,$S115)-1)/2</f>
        <v>4</v>
      </c>
      <c r="AB115" s="0" t="n">
        <f aca="false">1+COUNTIF($T115:$W115,"&gt;"&amp;$T115)+(COUNTIF($T115:$W115,$T115)-1)/2</f>
        <v>2</v>
      </c>
      <c r="AC115" s="0" t="n">
        <f aca="false">1+COUNTIF($T115:$W115,"&gt;"&amp;$U115)+(COUNTIF($T115:$W115,$U115)-1)/2</f>
        <v>1</v>
      </c>
      <c r="AD115" s="0" t="n">
        <f aca="false">1+COUNTIF($T115:$W115,"&gt;"&amp;$V115)+(COUNTIF($T115:$W115,$V115)-1)/2</f>
        <v>4</v>
      </c>
      <c r="AE115" s="0" t="n">
        <f aca="false">1+COUNTIF($T115:$W115,"&gt;"&amp;$W115)+(COUNTIF($T115:$W115,$W115)-1)/2</f>
        <v>3</v>
      </c>
      <c r="AF115" s="0" t="n">
        <f aca="false">IFERROR(CORREL($P115:$S115,$T115:$W115),"")</f>
        <v>0.182211286623189</v>
      </c>
      <c r="AG115" s="0" t="n">
        <f aca="false">IFERROR(CORREL($X115:$AA115,$AB115:$AE115),"")</f>
        <v>0.6</v>
      </c>
      <c r="AH115" s="0" t="n">
        <f aca="false">IFERROR((SIGN($P115-$Q115)*SIGN($T115-$U115)+SIGN($P115-$R115)*SIGN($T115-$V115)+SIGN($P115-$S115)*SIGN($T115-$W115)+SIGN($Q115-$R115)*SIGN($U115-$V115)+SIGN($Q115-$S115)*SIGN($U115-$W115)+SIGN($R115-$S115)*SIGN($V115-$W115))/SQRT((6-(($P115=$Q115)*1+($P115=$R115)*1+($P115=$S115)*1+($Q115=$R115)*1+($Q115=$S115)*1+($R115=$S115)*1))*(6-(($T115=$U115)*1+($T115=$V115)*1+($T115=$W115)*1+($U115=$V115)*1+($U115=$W115)*1+($V115=$W115)*1))),"")</f>
        <v>0.333333333333333</v>
      </c>
      <c r="AI115" s="0" t="n">
        <f aca="false">MATCH(MAX($K115:$O115),$K115:$O115,0)</f>
        <v>1</v>
      </c>
      <c r="AJ115" s="0" t="n">
        <f aca="false">IF(AI115&lt;&gt;$E115,1,0)</f>
        <v>0</v>
      </c>
      <c r="AK115" s="0" t="str">
        <f aca="false">IF(AJ115=1,INDEX($F115:$J115,AI115)/MAX($P115:$S115),"")</f>
        <v/>
      </c>
      <c r="AL115" s="0" t="str">
        <f aca="false">IF(AJ115=1,1+COUNTIF($P115:$S115,"&gt;"&amp;INDEX($F115:$J115,AI115)),"")</f>
        <v/>
      </c>
      <c r="AM115" s="0" t="n">
        <f aca="false">AVERAGE($P115:$S115)/MAX($P115:$S115)</f>
        <v>0.708333333333333</v>
      </c>
      <c r="AN115" s="0" t="n">
        <f aca="false">100-INDEX($F115:$J115,$E115)</f>
        <v>70.8</v>
      </c>
    </row>
    <row r="116" customFormat="false" ht="15" hidden="false" customHeight="false" outlineLevel="0" collapsed="false">
      <c r="A116" s="0" t="s">
        <v>40</v>
      </c>
      <c r="B116" s="0" t="n">
        <v>2022</v>
      </c>
      <c r="C116" s="0" t="s">
        <v>46</v>
      </c>
      <c r="D116" s="0" t="s">
        <v>44</v>
      </c>
      <c r="E116" s="0" t="n">
        <v>1</v>
      </c>
      <c r="F116" s="0" t="n">
        <v>38.6</v>
      </c>
      <c r="G116" s="0" t="n">
        <v>20.6</v>
      </c>
      <c r="H116" s="0" t="n">
        <v>13.7</v>
      </c>
      <c r="I116" s="0" t="n">
        <v>13.8</v>
      </c>
      <c r="J116" s="0" t="n">
        <v>12.2</v>
      </c>
      <c r="K116" s="0" t="n">
        <v>70.1638186622</v>
      </c>
      <c r="L116" s="0" t="n">
        <v>11.2835987459</v>
      </c>
      <c r="M116" s="0" t="n">
        <v>5.88138267584</v>
      </c>
      <c r="N116" s="0" t="n">
        <v>10.9332875174</v>
      </c>
      <c r="O116" s="0" t="n">
        <v>1.73791239868</v>
      </c>
      <c r="P116" s="0" t="n">
        <f aca="false">INDEX($F116:$J116,IF(1&lt;$E116,1,1+1))</f>
        <v>20.6</v>
      </c>
      <c r="Q116" s="0" t="n">
        <f aca="false">INDEX($F116:$J116,IF(2&lt;$E116,2,2+1))</f>
        <v>13.7</v>
      </c>
      <c r="R116" s="0" t="n">
        <f aca="false">INDEX($F116:$J116,IF(3&lt;$E116,3,3+1))</f>
        <v>13.8</v>
      </c>
      <c r="S116" s="0" t="n">
        <f aca="false">INDEX($F116:$J116,IF(4&lt;$E116,4,4+1))</f>
        <v>12.2</v>
      </c>
      <c r="T116" s="0" t="n">
        <f aca="false">INDEX($K116:$O116,IF(1&lt;$E116,1,1+1))</f>
        <v>11.2835987459</v>
      </c>
      <c r="U116" s="0" t="n">
        <f aca="false">INDEX($K116:$O116,IF(2&lt;$E116,2,2+1))</f>
        <v>5.88138267584</v>
      </c>
      <c r="V116" s="0" t="n">
        <f aca="false">INDEX($K116:$O116,IF(3&lt;$E116,3,3+1))</f>
        <v>10.9332875174</v>
      </c>
      <c r="W116" s="0" t="n">
        <f aca="false">INDEX($K116:$O116,IF(4&lt;$E116,4,4+1))</f>
        <v>1.73791239868</v>
      </c>
      <c r="X116" s="0" t="n">
        <f aca="false">1+COUNTIF($P116:$S116,"&gt;"&amp;$P116)+(COUNTIF($P116:$S116,$P116)-1)/2</f>
        <v>1</v>
      </c>
      <c r="Y116" s="0" t="n">
        <f aca="false">1+COUNTIF($P116:$S116,"&gt;"&amp;$Q116)+(COUNTIF($P116:$S116,$Q116)-1)/2</f>
        <v>3</v>
      </c>
      <c r="Z116" s="0" t="n">
        <f aca="false">1+COUNTIF($P116:$S116,"&gt;"&amp;$R116)+(COUNTIF($P116:$S116,$R116)-1)/2</f>
        <v>2</v>
      </c>
      <c r="AA116" s="0" t="n">
        <f aca="false">1+COUNTIF($P116:$S116,"&gt;"&amp;$S116)+(COUNTIF($P116:$S116,$S116)-1)/2</f>
        <v>4</v>
      </c>
      <c r="AB116" s="0" t="n">
        <f aca="false">1+COUNTIF($T116:$W116,"&gt;"&amp;$T116)+(COUNTIF($T116:$W116,$T116)-1)/2</f>
        <v>1</v>
      </c>
      <c r="AC116" s="0" t="n">
        <f aca="false">1+COUNTIF($T116:$W116,"&gt;"&amp;$U116)+(COUNTIF($T116:$W116,$U116)-1)/2</f>
        <v>3</v>
      </c>
      <c r="AD116" s="0" t="n">
        <f aca="false">1+COUNTIF($T116:$W116,"&gt;"&amp;$V116)+(COUNTIF($T116:$W116,$V116)-1)/2</f>
        <v>2</v>
      </c>
      <c r="AE116" s="0" t="n">
        <f aca="false">1+COUNTIF($T116:$W116,"&gt;"&amp;$W116)+(COUNTIF($T116:$W116,$W116)-1)/2</f>
        <v>4</v>
      </c>
      <c r="AF116" s="0" t="n">
        <f aca="false">IFERROR(CORREL($P116:$S116,$T116:$W116),"")</f>
        <v>0.690058335180022</v>
      </c>
      <c r="AG116" s="0" t="n">
        <f aca="false">IFERROR(CORREL($X116:$AA116,$AB116:$AE116),"")</f>
        <v>1</v>
      </c>
      <c r="AH116" s="0" t="n">
        <f aca="false">IFERROR((SIGN($P116-$Q116)*SIGN($T116-$U116)+SIGN($P116-$R116)*SIGN($T116-$V116)+SIGN($P116-$S116)*SIGN($T116-$W116)+SIGN($Q116-$R116)*SIGN($U116-$V116)+SIGN($Q116-$S116)*SIGN($U116-$W116)+SIGN($R116-$S116)*SIGN($V116-$W116))/SQRT((6-(($P116=$Q116)*1+($P116=$R116)*1+($P116=$S116)*1+($Q116=$R116)*1+($Q116=$S116)*1+($R116=$S116)*1))*(6-(($T116=$U116)*1+($T116=$V116)*1+($T116=$W116)*1+($U116=$V116)*1+($U116=$W116)*1+($V116=$W116)*1))),"")</f>
        <v>1</v>
      </c>
      <c r="AI116" s="0" t="n">
        <f aca="false">MATCH(MAX($K116:$O116),$K116:$O116,0)</f>
        <v>1</v>
      </c>
      <c r="AJ116" s="0" t="n">
        <f aca="false">IF(AI116&lt;&gt;$E116,1,0)</f>
        <v>0</v>
      </c>
      <c r="AK116" s="0" t="str">
        <f aca="false">IF(AJ116=1,INDEX($F116:$J116,AI116)/MAX($P116:$S116),"")</f>
        <v/>
      </c>
      <c r="AL116" s="0" t="str">
        <f aca="false">IF(AJ116=1,1+COUNTIF($P116:$S116,"&gt;"&amp;INDEX($F116:$J116,AI116)),"")</f>
        <v/>
      </c>
      <c r="AM116" s="0" t="n">
        <f aca="false">AVERAGE($P116:$S116)/MAX($P116:$S116)</f>
        <v>0.731796116504854</v>
      </c>
      <c r="AN116" s="0" t="n">
        <f aca="false">100-INDEX($F116:$J116,$E116)</f>
        <v>61.4</v>
      </c>
    </row>
    <row r="117" customFormat="false" ht="15" hidden="false" customHeight="false" outlineLevel="0" collapsed="false">
      <c r="A117" s="0" t="s">
        <v>40</v>
      </c>
      <c r="B117" s="0" t="n">
        <v>2022</v>
      </c>
      <c r="C117" s="0" t="s">
        <v>46</v>
      </c>
      <c r="D117" s="0" t="s">
        <v>45</v>
      </c>
      <c r="E117" s="0" t="n">
        <v>2</v>
      </c>
      <c r="F117" s="0" t="n">
        <v>15.3</v>
      </c>
      <c r="G117" s="0" t="n">
        <v>34.5</v>
      </c>
      <c r="H117" s="0" t="n">
        <v>20.8</v>
      </c>
      <c r="I117" s="0" t="n">
        <v>15.8</v>
      </c>
      <c r="J117" s="0" t="n">
        <v>12.5</v>
      </c>
      <c r="K117" s="0" t="n">
        <v>11.2714728565</v>
      </c>
      <c r="L117" s="0" t="n">
        <v>27.983492813</v>
      </c>
      <c r="M117" s="0" t="n">
        <v>13.2113330657</v>
      </c>
      <c r="N117" s="0" t="n">
        <v>31.0883930576</v>
      </c>
      <c r="O117" s="0" t="n">
        <v>16.4453082072</v>
      </c>
      <c r="P117" s="0" t="n">
        <f aca="false">INDEX($F117:$J117,IF(1&lt;$E117,1,1+1))</f>
        <v>15.3</v>
      </c>
      <c r="Q117" s="0" t="n">
        <f aca="false">INDEX($F117:$J117,IF(2&lt;$E117,2,2+1))</f>
        <v>20.8</v>
      </c>
      <c r="R117" s="0" t="n">
        <f aca="false">INDEX($F117:$J117,IF(3&lt;$E117,3,3+1))</f>
        <v>15.8</v>
      </c>
      <c r="S117" s="0" t="n">
        <f aca="false">INDEX($F117:$J117,IF(4&lt;$E117,4,4+1))</f>
        <v>12.5</v>
      </c>
      <c r="T117" s="0" t="n">
        <f aca="false">INDEX($K117:$O117,IF(1&lt;$E117,1,1+1))</f>
        <v>11.2714728565</v>
      </c>
      <c r="U117" s="0" t="n">
        <f aca="false">INDEX($K117:$O117,IF(2&lt;$E117,2,2+1))</f>
        <v>13.2113330657</v>
      </c>
      <c r="V117" s="0" t="n">
        <f aca="false">INDEX($K117:$O117,IF(3&lt;$E117,3,3+1))</f>
        <v>31.0883930576</v>
      </c>
      <c r="W117" s="0" t="n">
        <f aca="false">INDEX($K117:$O117,IF(4&lt;$E117,4,4+1))</f>
        <v>16.4453082072</v>
      </c>
      <c r="X117" s="0" t="n">
        <f aca="false">1+COUNTIF($P117:$S117,"&gt;"&amp;$P117)+(COUNTIF($P117:$S117,$P117)-1)/2</f>
        <v>3</v>
      </c>
      <c r="Y117" s="0" t="n">
        <f aca="false">1+COUNTIF($P117:$S117,"&gt;"&amp;$Q117)+(COUNTIF($P117:$S117,$Q117)-1)/2</f>
        <v>1</v>
      </c>
      <c r="Z117" s="0" t="n">
        <f aca="false">1+COUNTIF($P117:$S117,"&gt;"&amp;$R117)+(COUNTIF($P117:$S117,$R117)-1)/2</f>
        <v>2</v>
      </c>
      <c r="AA117" s="0" t="n">
        <f aca="false">1+COUNTIF($P117:$S117,"&gt;"&amp;$S117)+(COUNTIF($P117:$S117,$S117)-1)/2</f>
        <v>4</v>
      </c>
      <c r="AB117" s="0" t="n">
        <f aca="false">1+COUNTIF($T117:$W117,"&gt;"&amp;$T117)+(COUNTIF($T117:$W117,$T117)-1)/2</f>
        <v>4</v>
      </c>
      <c r="AC117" s="0" t="n">
        <f aca="false">1+COUNTIF($T117:$W117,"&gt;"&amp;$U117)+(COUNTIF($T117:$W117,$U117)-1)/2</f>
        <v>3</v>
      </c>
      <c r="AD117" s="0" t="n">
        <f aca="false">1+COUNTIF($T117:$W117,"&gt;"&amp;$V117)+(COUNTIF($T117:$W117,$V117)-1)/2</f>
        <v>1</v>
      </c>
      <c r="AE117" s="0" t="n">
        <f aca="false">1+COUNTIF($T117:$W117,"&gt;"&amp;$W117)+(COUNTIF($T117:$W117,$W117)-1)/2</f>
        <v>2</v>
      </c>
      <c r="AF117" s="0" t="n">
        <f aca="false">IFERROR(CORREL($P117:$S117,$T117:$W117),"")</f>
        <v>-0.166098326678049</v>
      </c>
      <c r="AG117" s="0" t="n">
        <f aca="false">IFERROR(CORREL($X117:$AA117,$AB117:$AE117),"")</f>
        <v>0</v>
      </c>
      <c r="AH117" s="0" t="n">
        <f aca="false">IFERROR((SIGN($P117-$Q117)*SIGN($T117-$U117)+SIGN($P117-$R117)*SIGN($T117-$V117)+SIGN($P117-$S117)*SIGN($T117-$W117)+SIGN($Q117-$R117)*SIGN($U117-$V117)+SIGN($Q117-$S117)*SIGN($U117-$W117)+SIGN($R117-$S117)*SIGN($V117-$W117))/SQRT((6-(($P117=$Q117)*1+($P117=$R117)*1+($P117=$S117)*1+($Q117=$R117)*1+($Q117=$S117)*1+($R117=$S117)*1))*(6-(($T117=$U117)*1+($T117=$V117)*1+($T117=$W117)*1+($U117=$V117)*1+($U117=$W117)*1+($V117=$W117)*1))),"")</f>
        <v>0</v>
      </c>
      <c r="AI117" s="0" t="n">
        <f aca="false">MATCH(MAX($K117:$O117),$K117:$O117,0)</f>
        <v>4</v>
      </c>
      <c r="AJ117" s="0" t="n">
        <f aca="false">IF(AI117&lt;&gt;$E117,1,0)</f>
        <v>1</v>
      </c>
      <c r="AK117" s="0" t="n">
        <f aca="false">IF(AJ117=1,INDEX($F117:$J117,AI117)/MAX($P117:$S117),"")</f>
        <v>0.759615384615385</v>
      </c>
      <c r="AL117" s="0" t="n">
        <f aca="false">IF(AJ117=1,1+COUNTIF($P117:$S117,"&gt;"&amp;INDEX($F117:$J117,AI117)),"")</f>
        <v>2</v>
      </c>
      <c r="AM117" s="0" t="n">
        <f aca="false">AVERAGE($P117:$S117)/MAX($P117:$S117)</f>
        <v>0.774038461538462</v>
      </c>
      <c r="AN117" s="0" t="n">
        <f aca="false">100-INDEX($F117:$J117,$E117)</f>
        <v>65.5</v>
      </c>
    </row>
    <row r="118" customFormat="false" ht="15" hidden="false" customHeight="false" outlineLevel="0" collapsed="false">
      <c r="A118" s="0" t="s">
        <v>40</v>
      </c>
      <c r="B118" s="0" t="n">
        <v>2022</v>
      </c>
      <c r="C118" s="0" t="s">
        <v>47</v>
      </c>
      <c r="D118" s="0" t="s">
        <v>42</v>
      </c>
      <c r="E118" s="0" t="n">
        <v>1</v>
      </c>
      <c r="F118" s="0" t="n">
        <v>49.8</v>
      </c>
      <c r="G118" s="0" t="n">
        <v>26.9</v>
      </c>
      <c r="H118" s="0" t="n">
        <v>9.6</v>
      </c>
      <c r="I118" s="0" t="n">
        <v>6.2</v>
      </c>
      <c r="J118" s="0" t="n">
        <v>5</v>
      </c>
      <c r="K118" s="0" t="n">
        <v>27.4008777383</v>
      </c>
      <c r="L118" s="0" t="n">
        <v>9.16573263601</v>
      </c>
      <c r="M118" s="0" t="n">
        <v>43.4489739493</v>
      </c>
      <c r="N118" s="0" t="n">
        <v>16.8835947697</v>
      </c>
      <c r="O118" s="0" t="n">
        <v>3.10082090666</v>
      </c>
      <c r="P118" s="0" t="n">
        <f aca="false">INDEX($F118:$J118,IF(1&lt;$E118,1,1+1))</f>
        <v>26.9</v>
      </c>
      <c r="Q118" s="0" t="n">
        <f aca="false">INDEX($F118:$J118,IF(2&lt;$E118,2,2+1))</f>
        <v>9.6</v>
      </c>
      <c r="R118" s="0" t="n">
        <f aca="false">INDEX($F118:$J118,IF(3&lt;$E118,3,3+1))</f>
        <v>6.2</v>
      </c>
      <c r="S118" s="0" t="n">
        <f aca="false">INDEX($F118:$J118,IF(4&lt;$E118,4,4+1))</f>
        <v>5</v>
      </c>
      <c r="T118" s="0" t="n">
        <f aca="false">INDEX($K118:$O118,IF(1&lt;$E118,1,1+1))</f>
        <v>9.16573263601</v>
      </c>
      <c r="U118" s="0" t="n">
        <f aca="false">INDEX($K118:$O118,IF(2&lt;$E118,2,2+1))</f>
        <v>43.4489739493</v>
      </c>
      <c r="V118" s="0" t="n">
        <f aca="false">INDEX($K118:$O118,IF(3&lt;$E118,3,3+1))</f>
        <v>16.8835947697</v>
      </c>
      <c r="W118" s="0" t="n">
        <f aca="false">INDEX($K118:$O118,IF(4&lt;$E118,4,4+1))</f>
        <v>3.10082090666</v>
      </c>
      <c r="X118" s="0" t="n">
        <f aca="false">1+COUNTIF($P118:$S118,"&gt;"&amp;$P118)+(COUNTIF($P118:$S118,$P118)-1)/2</f>
        <v>1</v>
      </c>
      <c r="Y118" s="0" t="n">
        <f aca="false">1+COUNTIF($P118:$S118,"&gt;"&amp;$Q118)+(COUNTIF($P118:$S118,$Q118)-1)/2</f>
        <v>2</v>
      </c>
      <c r="Z118" s="0" t="n">
        <f aca="false">1+COUNTIF($P118:$S118,"&gt;"&amp;$R118)+(COUNTIF($P118:$S118,$R118)-1)/2</f>
        <v>3</v>
      </c>
      <c r="AA118" s="0" t="n">
        <f aca="false">1+COUNTIF($P118:$S118,"&gt;"&amp;$S118)+(COUNTIF($P118:$S118,$S118)-1)/2</f>
        <v>4</v>
      </c>
      <c r="AB118" s="0" t="n">
        <f aca="false">1+COUNTIF($T118:$W118,"&gt;"&amp;$T118)+(COUNTIF($T118:$W118,$T118)-1)/2</f>
        <v>3</v>
      </c>
      <c r="AC118" s="0" t="n">
        <f aca="false">1+COUNTIF($T118:$W118,"&gt;"&amp;$U118)+(COUNTIF($T118:$W118,$U118)-1)/2</f>
        <v>1</v>
      </c>
      <c r="AD118" s="0" t="n">
        <f aca="false">1+COUNTIF($T118:$W118,"&gt;"&amp;$V118)+(COUNTIF($T118:$W118,$V118)-1)/2</f>
        <v>2</v>
      </c>
      <c r="AE118" s="0" t="n">
        <f aca="false">1+COUNTIF($T118:$W118,"&gt;"&amp;$W118)+(COUNTIF($T118:$W118,$W118)-1)/2</f>
        <v>4</v>
      </c>
      <c r="AF118" s="0" t="n">
        <f aca="false">IFERROR(CORREL($P118:$S118,$T118:$W118),"")</f>
        <v>-0.150904809416778</v>
      </c>
      <c r="AG118" s="0" t="n">
        <f aca="false">IFERROR(CORREL($X118:$AA118,$AB118:$AE118),"")</f>
        <v>0.4</v>
      </c>
      <c r="AH118" s="0" t="n">
        <f aca="false">IFERROR((SIGN($P118-$Q118)*SIGN($T118-$U118)+SIGN($P118-$R118)*SIGN($T118-$V118)+SIGN($P118-$S118)*SIGN($T118-$W118)+SIGN($Q118-$R118)*SIGN($U118-$V118)+SIGN($Q118-$S118)*SIGN($U118-$W118)+SIGN($R118-$S118)*SIGN($V118-$W118))/SQRT((6-(($P118=$Q118)*1+($P118=$R118)*1+($P118=$S118)*1+($Q118=$R118)*1+($Q118=$S118)*1+($R118=$S118)*1))*(6-(($T118=$U118)*1+($T118=$V118)*1+($T118=$W118)*1+($U118=$V118)*1+($U118=$W118)*1+($V118=$W118)*1))),"")</f>
        <v>0.333333333333333</v>
      </c>
      <c r="AI118" s="0" t="n">
        <f aca="false">MATCH(MAX($K118:$O118),$K118:$O118,0)</f>
        <v>3</v>
      </c>
      <c r="AJ118" s="0" t="n">
        <f aca="false">IF(AI118&lt;&gt;$E118,1,0)</f>
        <v>1</v>
      </c>
      <c r="AK118" s="0" t="n">
        <f aca="false">IF(AJ118=1,INDEX($F118:$J118,AI118)/MAX($P118:$S118),"")</f>
        <v>0.356877323420074</v>
      </c>
      <c r="AL118" s="0" t="n">
        <f aca="false">IF(AJ118=1,1+COUNTIF($P118:$S118,"&gt;"&amp;INDEX($F118:$J118,AI118)),"")</f>
        <v>2</v>
      </c>
      <c r="AM118" s="0" t="n">
        <f aca="false">AVERAGE($P118:$S118)/MAX($P118:$S118)</f>
        <v>0.443308550185874</v>
      </c>
      <c r="AN118" s="0" t="n">
        <f aca="false">100-INDEX($F118:$J118,$E118)</f>
        <v>50.2</v>
      </c>
    </row>
    <row r="119" customFormat="false" ht="15" hidden="false" customHeight="false" outlineLevel="0" collapsed="false">
      <c r="A119" s="0" t="s">
        <v>40</v>
      </c>
      <c r="B119" s="0" t="n">
        <v>2022</v>
      </c>
      <c r="C119" s="0" t="s">
        <v>47</v>
      </c>
      <c r="D119" s="0" t="s">
        <v>43</v>
      </c>
      <c r="E119" s="0" t="n">
        <v>5</v>
      </c>
      <c r="F119" s="0" t="n">
        <v>22.9</v>
      </c>
      <c r="G119" s="0" t="n">
        <v>23.3</v>
      </c>
      <c r="H119" s="0" t="n">
        <v>8.9</v>
      </c>
      <c r="I119" s="0" t="n">
        <v>9</v>
      </c>
      <c r="J119" s="0" t="n">
        <v>33.4</v>
      </c>
      <c r="K119" s="0" t="n">
        <v>2.45464293642</v>
      </c>
      <c r="L119" s="0" t="n">
        <v>41.3614018665</v>
      </c>
      <c r="M119" s="0" t="n">
        <v>0.953968264855</v>
      </c>
      <c r="N119" s="0" t="n">
        <v>24.7664155818</v>
      </c>
      <c r="O119" s="0" t="n">
        <v>30.4635713505</v>
      </c>
      <c r="P119" s="0" t="n">
        <f aca="false">INDEX($F119:$J119,IF(1&lt;$E119,1,1+1))</f>
        <v>22.9</v>
      </c>
      <c r="Q119" s="0" t="n">
        <f aca="false">INDEX($F119:$J119,IF(2&lt;$E119,2,2+1))</f>
        <v>23.3</v>
      </c>
      <c r="R119" s="0" t="n">
        <f aca="false">INDEX($F119:$J119,IF(3&lt;$E119,3,3+1))</f>
        <v>8.9</v>
      </c>
      <c r="S119" s="0" t="n">
        <f aca="false">INDEX($F119:$J119,IF(4&lt;$E119,4,4+1))</f>
        <v>9</v>
      </c>
      <c r="T119" s="0" t="n">
        <f aca="false">INDEX($K119:$O119,IF(1&lt;$E119,1,1+1))</f>
        <v>2.45464293642</v>
      </c>
      <c r="U119" s="0" t="n">
        <f aca="false">INDEX($K119:$O119,IF(2&lt;$E119,2,2+1))</f>
        <v>41.3614018665</v>
      </c>
      <c r="V119" s="0" t="n">
        <f aca="false">INDEX($K119:$O119,IF(3&lt;$E119,3,3+1))</f>
        <v>0.953968264855</v>
      </c>
      <c r="W119" s="0" t="n">
        <f aca="false">INDEX($K119:$O119,IF(4&lt;$E119,4,4+1))</f>
        <v>24.7664155818</v>
      </c>
      <c r="X119" s="0" t="n">
        <f aca="false">1+COUNTIF($P119:$S119,"&gt;"&amp;$P119)+(COUNTIF($P119:$S119,$P119)-1)/2</f>
        <v>2</v>
      </c>
      <c r="Y119" s="0" t="n">
        <f aca="false">1+COUNTIF($P119:$S119,"&gt;"&amp;$Q119)+(COUNTIF($P119:$S119,$Q119)-1)/2</f>
        <v>1</v>
      </c>
      <c r="Z119" s="0" t="n">
        <f aca="false">1+COUNTIF($P119:$S119,"&gt;"&amp;$R119)+(COUNTIF($P119:$S119,$R119)-1)/2</f>
        <v>4</v>
      </c>
      <c r="AA119" s="0" t="n">
        <f aca="false">1+COUNTIF($P119:$S119,"&gt;"&amp;$S119)+(COUNTIF($P119:$S119,$S119)-1)/2</f>
        <v>3</v>
      </c>
      <c r="AB119" s="0" t="n">
        <f aca="false">1+COUNTIF($T119:$W119,"&gt;"&amp;$T119)+(COUNTIF($T119:$W119,$T119)-1)/2</f>
        <v>3</v>
      </c>
      <c r="AC119" s="0" t="n">
        <f aca="false">1+COUNTIF($T119:$W119,"&gt;"&amp;$U119)+(COUNTIF($T119:$W119,$U119)-1)/2</f>
        <v>1</v>
      </c>
      <c r="AD119" s="0" t="n">
        <f aca="false">1+COUNTIF($T119:$W119,"&gt;"&amp;$V119)+(COUNTIF($T119:$W119,$V119)-1)/2</f>
        <v>4</v>
      </c>
      <c r="AE119" s="0" t="n">
        <f aca="false">1+COUNTIF($T119:$W119,"&gt;"&amp;$W119)+(COUNTIF($T119:$W119,$W119)-1)/2</f>
        <v>2</v>
      </c>
      <c r="AF119" s="0" t="n">
        <f aca="false">IFERROR(CORREL($P119:$S119,$T119:$W119),"")</f>
        <v>0.288950703084158</v>
      </c>
      <c r="AG119" s="0" t="n">
        <f aca="false">IFERROR(CORREL($X119:$AA119,$AB119:$AE119),"")</f>
        <v>0.8</v>
      </c>
      <c r="AH119" s="0" t="n">
        <f aca="false">IFERROR((SIGN($P119-$Q119)*SIGN($T119-$U119)+SIGN($P119-$R119)*SIGN($T119-$V119)+SIGN($P119-$S119)*SIGN($T119-$W119)+SIGN($Q119-$R119)*SIGN($U119-$V119)+SIGN($Q119-$S119)*SIGN($U119-$W119)+SIGN($R119-$S119)*SIGN($V119-$W119))/SQRT((6-(($P119=$Q119)*1+($P119=$R119)*1+($P119=$S119)*1+($Q119=$R119)*1+($Q119=$S119)*1+($R119=$S119)*1))*(6-(($T119=$U119)*1+($T119=$V119)*1+($T119=$W119)*1+($U119=$V119)*1+($U119=$W119)*1+($V119=$W119)*1))),"")</f>
        <v>0.666666666666667</v>
      </c>
      <c r="AI119" s="0" t="n">
        <f aca="false">MATCH(MAX($K119:$O119),$K119:$O119,0)</f>
        <v>2</v>
      </c>
      <c r="AJ119" s="0" t="n">
        <f aca="false">IF(AI119&lt;&gt;$E119,1,0)</f>
        <v>1</v>
      </c>
      <c r="AK119" s="0" t="n">
        <f aca="false">IF(AJ119=1,INDEX($F119:$J119,AI119)/MAX($P119:$S119),"")</f>
        <v>1</v>
      </c>
      <c r="AL119" s="0" t="n">
        <f aca="false">IF(AJ119=1,1+COUNTIF($P119:$S119,"&gt;"&amp;INDEX($F119:$J119,AI119)),"")</f>
        <v>1</v>
      </c>
      <c r="AM119" s="0" t="n">
        <f aca="false">AVERAGE($P119:$S119)/MAX($P119:$S119)</f>
        <v>0.687768240343348</v>
      </c>
      <c r="AN119" s="0" t="n">
        <f aca="false">100-INDEX($F119:$J119,$E119)</f>
        <v>66.6</v>
      </c>
    </row>
    <row r="120" customFormat="false" ht="15" hidden="false" customHeight="false" outlineLevel="0" collapsed="false">
      <c r="A120" s="0" t="s">
        <v>40</v>
      </c>
      <c r="B120" s="0" t="n">
        <v>2022</v>
      </c>
      <c r="C120" s="0" t="s">
        <v>47</v>
      </c>
      <c r="D120" s="0" t="s">
        <v>44</v>
      </c>
      <c r="E120" s="0" t="n">
        <v>1</v>
      </c>
      <c r="F120" s="0" t="n">
        <v>43.4</v>
      </c>
      <c r="G120" s="0" t="n">
        <v>25.7</v>
      </c>
      <c r="H120" s="0" t="n">
        <v>8.8</v>
      </c>
      <c r="I120" s="0" t="n">
        <v>12.1</v>
      </c>
      <c r="J120" s="0" t="n">
        <v>7.6</v>
      </c>
      <c r="K120" s="0" t="n">
        <v>37.9472434914</v>
      </c>
      <c r="L120" s="0" t="n">
        <v>19.471919263</v>
      </c>
      <c r="M120" s="0" t="n">
        <v>27.4554982194</v>
      </c>
      <c r="N120" s="0" t="n">
        <v>11.9167851993</v>
      </c>
      <c r="O120" s="0" t="n">
        <v>3.20855382691</v>
      </c>
      <c r="P120" s="0" t="n">
        <f aca="false">INDEX($F120:$J120,IF(1&lt;$E120,1,1+1))</f>
        <v>25.7</v>
      </c>
      <c r="Q120" s="0" t="n">
        <f aca="false">INDEX($F120:$J120,IF(2&lt;$E120,2,2+1))</f>
        <v>8.8</v>
      </c>
      <c r="R120" s="0" t="n">
        <f aca="false">INDEX($F120:$J120,IF(3&lt;$E120,3,3+1))</f>
        <v>12.1</v>
      </c>
      <c r="S120" s="0" t="n">
        <f aca="false">INDEX($F120:$J120,IF(4&lt;$E120,4,4+1))</f>
        <v>7.6</v>
      </c>
      <c r="T120" s="0" t="n">
        <f aca="false">INDEX($K120:$O120,IF(1&lt;$E120,1,1+1))</f>
        <v>19.471919263</v>
      </c>
      <c r="U120" s="0" t="n">
        <f aca="false">INDEX($K120:$O120,IF(2&lt;$E120,2,2+1))</f>
        <v>27.4554982194</v>
      </c>
      <c r="V120" s="0" t="n">
        <f aca="false">INDEX($K120:$O120,IF(3&lt;$E120,3,3+1))</f>
        <v>11.9167851993</v>
      </c>
      <c r="W120" s="0" t="n">
        <f aca="false">INDEX($K120:$O120,IF(4&lt;$E120,4,4+1))</f>
        <v>3.20855382691</v>
      </c>
      <c r="X120" s="0" t="n">
        <f aca="false">1+COUNTIF($P120:$S120,"&gt;"&amp;$P120)+(COUNTIF($P120:$S120,$P120)-1)/2</f>
        <v>1</v>
      </c>
      <c r="Y120" s="0" t="n">
        <f aca="false">1+COUNTIF($P120:$S120,"&gt;"&amp;$Q120)+(COUNTIF($P120:$S120,$Q120)-1)/2</f>
        <v>3</v>
      </c>
      <c r="Z120" s="0" t="n">
        <f aca="false">1+COUNTIF($P120:$S120,"&gt;"&amp;$R120)+(COUNTIF($P120:$S120,$R120)-1)/2</f>
        <v>2</v>
      </c>
      <c r="AA120" s="0" t="n">
        <f aca="false">1+COUNTIF($P120:$S120,"&gt;"&amp;$S120)+(COUNTIF($P120:$S120,$S120)-1)/2</f>
        <v>4</v>
      </c>
      <c r="AB120" s="0" t="n">
        <f aca="false">1+COUNTIF($T120:$W120,"&gt;"&amp;$T120)+(COUNTIF($T120:$W120,$T120)-1)/2</f>
        <v>2</v>
      </c>
      <c r="AC120" s="0" t="n">
        <f aca="false">1+COUNTIF($T120:$W120,"&gt;"&amp;$U120)+(COUNTIF($T120:$W120,$U120)-1)/2</f>
        <v>1</v>
      </c>
      <c r="AD120" s="0" t="n">
        <f aca="false">1+COUNTIF($T120:$W120,"&gt;"&amp;$V120)+(COUNTIF($T120:$W120,$V120)-1)/2</f>
        <v>3</v>
      </c>
      <c r="AE120" s="0" t="n">
        <f aca="false">1+COUNTIF($T120:$W120,"&gt;"&amp;$W120)+(COUNTIF($T120:$W120,$W120)-1)/2</f>
        <v>4</v>
      </c>
      <c r="AF120" s="0" t="n">
        <f aca="false">IFERROR(CORREL($P120:$S120,$T120:$W120),"")</f>
        <v>0.269647312329718</v>
      </c>
      <c r="AG120" s="0" t="n">
        <f aca="false">IFERROR(CORREL($X120:$AA120,$AB120:$AE120),"")</f>
        <v>0.4</v>
      </c>
      <c r="AH120" s="0" t="n">
        <f aca="false">IFERROR((SIGN($P120-$Q120)*SIGN($T120-$U120)+SIGN($P120-$R120)*SIGN($T120-$V120)+SIGN($P120-$S120)*SIGN($T120-$W120)+SIGN($Q120-$R120)*SIGN($U120-$V120)+SIGN($Q120-$S120)*SIGN($U120-$W120)+SIGN($R120-$S120)*SIGN($V120-$W120))/SQRT((6-(($P120=$Q120)*1+($P120=$R120)*1+($P120=$S120)*1+($Q120=$R120)*1+($Q120=$S120)*1+($R120=$S120)*1))*(6-(($T120=$U120)*1+($T120=$V120)*1+($T120=$W120)*1+($U120=$V120)*1+($U120=$W120)*1+($V120=$W120)*1))),"")</f>
        <v>0.333333333333333</v>
      </c>
      <c r="AI120" s="0" t="n">
        <f aca="false">MATCH(MAX($K120:$O120),$K120:$O120,0)</f>
        <v>1</v>
      </c>
      <c r="AJ120" s="0" t="n">
        <f aca="false">IF(AI120&lt;&gt;$E120,1,0)</f>
        <v>0</v>
      </c>
      <c r="AK120" s="0" t="str">
        <f aca="false">IF(AJ120=1,INDEX($F120:$J120,AI120)/MAX($P120:$S120),"")</f>
        <v/>
      </c>
      <c r="AL120" s="0" t="str">
        <f aca="false">IF(AJ120=1,1+COUNTIF($P120:$S120,"&gt;"&amp;INDEX($F120:$J120,AI120)),"")</f>
        <v/>
      </c>
      <c r="AM120" s="0" t="n">
        <f aca="false">AVERAGE($P120:$S120)/MAX($P120:$S120)</f>
        <v>0.527237354085603</v>
      </c>
      <c r="AN120" s="0" t="n">
        <f aca="false">100-INDEX($F120:$J120,$E120)</f>
        <v>56.6</v>
      </c>
    </row>
    <row r="121" customFormat="false" ht="15" hidden="false" customHeight="false" outlineLevel="0" collapsed="false">
      <c r="A121" s="0" t="s">
        <v>40</v>
      </c>
      <c r="B121" s="0" t="n">
        <v>2022</v>
      </c>
      <c r="C121" s="0" t="s">
        <v>47</v>
      </c>
      <c r="D121" s="0" t="s">
        <v>45</v>
      </c>
      <c r="E121" s="0" t="n">
        <v>2</v>
      </c>
      <c r="F121" s="0" t="n">
        <v>28.6</v>
      </c>
      <c r="G121" s="0" t="n">
        <v>27.3</v>
      </c>
      <c r="H121" s="0" t="n">
        <v>20.7</v>
      </c>
      <c r="I121" s="0" t="n">
        <v>11.2</v>
      </c>
      <c r="J121" s="0" t="n">
        <v>9.7</v>
      </c>
      <c r="K121" s="0" t="n">
        <v>21.3906282189</v>
      </c>
      <c r="L121" s="0" t="n">
        <v>6.21350342747</v>
      </c>
      <c r="M121" s="0" t="n">
        <v>36.9988095811</v>
      </c>
      <c r="N121" s="0" t="n">
        <v>23.2089113669</v>
      </c>
      <c r="O121" s="0" t="n">
        <v>12.1881474057</v>
      </c>
      <c r="P121" s="0" t="n">
        <f aca="false">INDEX($F121:$J121,IF(1&lt;$E121,1,1+1))</f>
        <v>28.6</v>
      </c>
      <c r="Q121" s="0" t="n">
        <f aca="false">INDEX($F121:$J121,IF(2&lt;$E121,2,2+1))</f>
        <v>20.7</v>
      </c>
      <c r="R121" s="0" t="n">
        <f aca="false">INDEX($F121:$J121,IF(3&lt;$E121,3,3+1))</f>
        <v>11.2</v>
      </c>
      <c r="S121" s="0" t="n">
        <f aca="false">INDEX($F121:$J121,IF(4&lt;$E121,4,4+1))</f>
        <v>9.7</v>
      </c>
      <c r="T121" s="0" t="n">
        <f aca="false">INDEX($K121:$O121,IF(1&lt;$E121,1,1+1))</f>
        <v>21.3906282189</v>
      </c>
      <c r="U121" s="0" t="n">
        <f aca="false">INDEX($K121:$O121,IF(2&lt;$E121,2,2+1))</f>
        <v>36.9988095811</v>
      </c>
      <c r="V121" s="0" t="n">
        <f aca="false">INDEX($K121:$O121,IF(3&lt;$E121,3,3+1))</f>
        <v>23.2089113669</v>
      </c>
      <c r="W121" s="0" t="n">
        <f aca="false">INDEX($K121:$O121,IF(4&lt;$E121,4,4+1))</f>
        <v>12.1881474057</v>
      </c>
      <c r="X121" s="0" t="n">
        <f aca="false">1+COUNTIF($P121:$S121,"&gt;"&amp;$P121)+(COUNTIF($P121:$S121,$P121)-1)/2</f>
        <v>1</v>
      </c>
      <c r="Y121" s="0" t="n">
        <f aca="false">1+COUNTIF($P121:$S121,"&gt;"&amp;$Q121)+(COUNTIF($P121:$S121,$Q121)-1)/2</f>
        <v>2</v>
      </c>
      <c r="Z121" s="0" t="n">
        <f aca="false">1+COUNTIF($P121:$S121,"&gt;"&amp;$R121)+(COUNTIF($P121:$S121,$R121)-1)/2</f>
        <v>3</v>
      </c>
      <c r="AA121" s="0" t="n">
        <f aca="false">1+COUNTIF($P121:$S121,"&gt;"&amp;$S121)+(COUNTIF($P121:$S121,$S121)-1)/2</f>
        <v>4</v>
      </c>
      <c r="AB121" s="0" t="n">
        <f aca="false">1+COUNTIF($T121:$W121,"&gt;"&amp;$T121)+(COUNTIF($T121:$W121,$T121)-1)/2</f>
        <v>3</v>
      </c>
      <c r="AC121" s="0" t="n">
        <f aca="false">1+COUNTIF($T121:$W121,"&gt;"&amp;$U121)+(COUNTIF($T121:$W121,$U121)-1)/2</f>
        <v>1</v>
      </c>
      <c r="AD121" s="0" t="n">
        <f aca="false">1+COUNTIF($T121:$W121,"&gt;"&amp;$V121)+(COUNTIF($T121:$W121,$V121)-1)/2</f>
        <v>2</v>
      </c>
      <c r="AE121" s="0" t="n">
        <f aca="false">1+COUNTIF($T121:$W121,"&gt;"&amp;$W121)+(COUNTIF($T121:$W121,$W121)-1)/2</f>
        <v>4</v>
      </c>
      <c r="AF121" s="0" t="n">
        <f aca="false">IFERROR(CORREL($P121:$S121,$T121:$W121),"")</f>
        <v>0.404863564381197</v>
      </c>
      <c r="AG121" s="0" t="n">
        <f aca="false">IFERROR(CORREL($X121:$AA121,$AB121:$AE121),"")</f>
        <v>0.4</v>
      </c>
      <c r="AH121" s="0" t="n">
        <f aca="false">IFERROR((SIGN($P121-$Q121)*SIGN($T121-$U121)+SIGN($P121-$R121)*SIGN($T121-$V121)+SIGN($P121-$S121)*SIGN($T121-$W121)+SIGN($Q121-$R121)*SIGN($U121-$V121)+SIGN($Q121-$S121)*SIGN($U121-$W121)+SIGN($R121-$S121)*SIGN($V121-$W121))/SQRT((6-(($P121=$Q121)*1+($P121=$R121)*1+($P121=$S121)*1+($Q121=$R121)*1+($Q121=$S121)*1+($R121=$S121)*1))*(6-(($T121=$U121)*1+($T121=$V121)*1+($T121=$W121)*1+($U121=$V121)*1+($U121=$W121)*1+($V121=$W121)*1))),"")</f>
        <v>0.333333333333333</v>
      </c>
      <c r="AI121" s="0" t="n">
        <f aca="false">MATCH(MAX($K121:$O121),$K121:$O121,0)</f>
        <v>3</v>
      </c>
      <c r="AJ121" s="0" t="n">
        <f aca="false">IF(AI121&lt;&gt;$E121,1,0)</f>
        <v>1</v>
      </c>
      <c r="AK121" s="0" t="n">
        <f aca="false">IF(AJ121=1,INDEX($F121:$J121,AI121)/MAX($P121:$S121),"")</f>
        <v>0.723776223776224</v>
      </c>
      <c r="AL121" s="0" t="n">
        <f aca="false">IF(AJ121=1,1+COUNTIF($P121:$S121,"&gt;"&amp;INDEX($F121:$J121,AI121)),"")</f>
        <v>2</v>
      </c>
      <c r="AM121" s="0" t="n">
        <f aca="false">AVERAGE($P121:$S121)/MAX($P121:$S121)</f>
        <v>0.613636363636364</v>
      </c>
      <c r="AN121" s="0" t="n">
        <f aca="false">100-INDEX($F121:$J121,$E121)</f>
        <v>72.7</v>
      </c>
    </row>
    <row r="122" customFormat="false" ht="15" hidden="false" customHeight="false" outlineLevel="0" collapsed="false">
      <c r="A122" s="0" t="s">
        <v>40</v>
      </c>
      <c r="B122" s="0" t="n">
        <v>2021</v>
      </c>
      <c r="C122" s="0" t="s">
        <v>48</v>
      </c>
      <c r="D122" s="0" t="s">
        <v>42</v>
      </c>
      <c r="E122" s="0" t="n">
        <v>1</v>
      </c>
      <c r="F122" s="0" t="n">
        <v>43.4</v>
      </c>
      <c r="G122" s="0" t="n">
        <v>19.9</v>
      </c>
      <c r="H122" s="0" t="n">
        <v>9.2</v>
      </c>
      <c r="I122" s="0" t="n">
        <v>12.4</v>
      </c>
      <c r="J122" s="0" t="n">
        <v>11.4</v>
      </c>
      <c r="K122" s="0" t="n">
        <v>31.2053608312</v>
      </c>
      <c r="L122" s="0" t="n">
        <v>0.0710422945188</v>
      </c>
      <c r="M122" s="0" t="n">
        <v>0.0749421921311</v>
      </c>
      <c r="N122" s="0" t="n">
        <v>68.623080676</v>
      </c>
      <c r="O122" s="0" t="n">
        <v>0.0255740062042</v>
      </c>
      <c r="P122" s="0" t="n">
        <f aca="false">INDEX($F122:$J122,IF(1&lt;$E122,1,1+1))</f>
        <v>19.9</v>
      </c>
      <c r="Q122" s="0" t="n">
        <f aca="false">INDEX($F122:$J122,IF(2&lt;$E122,2,2+1))</f>
        <v>9.2</v>
      </c>
      <c r="R122" s="0" t="n">
        <f aca="false">INDEX($F122:$J122,IF(3&lt;$E122,3,3+1))</f>
        <v>12.4</v>
      </c>
      <c r="S122" s="0" t="n">
        <f aca="false">INDEX($F122:$J122,IF(4&lt;$E122,4,4+1))</f>
        <v>11.4</v>
      </c>
      <c r="T122" s="0" t="n">
        <f aca="false">INDEX($K122:$O122,IF(1&lt;$E122,1,1+1))</f>
        <v>0.0710422945188</v>
      </c>
      <c r="U122" s="0" t="n">
        <f aca="false">INDEX($K122:$O122,IF(2&lt;$E122,2,2+1))</f>
        <v>0.0749421921311</v>
      </c>
      <c r="V122" s="0" t="n">
        <f aca="false">INDEX($K122:$O122,IF(3&lt;$E122,3,3+1))</f>
        <v>68.623080676</v>
      </c>
      <c r="W122" s="0" t="n">
        <f aca="false">INDEX($K122:$O122,IF(4&lt;$E122,4,4+1))</f>
        <v>0.0255740062042</v>
      </c>
      <c r="X122" s="0" t="n">
        <f aca="false">1+COUNTIF($P122:$S122,"&gt;"&amp;$P122)+(COUNTIF($P122:$S122,$P122)-1)/2</f>
        <v>1</v>
      </c>
      <c r="Y122" s="0" t="n">
        <f aca="false">1+COUNTIF($P122:$S122,"&gt;"&amp;$Q122)+(COUNTIF($P122:$S122,$Q122)-1)/2</f>
        <v>4</v>
      </c>
      <c r="Z122" s="0" t="n">
        <f aca="false">1+COUNTIF($P122:$S122,"&gt;"&amp;$R122)+(COUNTIF($P122:$S122,$R122)-1)/2</f>
        <v>2</v>
      </c>
      <c r="AA122" s="0" t="n">
        <f aca="false">1+COUNTIF($P122:$S122,"&gt;"&amp;$S122)+(COUNTIF($P122:$S122,$S122)-1)/2</f>
        <v>3</v>
      </c>
      <c r="AB122" s="0" t="n">
        <f aca="false">1+COUNTIF($T122:$W122,"&gt;"&amp;$T122)+(COUNTIF($T122:$W122,$T122)-1)/2</f>
        <v>3</v>
      </c>
      <c r="AC122" s="0" t="n">
        <f aca="false">1+COUNTIF($T122:$W122,"&gt;"&amp;$U122)+(COUNTIF($T122:$W122,$U122)-1)/2</f>
        <v>2</v>
      </c>
      <c r="AD122" s="0" t="n">
        <f aca="false">1+COUNTIF($T122:$W122,"&gt;"&amp;$V122)+(COUNTIF($T122:$W122,$V122)-1)/2</f>
        <v>1</v>
      </c>
      <c r="AE122" s="0" t="n">
        <f aca="false">1+COUNTIF($T122:$W122,"&gt;"&amp;$W122)+(COUNTIF($T122:$W122,$W122)-1)/2</f>
        <v>4</v>
      </c>
      <c r="AF122" s="0" t="n">
        <f aca="false">IFERROR(CORREL($P122:$S122,$T122:$W122),"")</f>
        <v>-0.118206105075459</v>
      </c>
      <c r="AG122" s="0" t="n">
        <f aca="false">IFERROR(CORREL($X122:$AA122,$AB122:$AE122),"")</f>
        <v>0</v>
      </c>
      <c r="AH122" s="0" t="n">
        <f aca="false">IFERROR((SIGN($P122-$Q122)*SIGN($T122-$U122)+SIGN($P122-$R122)*SIGN($T122-$V122)+SIGN($P122-$S122)*SIGN($T122-$W122)+SIGN($Q122-$R122)*SIGN($U122-$V122)+SIGN($Q122-$S122)*SIGN($U122-$W122)+SIGN($R122-$S122)*SIGN($V122-$W122))/SQRT((6-(($P122=$Q122)*1+($P122=$R122)*1+($P122=$S122)*1+($Q122=$R122)*1+($Q122=$S122)*1+($R122=$S122)*1))*(6-(($T122=$U122)*1+($T122=$V122)*1+($T122=$W122)*1+($U122=$V122)*1+($U122=$W122)*1+($V122=$W122)*1))),"")</f>
        <v>0</v>
      </c>
      <c r="AI122" s="0" t="n">
        <f aca="false">MATCH(MAX($K122:$O122),$K122:$O122,0)</f>
        <v>4</v>
      </c>
      <c r="AJ122" s="0" t="n">
        <f aca="false">IF(AI122&lt;&gt;$E122,1,0)</f>
        <v>1</v>
      </c>
      <c r="AK122" s="0" t="n">
        <f aca="false">IF(AJ122=1,INDEX($F122:$J122,AI122)/MAX($P122:$S122),"")</f>
        <v>0.623115577889447</v>
      </c>
      <c r="AL122" s="0" t="n">
        <f aca="false">IF(AJ122=1,1+COUNTIF($P122:$S122,"&gt;"&amp;INDEX($F122:$J122,AI122)),"")</f>
        <v>2</v>
      </c>
      <c r="AM122" s="0" t="n">
        <f aca="false">AVERAGE($P122:$S122)/MAX($P122:$S122)</f>
        <v>0.664572864321608</v>
      </c>
      <c r="AN122" s="0" t="n">
        <f aca="false">100-INDEX($F122:$J122,$E122)</f>
        <v>56.6</v>
      </c>
    </row>
    <row r="123" customFormat="false" ht="15" hidden="false" customHeight="false" outlineLevel="0" collapsed="false">
      <c r="A123" s="0" t="s">
        <v>40</v>
      </c>
      <c r="B123" s="0" t="n">
        <v>2021</v>
      </c>
      <c r="C123" s="0" t="s">
        <v>48</v>
      </c>
      <c r="D123" s="0" t="s">
        <v>43</v>
      </c>
      <c r="E123" s="0" t="n">
        <v>2</v>
      </c>
      <c r="F123" s="0" t="n">
        <v>15.4</v>
      </c>
      <c r="G123" s="0" t="n">
        <v>36.8</v>
      </c>
      <c r="H123" s="0" t="n">
        <v>11.7</v>
      </c>
      <c r="I123" s="0" t="n">
        <v>22.5</v>
      </c>
      <c r="J123" s="0" t="n">
        <v>9.8</v>
      </c>
      <c r="K123" s="0" t="n">
        <v>6.14022507422</v>
      </c>
      <c r="L123" s="0" t="n">
        <v>28.7261260053</v>
      </c>
      <c r="M123" s="0" t="n">
        <v>29.3337892208</v>
      </c>
      <c r="N123" s="0" t="n">
        <v>11.2168178141</v>
      </c>
      <c r="O123" s="0" t="n">
        <v>24.5830418856</v>
      </c>
      <c r="P123" s="0" t="n">
        <f aca="false">INDEX($F123:$J123,IF(1&lt;$E123,1,1+1))</f>
        <v>15.4</v>
      </c>
      <c r="Q123" s="0" t="n">
        <f aca="false">INDEX($F123:$J123,IF(2&lt;$E123,2,2+1))</f>
        <v>11.7</v>
      </c>
      <c r="R123" s="0" t="n">
        <f aca="false">INDEX($F123:$J123,IF(3&lt;$E123,3,3+1))</f>
        <v>22.5</v>
      </c>
      <c r="S123" s="0" t="n">
        <f aca="false">INDEX($F123:$J123,IF(4&lt;$E123,4,4+1))</f>
        <v>9.8</v>
      </c>
      <c r="T123" s="0" t="n">
        <f aca="false">INDEX($K123:$O123,IF(1&lt;$E123,1,1+1))</f>
        <v>6.14022507422</v>
      </c>
      <c r="U123" s="0" t="n">
        <f aca="false">INDEX($K123:$O123,IF(2&lt;$E123,2,2+1))</f>
        <v>29.3337892208</v>
      </c>
      <c r="V123" s="0" t="n">
        <f aca="false">INDEX($K123:$O123,IF(3&lt;$E123,3,3+1))</f>
        <v>11.2168178141</v>
      </c>
      <c r="W123" s="0" t="n">
        <f aca="false">INDEX($K123:$O123,IF(4&lt;$E123,4,4+1))</f>
        <v>24.5830418856</v>
      </c>
      <c r="X123" s="0" t="n">
        <f aca="false">1+COUNTIF($P123:$S123,"&gt;"&amp;$P123)+(COUNTIF($P123:$S123,$P123)-1)/2</f>
        <v>2</v>
      </c>
      <c r="Y123" s="0" t="n">
        <f aca="false">1+COUNTIF($P123:$S123,"&gt;"&amp;$Q123)+(COUNTIF($P123:$S123,$Q123)-1)/2</f>
        <v>3</v>
      </c>
      <c r="Z123" s="0" t="n">
        <f aca="false">1+COUNTIF($P123:$S123,"&gt;"&amp;$R123)+(COUNTIF($P123:$S123,$R123)-1)/2</f>
        <v>1</v>
      </c>
      <c r="AA123" s="0" t="n">
        <f aca="false">1+COUNTIF($P123:$S123,"&gt;"&amp;$S123)+(COUNTIF($P123:$S123,$S123)-1)/2</f>
        <v>4</v>
      </c>
      <c r="AB123" s="0" t="n">
        <f aca="false">1+COUNTIF($T123:$W123,"&gt;"&amp;$T123)+(COUNTIF($T123:$W123,$T123)-1)/2</f>
        <v>4</v>
      </c>
      <c r="AC123" s="0" t="n">
        <f aca="false">1+COUNTIF($T123:$W123,"&gt;"&amp;$U123)+(COUNTIF($T123:$W123,$U123)-1)/2</f>
        <v>1</v>
      </c>
      <c r="AD123" s="0" t="n">
        <f aca="false">1+COUNTIF($T123:$W123,"&gt;"&amp;$V123)+(COUNTIF($T123:$W123,$V123)-1)/2</f>
        <v>3</v>
      </c>
      <c r="AE123" s="0" t="n">
        <f aca="false">1+COUNTIF($T123:$W123,"&gt;"&amp;$W123)+(COUNTIF($T123:$W123,$W123)-1)/2</f>
        <v>2</v>
      </c>
      <c r="AF123" s="0" t="n">
        <f aca="false">IFERROR(CORREL($P123:$S123,$T123:$W123),"")</f>
        <v>-0.693032719593051</v>
      </c>
      <c r="AG123" s="0" t="n">
        <f aca="false">IFERROR(CORREL($X123:$AA123,$AB123:$AE123),"")</f>
        <v>-0.6</v>
      </c>
      <c r="AH123" s="0" t="n">
        <f aca="false">IFERROR((SIGN($P123-$Q123)*SIGN($T123-$U123)+SIGN($P123-$R123)*SIGN($T123-$V123)+SIGN($P123-$S123)*SIGN($T123-$W123)+SIGN($Q123-$R123)*SIGN($U123-$V123)+SIGN($Q123-$S123)*SIGN($U123-$W123)+SIGN($R123-$S123)*SIGN($V123-$W123))/SQRT((6-(($P123=$Q123)*1+($P123=$R123)*1+($P123=$S123)*1+($Q123=$R123)*1+($Q123=$S123)*1+($R123=$S123)*1))*(6-(($T123=$U123)*1+($T123=$V123)*1+($T123=$W123)*1+($U123=$V123)*1+($U123=$W123)*1+($V123=$W123)*1))),"")</f>
        <v>-0.333333333333333</v>
      </c>
      <c r="AI123" s="0" t="n">
        <f aca="false">MATCH(MAX($K123:$O123),$K123:$O123,0)</f>
        <v>3</v>
      </c>
      <c r="AJ123" s="0" t="n">
        <f aca="false">IF(AI123&lt;&gt;$E123,1,0)</f>
        <v>1</v>
      </c>
      <c r="AK123" s="0" t="n">
        <f aca="false">IF(AJ123=1,INDEX($F123:$J123,AI123)/MAX($P123:$S123),"")</f>
        <v>0.52</v>
      </c>
      <c r="AL123" s="0" t="n">
        <f aca="false">IF(AJ123=1,1+COUNTIF($P123:$S123,"&gt;"&amp;INDEX($F123:$J123,AI123)),"")</f>
        <v>3</v>
      </c>
      <c r="AM123" s="0" t="n">
        <f aca="false">AVERAGE($P123:$S123)/MAX($P123:$S123)</f>
        <v>0.66</v>
      </c>
      <c r="AN123" s="0" t="n">
        <f aca="false">100-INDEX($F123:$J123,$E123)</f>
        <v>63.2</v>
      </c>
    </row>
    <row r="124" customFormat="false" ht="15" hidden="false" customHeight="false" outlineLevel="0" collapsed="false">
      <c r="A124" s="0" t="s">
        <v>40</v>
      </c>
      <c r="B124" s="0" t="n">
        <v>2021</v>
      </c>
      <c r="C124" s="0" t="s">
        <v>48</v>
      </c>
      <c r="D124" s="0" t="s">
        <v>44</v>
      </c>
      <c r="E124" s="0" t="n">
        <v>1</v>
      </c>
      <c r="F124" s="0" t="n">
        <v>45.6</v>
      </c>
      <c r="G124" s="0" t="n">
        <v>20.6</v>
      </c>
      <c r="H124" s="0" t="n">
        <v>10.3</v>
      </c>
      <c r="I124" s="0" t="n">
        <v>10</v>
      </c>
      <c r="J124" s="0" t="n">
        <v>9.6</v>
      </c>
      <c r="K124" s="0" t="n">
        <v>66.7268029048</v>
      </c>
      <c r="L124" s="0" t="n">
        <v>17.2484459202</v>
      </c>
      <c r="M124" s="0" t="n">
        <v>3.43282062988</v>
      </c>
      <c r="N124" s="0" t="n">
        <v>1.51340118119</v>
      </c>
      <c r="O124" s="0" t="n">
        <v>11.0785293638</v>
      </c>
      <c r="P124" s="0" t="n">
        <f aca="false">INDEX($F124:$J124,IF(1&lt;$E124,1,1+1))</f>
        <v>20.6</v>
      </c>
      <c r="Q124" s="0" t="n">
        <f aca="false">INDEX($F124:$J124,IF(2&lt;$E124,2,2+1))</f>
        <v>10.3</v>
      </c>
      <c r="R124" s="0" t="n">
        <f aca="false">INDEX($F124:$J124,IF(3&lt;$E124,3,3+1))</f>
        <v>10</v>
      </c>
      <c r="S124" s="0" t="n">
        <f aca="false">INDEX($F124:$J124,IF(4&lt;$E124,4,4+1))</f>
        <v>9.6</v>
      </c>
      <c r="T124" s="0" t="n">
        <f aca="false">INDEX($K124:$O124,IF(1&lt;$E124,1,1+1))</f>
        <v>17.2484459202</v>
      </c>
      <c r="U124" s="0" t="n">
        <f aca="false">INDEX($K124:$O124,IF(2&lt;$E124,2,2+1))</f>
        <v>3.43282062988</v>
      </c>
      <c r="V124" s="0" t="n">
        <f aca="false">INDEX($K124:$O124,IF(3&lt;$E124,3,3+1))</f>
        <v>1.51340118119</v>
      </c>
      <c r="W124" s="0" t="n">
        <f aca="false">INDEX($K124:$O124,IF(4&lt;$E124,4,4+1))</f>
        <v>11.0785293638</v>
      </c>
      <c r="X124" s="0" t="n">
        <f aca="false">1+COUNTIF($P124:$S124,"&gt;"&amp;$P124)+(COUNTIF($P124:$S124,$P124)-1)/2</f>
        <v>1</v>
      </c>
      <c r="Y124" s="0" t="n">
        <f aca="false">1+COUNTIF($P124:$S124,"&gt;"&amp;$Q124)+(COUNTIF($P124:$S124,$Q124)-1)/2</f>
        <v>2</v>
      </c>
      <c r="Z124" s="0" t="n">
        <f aca="false">1+COUNTIF($P124:$S124,"&gt;"&amp;$R124)+(COUNTIF($P124:$S124,$R124)-1)/2</f>
        <v>3</v>
      </c>
      <c r="AA124" s="0" t="n">
        <f aca="false">1+COUNTIF($P124:$S124,"&gt;"&amp;$S124)+(COUNTIF($P124:$S124,$S124)-1)/2</f>
        <v>4</v>
      </c>
      <c r="AB124" s="0" t="n">
        <f aca="false">1+COUNTIF($T124:$W124,"&gt;"&amp;$T124)+(COUNTIF($T124:$W124,$T124)-1)/2</f>
        <v>1</v>
      </c>
      <c r="AC124" s="0" t="n">
        <f aca="false">1+COUNTIF($T124:$W124,"&gt;"&amp;$U124)+(COUNTIF($T124:$W124,$U124)-1)/2</f>
        <v>3</v>
      </c>
      <c r="AD124" s="0" t="n">
        <f aca="false">1+COUNTIF($T124:$W124,"&gt;"&amp;$V124)+(COUNTIF($T124:$W124,$V124)-1)/2</f>
        <v>4</v>
      </c>
      <c r="AE124" s="0" t="n">
        <f aca="false">1+COUNTIF($T124:$W124,"&gt;"&amp;$W124)+(COUNTIF($T124:$W124,$W124)-1)/2</f>
        <v>2</v>
      </c>
      <c r="AF124" s="0" t="n">
        <f aca="false">IFERROR(CORREL($P124:$S124,$T124:$W124),"")</f>
        <v>0.795580521630466</v>
      </c>
      <c r="AG124" s="0" t="n">
        <f aca="false">IFERROR(CORREL($X124:$AA124,$AB124:$AE124),"")</f>
        <v>0.4</v>
      </c>
      <c r="AH124" s="0" t="n">
        <f aca="false">IFERROR((SIGN($P124-$Q124)*SIGN($T124-$U124)+SIGN($P124-$R124)*SIGN($T124-$V124)+SIGN($P124-$S124)*SIGN($T124-$W124)+SIGN($Q124-$R124)*SIGN($U124-$V124)+SIGN($Q124-$S124)*SIGN($U124-$W124)+SIGN($R124-$S124)*SIGN($V124-$W124))/SQRT((6-(($P124=$Q124)*1+($P124=$R124)*1+($P124=$S124)*1+($Q124=$R124)*1+($Q124=$S124)*1+($R124=$S124)*1))*(6-(($T124=$U124)*1+($T124=$V124)*1+($T124=$W124)*1+($U124=$V124)*1+($U124=$W124)*1+($V124=$W124)*1))),"")</f>
        <v>0.333333333333333</v>
      </c>
      <c r="AI124" s="0" t="n">
        <f aca="false">MATCH(MAX($K124:$O124),$K124:$O124,0)</f>
        <v>1</v>
      </c>
      <c r="AJ124" s="0" t="n">
        <f aca="false">IF(AI124&lt;&gt;$E124,1,0)</f>
        <v>0</v>
      </c>
      <c r="AK124" s="0" t="str">
        <f aca="false">IF(AJ124=1,INDEX($F124:$J124,AI124)/MAX($P124:$S124),"")</f>
        <v/>
      </c>
      <c r="AL124" s="0" t="str">
        <f aca="false">IF(AJ124=1,1+COUNTIF($P124:$S124,"&gt;"&amp;INDEX($F124:$J124,AI124)),"")</f>
        <v/>
      </c>
      <c r="AM124" s="0" t="n">
        <f aca="false">AVERAGE($P124:$S124)/MAX($P124:$S124)</f>
        <v>0.612864077669903</v>
      </c>
      <c r="AN124" s="0" t="n">
        <f aca="false">100-INDEX($F124:$J124,$E124)</f>
        <v>54.4</v>
      </c>
    </row>
    <row r="125" customFormat="false" ht="15" hidden="false" customHeight="false" outlineLevel="0" collapsed="false">
      <c r="A125" s="0" t="s">
        <v>40</v>
      </c>
      <c r="B125" s="0" t="n">
        <v>2021</v>
      </c>
      <c r="C125" s="0" t="s">
        <v>48</v>
      </c>
      <c r="D125" s="0" t="s">
        <v>45</v>
      </c>
      <c r="E125" s="0" t="n">
        <v>2</v>
      </c>
      <c r="F125" s="0" t="n">
        <v>12.7</v>
      </c>
      <c r="G125" s="0" t="n">
        <v>40.9</v>
      </c>
      <c r="H125" s="0" t="n">
        <v>12.4</v>
      </c>
      <c r="I125" s="0" t="n">
        <v>17.9</v>
      </c>
      <c r="J125" s="0" t="n">
        <v>12.1</v>
      </c>
      <c r="K125" s="0" t="n">
        <v>7.43043312183</v>
      </c>
      <c r="L125" s="0" t="n">
        <v>34.8248759401</v>
      </c>
      <c r="M125" s="0" t="n">
        <v>17.1834320308</v>
      </c>
      <c r="N125" s="0" t="n">
        <v>2.1476312583</v>
      </c>
      <c r="O125" s="0" t="n">
        <v>38.413627649</v>
      </c>
      <c r="P125" s="0" t="n">
        <f aca="false">INDEX($F125:$J125,IF(1&lt;$E125,1,1+1))</f>
        <v>12.7</v>
      </c>
      <c r="Q125" s="0" t="n">
        <f aca="false">INDEX($F125:$J125,IF(2&lt;$E125,2,2+1))</f>
        <v>12.4</v>
      </c>
      <c r="R125" s="0" t="n">
        <f aca="false">INDEX($F125:$J125,IF(3&lt;$E125,3,3+1))</f>
        <v>17.9</v>
      </c>
      <c r="S125" s="0" t="n">
        <f aca="false">INDEX($F125:$J125,IF(4&lt;$E125,4,4+1))</f>
        <v>12.1</v>
      </c>
      <c r="T125" s="0" t="n">
        <f aca="false">INDEX($K125:$O125,IF(1&lt;$E125,1,1+1))</f>
        <v>7.43043312183</v>
      </c>
      <c r="U125" s="0" t="n">
        <f aca="false">INDEX($K125:$O125,IF(2&lt;$E125,2,2+1))</f>
        <v>17.1834320308</v>
      </c>
      <c r="V125" s="0" t="n">
        <f aca="false">INDEX($K125:$O125,IF(3&lt;$E125,3,3+1))</f>
        <v>2.1476312583</v>
      </c>
      <c r="W125" s="0" t="n">
        <f aca="false">INDEX($K125:$O125,IF(4&lt;$E125,4,4+1))</f>
        <v>38.413627649</v>
      </c>
      <c r="X125" s="0" t="n">
        <f aca="false">1+COUNTIF($P125:$S125,"&gt;"&amp;$P125)+(COUNTIF($P125:$S125,$P125)-1)/2</f>
        <v>2</v>
      </c>
      <c r="Y125" s="0" t="n">
        <f aca="false">1+COUNTIF($P125:$S125,"&gt;"&amp;$Q125)+(COUNTIF($P125:$S125,$Q125)-1)/2</f>
        <v>3</v>
      </c>
      <c r="Z125" s="0" t="n">
        <f aca="false">1+COUNTIF($P125:$S125,"&gt;"&amp;$R125)+(COUNTIF($P125:$S125,$R125)-1)/2</f>
        <v>1</v>
      </c>
      <c r="AA125" s="0" t="n">
        <f aca="false">1+COUNTIF($P125:$S125,"&gt;"&amp;$S125)+(COUNTIF($P125:$S125,$S125)-1)/2</f>
        <v>4</v>
      </c>
      <c r="AB125" s="0" t="n">
        <f aca="false">1+COUNTIF($T125:$W125,"&gt;"&amp;$T125)+(COUNTIF($T125:$W125,$T125)-1)/2</f>
        <v>3</v>
      </c>
      <c r="AC125" s="0" t="n">
        <f aca="false">1+COUNTIF($T125:$W125,"&gt;"&amp;$U125)+(COUNTIF($T125:$W125,$U125)-1)/2</f>
        <v>2</v>
      </c>
      <c r="AD125" s="0" t="n">
        <f aca="false">1+COUNTIF($T125:$W125,"&gt;"&amp;$V125)+(COUNTIF($T125:$W125,$V125)-1)/2</f>
        <v>4</v>
      </c>
      <c r="AE125" s="0" t="n">
        <f aca="false">1+COUNTIF($T125:$W125,"&gt;"&amp;$W125)+(COUNTIF($T125:$W125,$W125)-1)/2</f>
        <v>1</v>
      </c>
      <c r="AF125" s="0" t="n">
        <f aca="false">IFERROR(CORREL($P125:$S125,$T125:$W125),"")</f>
        <v>-0.656915828730332</v>
      </c>
      <c r="AG125" s="0" t="n">
        <f aca="false">IFERROR(CORREL($X125:$AA125,$AB125:$AE125),"")</f>
        <v>-1</v>
      </c>
      <c r="AH125" s="0" t="n">
        <f aca="false">IFERROR((SIGN($P125-$Q125)*SIGN($T125-$U125)+SIGN($P125-$R125)*SIGN($T125-$V125)+SIGN($P125-$S125)*SIGN($T125-$W125)+SIGN($Q125-$R125)*SIGN($U125-$V125)+SIGN($Q125-$S125)*SIGN($U125-$W125)+SIGN($R125-$S125)*SIGN($V125-$W125))/SQRT((6-(($P125=$Q125)*1+($P125=$R125)*1+($P125=$S125)*1+($Q125=$R125)*1+($Q125=$S125)*1+($R125=$S125)*1))*(6-(($T125=$U125)*1+($T125=$V125)*1+($T125=$W125)*1+($U125=$V125)*1+($U125=$W125)*1+($V125=$W125)*1))),"")</f>
        <v>-1</v>
      </c>
      <c r="AI125" s="0" t="n">
        <f aca="false">MATCH(MAX($K125:$O125),$K125:$O125,0)</f>
        <v>5</v>
      </c>
      <c r="AJ125" s="0" t="n">
        <f aca="false">IF(AI125&lt;&gt;$E125,1,0)</f>
        <v>1</v>
      </c>
      <c r="AK125" s="0" t="n">
        <f aca="false">IF(AJ125=1,INDEX($F125:$J125,AI125)/MAX($P125:$S125),"")</f>
        <v>0.675977653631285</v>
      </c>
      <c r="AL125" s="0" t="n">
        <f aca="false">IF(AJ125=1,1+COUNTIF($P125:$S125,"&gt;"&amp;INDEX($F125:$J125,AI125)),"")</f>
        <v>4</v>
      </c>
      <c r="AM125" s="0" t="n">
        <f aca="false">AVERAGE($P125:$S125)/MAX($P125:$S125)</f>
        <v>0.769553072625698</v>
      </c>
      <c r="AN125" s="0" t="n">
        <f aca="false">100-INDEX($F125:$J125,$E125)</f>
        <v>59.1</v>
      </c>
    </row>
    <row r="126" customFormat="false" ht="15" hidden="false" customHeight="false" outlineLevel="0" collapsed="false">
      <c r="A126" s="0" t="s">
        <v>40</v>
      </c>
      <c r="B126" s="0" t="n">
        <v>2021</v>
      </c>
      <c r="C126" s="0" t="s">
        <v>49</v>
      </c>
      <c r="D126" s="0" t="s">
        <v>42</v>
      </c>
      <c r="E126" s="0" t="n">
        <v>3</v>
      </c>
      <c r="F126" s="0" t="n">
        <v>13.6</v>
      </c>
      <c r="G126" s="0" t="n">
        <v>19.1</v>
      </c>
      <c r="H126" s="0" t="n">
        <v>32.3</v>
      </c>
      <c r="I126" s="0" t="n">
        <v>16.3</v>
      </c>
      <c r="J126" s="0" t="n">
        <v>16.9</v>
      </c>
      <c r="K126" s="0" t="n">
        <v>15.6382494978</v>
      </c>
      <c r="L126" s="0" t="n">
        <v>0.0309870048886</v>
      </c>
      <c r="M126" s="0" t="n">
        <v>72.9384241563</v>
      </c>
      <c r="N126" s="0" t="n">
        <v>5.21876024734</v>
      </c>
      <c r="O126" s="0" t="n">
        <v>6.17357909366</v>
      </c>
      <c r="P126" s="0" t="n">
        <f aca="false">INDEX($F126:$J126,IF(1&lt;$E126,1,1+1))</f>
        <v>13.6</v>
      </c>
      <c r="Q126" s="0" t="n">
        <f aca="false">INDEX($F126:$J126,IF(2&lt;$E126,2,2+1))</f>
        <v>19.1</v>
      </c>
      <c r="R126" s="0" t="n">
        <f aca="false">INDEX($F126:$J126,IF(3&lt;$E126,3,3+1))</f>
        <v>16.3</v>
      </c>
      <c r="S126" s="0" t="n">
        <f aca="false">INDEX($F126:$J126,IF(4&lt;$E126,4,4+1))</f>
        <v>16.9</v>
      </c>
      <c r="T126" s="0" t="n">
        <f aca="false">INDEX($K126:$O126,IF(1&lt;$E126,1,1+1))</f>
        <v>15.6382494978</v>
      </c>
      <c r="U126" s="0" t="n">
        <f aca="false">INDEX($K126:$O126,IF(2&lt;$E126,2,2+1))</f>
        <v>0.0309870048886</v>
      </c>
      <c r="V126" s="0" t="n">
        <f aca="false">INDEX($K126:$O126,IF(3&lt;$E126,3,3+1))</f>
        <v>5.21876024734</v>
      </c>
      <c r="W126" s="0" t="n">
        <f aca="false">INDEX($K126:$O126,IF(4&lt;$E126,4,4+1))</f>
        <v>6.17357909366</v>
      </c>
      <c r="X126" s="0" t="n">
        <f aca="false">1+COUNTIF($P126:$S126,"&gt;"&amp;$P126)+(COUNTIF($P126:$S126,$P126)-1)/2</f>
        <v>4</v>
      </c>
      <c r="Y126" s="0" t="n">
        <f aca="false">1+COUNTIF($P126:$S126,"&gt;"&amp;$Q126)+(COUNTIF($P126:$S126,$Q126)-1)/2</f>
        <v>1</v>
      </c>
      <c r="Z126" s="0" t="n">
        <f aca="false">1+COUNTIF($P126:$S126,"&gt;"&amp;$R126)+(COUNTIF($P126:$S126,$R126)-1)/2</f>
        <v>3</v>
      </c>
      <c r="AA126" s="0" t="n">
        <f aca="false">1+COUNTIF($P126:$S126,"&gt;"&amp;$S126)+(COUNTIF($P126:$S126,$S126)-1)/2</f>
        <v>2</v>
      </c>
      <c r="AB126" s="0" t="n">
        <f aca="false">1+COUNTIF($T126:$W126,"&gt;"&amp;$T126)+(COUNTIF($T126:$W126,$T126)-1)/2</f>
        <v>1</v>
      </c>
      <c r="AC126" s="0" t="n">
        <f aca="false">1+COUNTIF($T126:$W126,"&gt;"&amp;$U126)+(COUNTIF($T126:$W126,$U126)-1)/2</f>
        <v>4</v>
      </c>
      <c r="AD126" s="0" t="n">
        <f aca="false">1+COUNTIF($T126:$W126,"&gt;"&amp;$V126)+(COUNTIF($T126:$W126,$V126)-1)/2</f>
        <v>3</v>
      </c>
      <c r="AE126" s="0" t="n">
        <f aca="false">1+COUNTIF($T126:$W126,"&gt;"&amp;$W126)+(COUNTIF($T126:$W126,$W126)-1)/2</f>
        <v>2</v>
      </c>
      <c r="AF126" s="0" t="n">
        <f aca="false">IFERROR(CORREL($P126:$S126,$T126:$W126),"")</f>
        <v>-0.97783189555336</v>
      </c>
      <c r="AG126" s="0" t="n">
        <f aca="false">IFERROR(CORREL($X126:$AA126,$AB126:$AE126),"")</f>
        <v>-0.8</v>
      </c>
      <c r="AH126" s="0" t="n">
        <f aca="false">IFERROR((SIGN($P126-$Q126)*SIGN($T126-$U126)+SIGN($P126-$R126)*SIGN($T126-$V126)+SIGN($P126-$S126)*SIGN($T126-$W126)+SIGN($Q126-$R126)*SIGN($U126-$V126)+SIGN($Q126-$S126)*SIGN($U126-$W126)+SIGN($R126-$S126)*SIGN($V126-$W126))/SQRT((6-(($P126=$Q126)*1+($P126=$R126)*1+($P126=$S126)*1+($Q126=$R126)*1+($Q126=$S126)*1+($R126=$S126)*1))*(6-(($T126=$U126)*1+($T126=$V126)*1+($T126=$W126)*1+($U126=$V126)*1+($U126=$W126)*1+($V126=$W126)*1))),"")</f>
        <v>-0.666666666666667</v>
      </c>
      <c r="AI126" s="0" t="n">
        <f aca="false">MATCH(MAX($K126:$O126),$K126:$O126,0)</f>
        <v>3</v>
      </c>
      <c r="AJ126" s="0" t="n">
        <f aca="false">IF(AI126&lt;&gt;$E126,1,0)</f>
        <v>0</v>
      </c>
      <c r="AK126" s="0" t="str">
        <f aca="false">IF(AJ126=1,INDEX($F126:$J126,AI126)/MAX($P126:$S126),"")</f>
        <v/>
      </c>
      <c r="AL126" s="0" t="str">
        <f aca="false">IF(AJ126=1,1+COUNTIF($P126:$S126,"&gt;"&amp;INDEX($F126:$J126,AI126)),"")</f>
        <v/>
      </c>
      <c r="AM126" s="0" t="n">
        <f aca="false">AVERAGE($P126:$S126)/MAX($P126:$S126)</f>
        <v>0.862565445026178</v>
      </c>
      <c r="AN126" s="0" t="n">
        <f aca="false">100-INDEX($F126:$J126,$E126)</f>
        <v>67.7</v>
      </c>
    </row>
    <row r="127" customFormat="false" ht="15" hidden="false" customHeight="false" outlineLevel="0" collapsed="false">
      <c r="A127" s="0" t="s">
        <v>40</v>
      </c>
      <c r="B127" s="0" t="n">
        <v>2021</v>
      </c>
      <c r="C127" s="0" t="s">
        <v>49</v>
      </c>
      <c r="D127" s="0" t="s">
        <v>43</v>
      </c>
      <c r="E127" s="0" t="n">
        <v>2</v>
      </c>
      <c r="F127" s="0" t="n">
        <v>11.4</v>
      </c>
      <c r="G127" s="0" t="n">
        <v>46.1</v>
      </c>
      <c r="H127" s="0" t="n">
        <v>19.5</v>
      </c>
      <c r="I127" s="0" t="n">
        <v>10.3</v>
      </c>
      <c r="J127" s="0" t="n">
        <v>10.9</v>
      </c>
      <c r="K127" s="0" t="n">
        <v>9.5957034324</v>
      </c>
      <c r="L127" s="0" t="n">
        <v>23.6568908134</v>
      </c>
      <c r="M127" s="0" t="n">
        <v>28.7679112475</v>
      </c>
      <c r="N127" s="0" t="n">
        <v>17.9634004341</v>
      </c>
      <c r="O127" s="0" t="n">
        <v>20.0160940726</v>
      </c>
      <c r="P127" s="0" t="n">
        <f aca="false">INDEX($F127:$J127,IF(1&lt;$E127,1,1+1))</f>
        <v>11.4</v>
      </c>
      <c r="Q127" s="0" t="n">
        <f aca="false">INDEX($F127:$J127,IF(2&lt;$E127,2,2+1))</f>
        <v>19.5</v>
      </c>
      <c r="R127" s="0" t="n">
        <f aca="false">INDEX($F127:$J127,IF(3&lt;$E127,3,3+1))</f>
        <v>10.3</v>
      </c>
      <c r="S127" s="0" t="n">
        <f aca="false">INDEX($F127:$J127,IF(4&lt;$E127,4,4+1))</f>
        <v>10.9</v>
      </c>
      <c r="T127" s="0" t="n">
        <f aca="false">INDEX($K127:$O127,IF(1&lt;$E127,1,1+1))</f>
        <v>9.5957034324</v>
      </c>
      <c r="U127" s="0" t="n">
        <f aca="false">INDEX($K127:$O127,IF(2&lt;$E127,2,2+1))</f>
        <v>28.7679112475</v>
      </c>
      <c r="V127" s="0" t="n">
        <f aca="false">INDEX($K127:$O127,IF(3&lt;$E127,3,3+1))</f>
        <v>17.9634004341</v>
      </c>
      <c r="W127" s="0" t="n">
        <f aca="false">INDEX($K127:$O127,IF(4&lt;$E127,4,4+1))</f>
        <v>20.0160940726</v>
      </c>
      <c r="X127" s="0" t="n">
        <f aca="false">1+COUNTIF($P127:$S127,"&gt;"&amp;$P127)+(COUNTIF($P127:$S127,$P127)-1)/2</f>
        <v>2</v>
      </c>
      <c r="Y127" s="0" t="n">
        <f aca="false">1+COUNTIF($P127:$S127,"&gt;"&amp;$Q127)+(COUNTIF($P127:$S127,$Q127)-1)/2</f>
        <v>1</v>
      </c>
      <c r="Z127" s="0" t="n">
        <f aca="false">1+COUNTIF($P127:$S127,"&gt;"&amp;$R127)+(COUNTIF($P127:$S127,$R127)-1)/2</f>
        <v>4</v>
      </c>
      <c r="AA127" s="0" t="n">
        <f aca="false">1+COUNTIF($P127:$S127,"&gt;"&amp;$S127)+(COUNTIF($P127:$S127,$S127)-1)/2</f>
        <v>3</v>
      </c>
      <c r="AB127" s="0" t="n">
        <f aca="false">1+COUNTIF($T127:$W127,"&gt;"&amp;$T127)+(COUNTIF($T127:$W127,$T127)-1)/2</f>
        <v>4</v>
      </c>
      <c r="AC127" s="0" t="n">
        <f aca="false">1+COUNTIF($T127:$W127,"&gt;"&amp;$U127)+(COUNTIF($T127:$W127,$U127)-1)/2</f>
        <v>1</v>
      </c>
      <c r="AD127" s="0" t="n">
        <f aca="false">1+COUNTIF($T127:$W127,"&gt;"&amp;$V127)+(COUNTIF($T127:$W127,$V127)-1)/2</f>
        <v>3</v>
      </c>
      <c r="AE127" s="0" t="n">
        <f aca="false">1+COUNTIF($T127:$W127,"&gt;"&amp;$W127)+(COUNTIF($T127:$W127,$W127)-1)/2</f>
        <v>2</v>
      </c>
      <c r="AF127" s="0" t="n">
        <f aca="false">IFERROR(CORREL($P127:$S127,$T127:$W127),"")</f>
        <v>0.77262374223217</v>
      </c>
      <c r="AG127" s="0" t="n">
        <f aca="false">IFERROR(CORREL($X127:$AA127,$AB127:$AE127),"")</f>
        <v>0.4</v>
      </c>
      <c r="AH127" s="0" t="n">
        <f aca="false">IFERROR((SIGN($P127-$Q127)*SIGN($T127-$U127)+SIGN($P127-$R127)*SIGN($T127-$V127)+SIGN($P127-$S127)*SIGN($T127-$W127)+SIGN($Q127-$R127)*SIGN($U127-$V127)+SIGN($Q127-$S127)*SIGN($U127-$W127)+SIGN($R127-$S127)*SIGN($V127-$W127))/SQRT((6-(($P127=$Q127)*1+($P127=$R127)*1+($P127=$S127)*1+($Q127=$R127)*1+($Q127=$S127)*1+($R127=$S127)*1))*(6-(($T127=$U127)*1+($T127=$V127)*1+($T127=$W127)*1+($U127=$V127)*1+($U127=$W127)*1+($V127=$W127)*1))),"")</f>
        <v>0.333333333333333</v>
      </c>
      <c r="AI127" s="0" t="n">
        <f aca="false">MATCH(MAX($K127:$O127),$K127:$O127,0)</f>
        <v>3</v>
      </c>
      <c r="AJ127" s="0" t="n">
        <f aca="false">IF(AI127&lt;&gt;$E127,1,0)</f>
        <v>1</v>
      </c>
      <c r="AK127" s="0" t="n">
        <f aca="false">IF(AJ127=1,INDEX($F127:$J127,AI127)/MAX($P127:$S127),"")</f>
        <v>1</v>
      </c>
      <c r="AL127" s="0" t="n">
        <f aca="false">IF(AJ127=1,1+COUNTIF($P127:$S127,"&gt;"&amp;INDEX($F127:$J127,AI127)),"")</f>
        <v>1</v>
      </c>
      <c r="AM127" s="0" t="n">
        <f aca="false">AVERAGE($P127:$S127)/MAX($P127:$S127)</f>
        <v>0.667948717948718</v>
      </c>
      <c r="AN127" s="0" t="n">
        <f aca="false">100-INDEX($F127:$J127,$E127)</f>
        <v>53.9</v>
      </c>
    </row>
    <row r="128" customFormat="false" ht="15" hidden="false" customHeight="false" outlineLevel="0" collapsed="false">
      <c r="A128" s="0" t="s">
        <v>40</v>
      </c>
      <c r="B128" s="0" t="n">
        <v>2021</v>
      </c>
      <c r="C128" s="0" t="s">
        <v>49</v>
      </c>
      <c r="D128" s="0" t="s">
        <v>44</v>
      </c>
      <c r="E128" s="0" t="n">
        <v>1</v>
      </c>
      <c r="F128" s="0" t="n">
        <v>30.3</v>
      </c>
      <c r="G128" s="0" t="n">
        <v>17.1</v>
      </c>
      <c r="H128" s="0" t="n">
        <v>17.5</v>
      </c>
      <c r="I128" s="0" t="n">
        <v>12.3</v>
      </c>
      <c r="J128" s="0" t="n">
        <v>21</v>
      </c>
      <c r="K128" s="0" t="n">
        <v>58.9082230689</v>
      </c>
      <c r="L128" s="0" t="n">
        <v>1.33468300168</v>
      </c>
      <c r="M128" s="0" t="n">
        <v>28.7461557423</v>
      </c>
      <c r="N128" s="0" t="n">
        <v>8.80606278594</v>
      </c>
      <c r="O128" s="0" t="n">
        <v>2.20487540116</v>
      </c>
      <c r="P128" s="0" t="n">
        <f aca="false">INDEX($F128:$J128,IF(1&lt;$E128,1,1+1))</f>
        <v>17.1</v>
      </c>
      <c r="Q128" s="0" t="n">
        <f aca="false">INDEX($F128:$J128,IF(2&lt;$E128,2,2+1))</f>
        <v>17.5</v>
      </c>
      <c r="R128" s="0" t="n">
        <f aca="false">INDEX($F128:$J128,IF(3&lt;$E128,3,3+1))</f>
        <v>12.3</v>
      </c>
      <c r="S128" s="0" t="n">
        <f aca="false">INDEX($F128:$J128,IF(4&lt;$E128,4,4+1))</f>
        <v>21</v>
      </c>
      <c r="T128" s="0" t="n">
        <f aca="false">INDEX($K128:$O128,IF(1&lt;$E128,1,1+1))</f>
        <v>1.33468300168</v>
      </c>
      <c r="U128" s="0" t="n">
        <f aca="false">INDEX($K128:$O128,IF(2&lt;$E128,2,2+1))</f>
        <v>28.7461557423</v>
      </c>
      <c r="V128" s="0" t="n">
        <f aca="false">INDEX($K128:$O128,IF(3&lt;$E128,3,3+1))</f>
        <v>8.80606278594</v>
      </c>
      <c r="W128" s="0" t="n">
        <f aca="false">INDEX($K128:$O128,IF(4&lt;$E128,4,4+1))</f>
        <v>2.20487540116</v>
      </c>
      <c r="X128" s="0" t="n">
        <f aca="false">1+COUNTIF($P128:$S128,"&gt;"&amp;$P128)+(COUNTIF($P128:$S128,$P128)-1)/2</f>
        <v>3</v>
      </c>
      <c r="Y128" s="0" t="n">
        <f aca="false">1+COUNTIF($P128:$S128,"&gt;"&amp;$Q128)+(COUNTIF($P128:$S128,$Q128)-1)/2</f>
        <v>2</v>
      </c>
      <c r="Z128" s="0" t="n">
        <f aca="false">1+COUNTIF($P128:$S128,"&gt;"&amp;$R128)+(COUNTIF($P128:$S128,$R128)-1)/2</f>
        <v>4</v>
      </c>
      <c r="AA128" s="0" t="n">
        <f aca="false">1+COUNTIF($P128:$S128,"&gt;"&amp;$S128)+(COUNTIF($P128:$S128,$S128)-1)/2</f>
        <v>1</v>
      </c>
      <c r="AB128" s="0" t="n">
        <f aca="false">1+COUNTIF($T128:$W128,"&gt;"&amp;$T128)+(COUNTIF($T128:$W128,$T128)-1)/2</f>
        <v>4</v>
      </c>
      <c r="AC128" s="0" t="n">
        <f aca="false">1+COUNTIF($T128:$W128,"&gt;"&amp;$U128)+(COUNTIF($T128:$W128,$U128)-1)/2</f>
        <v>1</v>
      </c>
      <c r="AD128" s="0" t="n">
        <f aca="false">1+COUNTIF($T128:$W128,"&gt;"&amp;$V128)+(COUNTIF($T128:$W128,$V128)-1)/2</f>
        <v>2</v>
      </c>
      <c r="AE128" s="0" t="n">
        <f aca="false">1+COUNTIF($T128:$W128,"&gt;"&amp;$W128)+(COUNTIF($T128:$W128,$W128)-1)/2</f>
        <v>3</v>
      </c>
      <c r="AF128" s="0" t="n">
        <f aca="false">IFERROR(CORREL($P128:$S128,$T128:$W128),"")</f>
        <v>-0.124477476933886</v>
      </c>
      <c r="AG128" s="0" t="n">
        <f aca="false">IFERROR(CORREL($X128:$AA128,$AB128:$AE128),"")</f>
        <v>0</v>
      </c>
      <c r="AH128" s="0" t="n">
        <f aca="false">IFERROR((SIGN($P128-$Q128)*SIGN($T128-$U128)+SIGN($P128-$R128)*SIGN($T128-$V128)+SIGN($P128-$S128)*SIGN($T128-$W128)+SIGN($Q128-$R128)*SIGN($U128-$V128)+SIGN($Q128-$S128)*SIGN($U128-$W128)+SIGN($R128-$S128)*SIGN($V128-$W128))/SQRT((6-(($P128=$Q128)*1+($P128=$R128)*1+($P128=$S128)*1+($Q128=$R128)*1+($Q128=$S128)*1+($R128=$S128)*1))*(6-(($T128=$U128)*1+($T128=$V128)*1+($T128=$W128)*1+($U128=$V128)*1+($U128=$W128)*1+($V128=$W128)*1))),"")</f>
        <v>0</v>
      </c>
      <c r="AI128" s="0" t="n">
        <f aca="false">MATCH(MAX($K128:$O128),$K128:$O128,0)</f>
        <v>1</v>
      </c>
      <c r="AJ128" s="0" t="n">
        <f aca="false">IF(AI128&lt;&gt;$E128,1,0)</f>
        <v>0</v>
      </c>
      <c r="AK128" s="0" t="str">
        <f aca="false">IF(AJ128=1,INDEX($F128:$J128,AI128)/MAX($P128:$S128),"")</f>
        <v/>
      </c>
      <c r="AL128" s="0" t="str">
        <f aca="false">IF(AJ128=1,1+COUNTIF($P128:$S128,"&gt;"&amp;INDEX($F128:$J128,AI128)),"")</f>
        <v/>
      </c>
      <c r="AM128" s="0" t="n">
        <f aca="false">AVERAGE($P128:$S128)/MAX($P128:$S128)</f>
        <v>0.808333333333333</v>
      </c>
      <c r="AN128" s="0" t="n">
        <f aca="false">100-INDEX($F128:$J128,$E128)</f>
        <v>69.7</v>
      </c>
    </row>
    <row r="129" customFormat="false" ht="15" hidden="false" customHeight="false" outlineLevel="0" collapsed="false">
      <c r="A129" s="0" t="s">
        <v>40</v>
      </c>
      <c r="B129" s="0" t="n">
        <v>2021</v>
      </c>
      <c r="C129" s="0" t="s">
        <v>49</v>
      </c>
      <c r="D129" s="0" t="s">
        <v>45</v>
      </c>
      <c r="E129" s="0" t="n">
        <v>4</v>
      </c>
      <c r="F129" s="0" t="n">
        <v>18</v>
      </c>
      <c r="G129" s="0" t="n">
        <v>18.3</v>
      </c>
      <c r="H129" s="0" t="n">
        <v>19.1</v>
      </c>
      <c r="I129" s="0" t="n">
        <v>33.1</v>
      </c>
      <c r="J129" s="0" t="n">
        <v>9.6</v>
      </c>
      <c r="K129" s="0" t="n">
        <v>16.6061380099</v>
      </c>
      <c r="L129" s="0" t="n">
        <v>8.8749850437</v>
      </c>
      <c r="M129" s="0" t="n">
        <v>3.34508921398</v>
      </c>
      <c r="N129" s="0" t="n">
        <v>58.2241064264</v>
      </c>
      <c r="O129" s="0" t="n">
        <v>12.949681306</v>
      </c>
      <c r="P129" s="0" t="n">
        <f aca="false">INDEX($F129:$J129,IF(1&lt;$E129,1,1+1))</f>
        <v>18</v>
      </c>
      <c r="Q129" s="0" t="n">
        <f aca="false">INDEX($F129:$J129,IF(2&lt;$E129,2,2+1))</f>
        <v>18.3</v>
      </c>
      <c r="R129" s="0" t="n">
        <f aca="false">INDEX($F129:$J129,IF(3&lt;$E129,3,3+1))</f>
        <v>19.1</v>
      </c>
      <c r="S129" s="0" t="n">
        <f aca="false">INDEX($F129:$J129,IF(4&lt;$E129,4,4+1))</f>
        <v>9.6</v>
      </c>
      <c r="T129" s="0" t="n">
        <f aca="false">INDEX($K129:$O129,IF(1&lt;$E129,1,1+1))</f>
        <v>16.6061380099</v>
      </c>
      <c r="U129" s="0" t="n">
        <f aca="false">INDEX($K129:$O129,IF(2&lt;$E129,2,2+1))</f>
        <v>8.8749850437</v>
      </c>
      <c r="V129" s="0" t="n">
        <f aca="false">INDEX($K129:$O129,IF(3&lt;$E129,3,3+1))</f>
        <v>3.34508921398</v>
      </c>
      <c r="W129" s="0" t="n">
        <f aca="false">INDEX($K129:$O129,IF(4&lt;$E129,4,4+1))</f>
        <v>12.949681306</v>
      </c>
      <c r="X129" s="0" t="n">
        <f aca="false">1+COUNTIF($P129:$S129,"&gt;"&amp;$P129)+(COUNTIF($P129:$S129,$P129)-1)/2</f>
        <v>3</v>
      </c>
      <c r="Y129" s="0" t="n">
        <f aca="false">1+COUNTIF($P129:$S129,"&gt;"&amp;$Q129)+(COUNTIF($P129:$S129,$Q129)-1)/2</f>
        <v>2</v>
      </c>
      <c r="Z129" s="0" t="n">
        <f aca="false">1+COUNTIF($P129:$S129,"&gt;"&amp;$R129)+(COUNTIF($P129:$S129,$R129)-1)/2</f>
        <v>1</v>
      </c>
      <c r="AA129" s="0" t="n">
        <f aca="false">1+COUNTIF($P129:$S129,"&gt;"&amp;$S129)+(COUNTIF($P129:$S129,$S129)-1)/2</f>
        <v>4</v>
      </c>
      <c r="AB129" s="0" t="n">
        <f aca="false">1+COUNTIF($T129:$W129,"&gt;"&amp;$T129)+(COUNTIF($T129:$W129,$T129)-1)/2</f>
        <v>1</v>
      </c>
      <c r="AC129" s="0" t="n">
        <f aca="false">1+COUNTIF($T129:$W129,"&gt;"&amp;$U129)+(COUNTIF($T129:$W129,$U129)-1)/2</f>
        <v>3</v>
      </c>
      <c r="AD129" s="0" t="n">
        <f aca="false">1+COUNTIF($T129:$W129,"&gt;"&amp;$V129)+(COUNTIF($T129:$W129,$V129)-1)/2</f>
        <v>4</v>
      </c>
      <c r="AE129" s="0" t="n">
        <f aca="false">1+COUNTIF($T129:$W129,"&gt;"&amp;$W129)+(COUNTIF($T129:$W129,$W129)-1)/2</f>
        <v>2</v>
      </c>
      <c r="AF129" s="0" t="n">
        <f aca="false">IFERROR(CORREL($P129:$S129,$T129:$W129),"")</f>
        <v>-0.385469105839979</v>
      </c>
      <c r="AG129" s="0" t="n">
        <f aca="false">IFERROR(CORREL($X129:$AA129,$AB129:$AE129),"")</f>
        <v>-0.8</v>
      </c>
      <c r="AH129" s="0" t="n">
        <f aca="false">IFERROR((SIGN($P129-$Q129)*SIGN($T129-$U129)+SIGN($P129-$R129)*SIGN($T129-$V129)+SIGN($P129-$S129)*SIGN($T129-$W129)+SIGN($Q129-$R129)*SIGN($U129-$V129)+SIGN($Q129-$S129)*SIGN($U129-$W129)+SIGN($R129-$S129)*SIGN($V129-$W129))/SQRT((6-(($P129=$Q129)*1+($P129=$R129)*1+($P129=$S129)*1+($Q129=$R129)*1+($Q129=$S129)*1+($R129=$S129)*1))*(6-(($T129=$U129)*1+($T129=$V129)*1+($T129=$W129)*1+($U129=$V129)*1+($U129=$W129)*1+($V129=$W129)*1))),"")</f>
        <v>-0.666666666666667</v>
      </c>
      <c r="AI129" s="0" t="n">
        <f aca="false">MATCH(MAX($K129:$O129),$K129:$O129,0)</f>
        <v>4</v>
      </c>
      <c r="AJ129" s="0" t="n">
        <f aca="false">IF(AI129&lt;&gt;$E129,1,0)</f>
        <v>0</v>
      </c>
      <c r="AK129" s="0" t="str">
        <f aca="false">IF(AJ129=1,INDEX($F129:$J129,AI129)/MAX($P129:$S129),"")</f>
        <v/>
      </c>
      <c r="AL129" s="0" t="str">
        <f aca="false">IF(AJ129=1,1+COUNTIF($P129:$S129,"&gt;"&amp;INDEX($F129:$J129,AI129)),"")</f>
        <v/>
      </c>
      <c r="AM129" s="0" t="n">
        <f aca="false">AVERAGE($P129:$S129)/MAX($P129:$S129)</f>
        <v>0.850785340314136</v>
      </c>
      <c r="AN129" s="0" t="n">
        <f aca="false">100-INDEX($F129:$J129,$E129)</f>
        <v>66.9</v>
      </c>
    </row>
    <row r="130" customFormat="false" ht="15" hidden="false" customHeight="false" outlineLevel="0" collapsed="false">
      <c r="A130" s="0" t="s">
        <v>40</v>
      </c>
      <c r="B130" s="0" t="n">
        <v>2021</v>
      </c>
      <c r="C130" s="0" t="s">
        <v>50</v>
      </c>
      <c r="D130" s="0" t="s">
        <v>42</v>
      </c>
      <c r="E130" s="0" t="n">
        <v>1</v>
      </c>
      <c r="F130" s="0" t="n">
        <v>42.1</v>
      </c>
      <c r="G130" s="0" t="n">
        <v>14.2</v>
      </c>
      <c r="H130" s="0" t="n">
        <v>11</v>
      </c>
      <c r="I130" s="0" t="n">
        <v>17.3</v>
      </c>
      <c r="J130" s="0" t="n">
        <v>11.2</v>
      </c>
      <c r="K130" s="0" t="n">
        <v>78.9043237291</v>
      </c>
      <c r="L130" s="0" t="n">
        <v>5.71254035897</v>
      </c>
      <c r="M130" s="0" t="n">
        <v>0.95444399649</v>
      </c>
      <c r="N130" s="0" t="n">
        <v>12.7121174385</v>
      </c>
      <c r="O130" s="0" t="n">
        <v>1.71657447696</v>
      </c>
      <c r="P130" s="0" t="n">
        <f aca="false">INDEX($F130:$J130,IF(1&lt;$E130,1,1+1))</f>
        <v>14.2</v>
      </c>
      <c r="Q130" s="0" t="n">
        <f aca="false">INDEX($F130:$J130,IF(2&lt;$E130,2,2+1))</f>
        <v>11</v>
      </c>
      <c r="R130" s="0" t="n">
        <f aca="false">INDEX($F130:$J130,IF(3&lt;$E130,3,3+1))</f>
        <v>17.3</v>
      </c>
      <c r="S130" s="0" t="n">
        <f aca="false">INDEX($F130:$J130,IF(4&lt;$E130,4,4+1))</f>
        <v>11.2</v>
      </c>
      <c r="T130" s="0" t="n">
        <f aca="false">INDEX($K130:$O130,IF(1&lt;$E130,1,1+1))</f>
        <v>5.71254035897</v>
      </c>
      <c r="U130" s="0" t="n">
        <f aca="false">INDEX($K130:$O130,IF(2&lt;$E130,2,2+1))</f>
        <v>0.95444399649</v>
      </c>
      <c r="V130" s="0" t="n">
        <f aca="false">INDEX($K130:$O130,IF(3&lt;$E130,3,3+1))</f>
        <v>12.7121174385</v>
      </c>
      <c r="W130" s="0" t="n">
        <f aca="false">INDEX($K130:$O130,IF(4&lt;$E130,4,4+1))</f>
        <v>1.71657447696</v>
      </c>
      <c r="X130" s="0" t="n">
        <f aca="false">1+COUNTIF($P130:$S130,"&gt;"&amp;$P130)+(COUNTIF($P130:$S130,$P130)-1)/2</f>
        <v>2</v>
      </c>
      <c r="Y130" s="0" t="n">
        <f aca="false">1+COUNTIF($P130:$S130,"&gt;"&amp;$Q130)+(COUNTIF($P130:$S130,$Q130)-1)/2</f>
        <v>4</v>
      </c>
      <c r="Z130" s="0" t="n">
        <f aca="false">1+COUNTIF($P130:$S130,"&gt;"&amp;$R130)+(COUNTIF($P130:$S130,$R130)-1)/2</f>
        <v>1</v>
      </c>
      <c r="AA130" s="0" t="n">
        <f aca="false">1+COUNTIF($P130:$S130,"&gt;"&amp;$S130)+(COUNTIF($P130:$S130,$S130)-1)/2</f>
        <v>3</v>
      </c>
      <c r="AB130" s="0" t="n">
        <f aca="false">1+COUNTIF($T130:$W130,"&gt;"&amp;$T130)+(COUNTIF($T130:$W130,$T130)-1)/2</f>
        <v>2</v>
      </c>
      <c r="AC130" s="0" t="n">
        <f aca="false">1+COUNTIF($T130:$W130,"&gt;"&amp;$U130)+(COUNTIF($T130:$W130,$U130)-1)/2</f>
        <v>4</v>
      </c>
      <c r="AD130" s="0" t="n">
        <f aca="false">1+COUNTIF($T130:$W130,"&gt;"&amp;$V130)+(COUNTIF($T130:$W130,$V130)-1)/2</f>
        <v>1</v>
      </c>
      <c r="AE130" s="0" t="n">
        <f aca="false">1+COUNTIF($T130:$W130,"&gt;"&amp;$W130)+(COUNTIF($T130:$W130,$W130)-1)/2</f>
        <v>3</v>
      </c>
      <c r="AF130" s="0" t="n">
        <f aca="false">IFERROR(CORREL($P130:$S130,$T130:$W130),"")</f>
        <v>0.992302814230965</v>
      </c>
      <c r="AG130" s="0" t="n">
        <f aca="false">IFERROR(CORREL($X130:$AA130,$AB130:$AE130),"")</f>
        <v>1</v>
      </c>
      <c r="AH130" s="0" t="n">
        <f aca="false">IFERROR((SIGN($P130-$Q130)*SIGN($T130-$U130)+SIGN($P130-$R130)*SIGN($T130-$V130)+SIGN($P130-$S130)*SIGN($T130-$W130)+SIGN($Q130-$R130)*SIGN($U130-$V130)+SIGN($Q130-$S130)*SIGN($U130-$W130)+SIGN($R130-$S130)*SIGN($V130-$W130))/SQRT((6-(($P130=$Q130)*1+($P130=$R130)*1+($P130=$S130)*1+($Q130=$R130)*1+($Q130=$S130)*1+($R130=$S130)*1))*(6-(($T130=$U130)*1+($T130=$V130)*1+($T130=$W130)*1+($U130=$V130)*1+($U130=$W130)*1+($V130=$W130)*1))),"")</f>
        <v>1</v>
      </c>
      <c r="AI130" s="0" t="n">
        <f aca="false">MATCH(MAX($K130:$O130),$K130:$O130,0)</f>
        <v>1</v>
      </c>
      <c r="AJ130" s="0" t="n">
        <f aca="false">IF(AI130&lt;&gt;$E130,1,0)</f>
        <v>0</v>
      </c>
      <c r="AK130" s="0" t="str">
        <f aca="false">IF(AJ130=1,INDEX($F130:$J130,AI130)/MAX($P130:$S130),"")</f>
        <v/>
      </c>
      <c r="AL130" s="0" t="str">
        <f aca="false">IF(AJ130=1,1+COUNTIF($P130:$S130,"&gt;"&amp;INDEX($F130:$J130,AI130)),"")</f>
        <v/>
      </c>
      <c r="AM130" s="0" t="n">
        <f aca="false">AVERAGE($P130:$S130)/MAX($P130:$S130)</f>
        <v>0.776011560693642</v>
      </c>
      <c r="AN130" s="0" t="n">
        <f aca="false">100-INDEX($F130:$J130,$E130)</f>
        <v>57.9</v>
      </c>
    </row>
    <row r="131" customFormat="false" ht="15" hidden="false" customHeight="false" outlineLevel="0" collapsed="false">
      <c r="A131" s="0" t="s">
        <v>40</v>
      </c>
      <c r="B131" s="0" t="n">
        <v>2021</v>
      </c>
      <c r="C131" s="0" t="s">
        <v>50</v>
      </c>
      <c r="D131" s="0" t="s">
        <v>43</v>
      </c>
      <c r="E131" s="0" t="n">
        <v>2</v>
      </c>
      <c r="F131" s="0" t="n">
        <v>14</v>
      </c>
      <c r="G131" s="0" t="n">
        <v>50.9</v>
      </c>
      <c r="H131" s="0" t="n">
        <v>13.2</v>
      </c>
      <c r="I131" s="0" t="n">
        <v>12.3</v>
      </c>
      <c r="J131" s="0" t="n">
        <v>5.4</v>
      </c>
      <c r="K131" s="0" t="n">
        <v>1.32102976304</v>
      </c>
      <c r="L131" s="0" t="n">
        <v>23.1921227804</v>
      </c>
      <c r="M131" s="0" t="n">
        <v>31.4429128973</v>
      </c>
      <c r="N131" s="0" t="n">
        <v>28.3399040989</v>
      </c>
      <c r="O131" s="0" t="n">
        <v>15.7040304603</v>
      </c>
      <c r="P131" s="0" t="n">
        <f aca="false">INDEX($F131:$J131,IF(1&lt;$E131,1,1+1))</f>
        <v>14</v>
      </c>
      <c r="Q131" s="0" t="n">
        <f aca="false">INDEX($F131:$J131,IF(2&lt;$E131,2,2+1))</f>
        <v>13.2</v>
      </c>
      <c r="R131" s="0" t="n">
        <f aca="false">INDEX($F131:$J131,IF(3&lt;$E131,3,3+1))</f>
        <v>12.3</v>
      </c>
      <c r="S131" s="0" t="n">
        <f aca="false">INDEX($F131:$J131,IF(4&lt;$E131,4,4+1))</f>
        <v>5.4</v>
      </c>
      <c r="T131" s="0" t="n">
        <f aca="false">INDEX($K131:$O131,IF(1&lt;$E131,1,1+1))</f>
        <v>1.32102976304</v>
      </c>
      <c r="U131" s="0" t="n">
        <f aca="false">INDEX($K131:$O131,IF(2&lt;$E131,2,2+1))</f>
        <v>31.4429128973</v>
      </c>
      <c r="V131" s="0" t="n">
        <f aca="false">INDEX($K131:$O131,IF(3&lt;$E131,3,3+1))</f>
        <v>28.3399040989</v>
      </c>
      <c r="W131" s="0" t="n">
        <f aca="false">INDEX($K131:$O131,IF(4&lt;$E131,4,4+1))</f>
        <v>15.7040304603</v>
      </c>
      <c r="X131" s="0" t="n">
        <f aca="false">1+COUNTIF($P131:$S131,"&gt;"&amp;$P131)+(COUNTIF($P131:$S131,$P131)-1)/2</f>
        <v>1</v>
      </c>
      <c r="Y131" s="0" t="n">
        <f aca="false">1+COUNTIF($P131:$S131,"&gt;"&amp;$Q131)+(COUNTIF($P131:$S131,$Q131)-1)/2</f>
        <v>2</v>
      </c>
      <c r="Z131" s="0" t="n">
        <f aca="false">1+COUNTIF($P131:$S131,"&gt;"&amp;$R131)+(COUNTIF($P131:$S131,$R131)-1)/2</f>
        <v>3</v>
      </c>
      <c r="AA131" s="0" t="n">
        <f aca="false">1+COUNTIF($P131:$S131,"&gt;"&amp;$S131)+(COUNTIF($P131:$S131,$S131)-1)/2</f>
        <v>4</v>
      </c>
      <c r="AB131" s="0" t="n">
        <f aca="false">1+COUNTIF($T131:$W131,"&gt;"&amp;$T131)+(COUNTIF($T131:$W131,$T131)-1)/2</f>
        <v>4</v>
      </c>
      <c r="AC131" s="0" t="n">
        <f aca="false">1+COUNTIF($T131:$W131,"&gt;"&amp;$U131)+(COUNTIF($T131:$W131,$U131)-1)/2</f>
        <v>1</v>
      </c>
      <c r="AD131" s="0" t="n">
        <f aca="false">1+COUNTIF($T131:$W131,"&gt;"&amp;$V131)+(COUNTIF($T131:$W131,$V131)-1)/2</f>
        <v>2</v>
      </c>
      <c r="AE131" s="0" t="n">
        <f aca="false">1+COUNTIF($T131:$W131,"&gt;"&amp;$W131)+(COUNTIF($T131:$W131,$W131)-1)/2</f>
        <v>3</v>
      </c>
      <c r="AF131" s="0" t="n">
        <f aca="false">IFERROR(CORREL($P131:$S131,$T131:$W131),"")</f>
        <v>0.0292692172983714</v>
      </c>
      <c r="AG131" s="0" t="n">
        <f aca="false">IFERROR(CORREL($X131:$AA131,$AB131:$AE131),"")</f>
        <v>-0.2</v>
      </c>
      <c r="AH131" s="0" t="n">
        <f aca="false">IFERROR((SIGN($P131-$Q131)*SIGN($T131-$U131)+SIGN($P131-$R131)*SIGN($T131-$V131)+SIGN($P131-$S131)*SIGN($T131-$W131)+SIGN($Q131-$R131)*SIGN($U131-$V131)+SIGN($Q131-$S131)*SIGN($U131-$W131)+SIGN($R131-$S131)*SIGN($V131-$W131))/SQRT((6-(($P131=$Q131)*1+($P131=$R131)*1+($P131=$S131)*1+($Q131=$R131)*1+($Q131=$S131)*1+($R131=$S131)*1))*(6-(($T131=$U131)*1+($T131=$V131)*1+($T131=$W131)*1+($U131=$V131)*1+($U131=$W131)*1+($V131=$W131)*1))),"")</f>
        <v>0</v>
      </c>
      <c r="AI131" s="0" t="n">
        <f aca="false">MATCH(MAX($K131:$O131),$K131:$O131,0)</f>
        <v>3</v>
      </c>
      <c r="AJ131" s="0" t="n">
        <f aca="false">IF(AI131&lt;&gt;$E131,1,0)</f>
        <v>1</v>
      </c>
      <c r="AK131" s="0" t="n">
        <f aca="false">IF(AJ131=1,INDEX($F131:$J131,AI131)/MAX($P131:$S131),"")</f>
        <v>0.942857142857143</v>
      </c>
      <c r="AL131" s="0" t="n">
        <f aca="false">IF(AJ131=1,1+COUNTIF($P131:$S131,"&gt;"&amp;INDEX($F131:$J131,AI131)),"")</f>
        <v>2</v>
      </c>
      <c r="AM131" s="0" t="n">
        <f aca="false">AVERAGE($P131:$S131)/MAX($P131:$S131)</f>
        <v>0.801785714285714</v>
      </c>
      <c r="AN131" s="0" t="n">
        <f aca="false">100-INDEX($F131:$J131,$E131)</f>
        <v>49.1</v>
      </c>
    </row>
    <row r="132" customFormat="false" ht="15" hidden="false" customHeight="false" outlineLevel="0" collapsed="false">
      <c r="A132" s="0" t="s">
        <v>40</v>
      </c>
      <c r="B132" s="0" t="n">
        <v>2021</v>
      </c>
      <c r="C132" s="0" t="s">
        <v>50</v>
      </c>
      <c r="D132" s="0" t="s">
        <v>44</v>
      </c>
      <c r="E132" s="0" t="n">
        <v>2</v>
      </c>
      <c r="F132" s="0" t="n">
        <v>21</v>
      </c>
      <c r="G132" s="0" t="n">
        <v>27.7</v>
      </c>
      <c r="H132" s="0" t="n">
        <v>17.1</v>
      </c>
      <c r="I132" s="0" t="n">
        <v>14.8</v>
      </c>
      <c r="J132" s="0" t="n">
        <v>15</v>
      </c>
      <c r="K132" s="0" t="n">
        <v>19.1907918167</v>
      </c>
      <c r="L132" s="0" t="n">
        <v>7.84646227049</v>
      </c>
      <c r="M132" s="0" t="n">
        <v>10.8418746989</v>
      </c>
      <c r="N132" s="0" t="n">
        <v>15.0474001002</v>
      </c>
      <c r="O132" s="0" t="n">
        <v>47.0734711137</v>
      </c>
      <c r="P132" s="0" t="n">
        <f aca="false">INDEX($F132:$J132,IF(1&lt;$E132,1,1+1))</f>
        <v>21</v>
      </c>
      <c r="Q132" s="0" t="n">
        <f aca="false">INDEX($F132:$J132,IF(2&lt;$E132,2,2+1))</f>
        <v>17.1</v>
      </c>
      <c r="R132" s="0" t="n">
        <f aca="false">INDEX($F132:$J132,IF(3&lt;$E132,3,3+1))</f>
        <v>14.8</v>
      </c>
      <c r="S132" s="0" t="n">
        <f aca="false">INDEX($F132:$J132,IF(4&lt;$E132,4,4+1))</f>
        <v>15</v>
      </c>
      <c r="T132" s="0" t="n">
        <f aca="false">INDEX($K132:$O132,IF(1&lt;$E132,1,1+1))</f>
        <v>19.1907918167</v>
      </c>
      <c r="U132" s="0" t="n">
        <f aca="false">INDEX($K132:$O132,IF(2&lt;$E132,2,2+1))</f>
        <v>10.8418746989</v>
      </c>
      <c r="V132" s="0" t="n">
        <f aca="false">INDEX($K132:$O132,IF(3&lt;$E132,3,3+1))</f>
        <v>15.0474001002</v>
      </c>
      <c r="W132" s="0" t="n">
        <f aca="false">INDEX($K132:$O132,IF(4&lt;$E132,4,4+1))</f>
        <v>47.0734711137</v>
      </c>
      <c r="X132" s="0" t="n">
        <f aca="false">1+COUNTIF($P132:$S132,"&gt;"&amp;$P132)+(COUNTIF($P132:$S132,$P132)-1)/2</f>
        <v>1</v>
      </c>
      <c r="Y132" s="0" t="n">
        <f aca="false">1+COUNTIF($P132:$S132,"&gt;"&amp;$Q132)+(COUNTIF($P132:$S132,$Q132)-1)/2</f>
        <v>2</v>
      </c>
      <c r="Z132" s="0" t="n">
        <f aca="false">1+COUNTIF($P132:$S132,"&gt;"&amp;$R132)+(COUNTIF($P132:$S132,$R132)-1)/2</f>
        <v>4</v>
      </c>
      <c r="AA132" s="0" t="n">
        <f aca="false">1+COUNTIF($P132:$S132,"&gt;"&amp;$S132)+(COUNTIF($P132:$S132,$S132)-1)/2</f>
        <v>3</v>
      </c>
      <c r="AB132" s="0" t="n">
        <f aca="false">1+COUNTIF($T132:$W132,"&gt;"&amp;$T132)+(COUNTIF($T132:$W132,$T132)-1)/2</f>
        <v>2</v>
      </c>
      <c r="AC132" s="0" t="n">
        <f aca="false">1+COUNTIF($T132:$W132,"&gt;"&amp;$U132)+(COUNTIF($T132:$W132,$U132)-1)/2</f>
        <v>4</v>
      </c>
      <c r="AD132" s="0" t="n">
        <f aca="false">1+COUNTIF($T132:$W132,"&gt;"&amp;$V132)+(COUNTIF($T132:$W132,$V132)-1)/2</f>
        <v>3</v>
      </c>
      <c r="AE132" s="0" t="n">
        <f aca="false">1+COUNTIF($T132:$W132,"&gt;"&amp;$W132)+(COUNTIF($T132:$W132,$W132)-1)/2</f>
        <v>1</v>
      </c>
      <c r="AF132" s="0" t="n">
        <f aca="false">IFERROR(CORREL($P132:$S132,$T132:$W132),"")</f>
        <v>-0.333008181039144</v>
      </c>
      <c r="AG132" s="0" t="n">
        <f aca="false">IFERROR(CORREL($X132:$AA132,$AB132:$AE132),"")</f>
        <v>0</v>
      </c>
      <c r="AH132" s="0" t="n">
        <f aca="false">IFERROR((SIGN($P132-$Q132)*SIGN($T132-$U132)+SIGN($P132-$R132)*SIGN($T132-$V132)+SIGN($P132-$S132)*SIGN($T132-$W132)+SIGN($Q132-$R132)*SIGN($U132-$V132)+SIGN($Q132-$S132)*SIGN($U132-$W132)+SIGN($R132-$S132)*SIGN($V132-$W132))/SQRT((6-(($P132=$Q132)*1+($P132=$R132)*1+($P132=$S132)*1+($Q132=$R132)*1+($Q132=$S132)*1+($R132=$S132)*1))*(6-(($T132=$U132)*1+($T132=$V132)*1+($T132=$W132)*1+($U132=$V132)*1+($U132=$W132)*1+($V132=$W132)*1))),"")</f>
        <v>0</v>
      </c>
      <c r="AI132" s="0" t="n">
        <f aca="false">MATCH(MAX($K132:$O132),$K132:$O132,0)</f>
        <v>5</v>
      </c>
      <c r="AJ132" s="0" t="n">
        <f aca="false">IF(AI132&lt;&gt;$E132,1,0)</f>
        <v>1</v>
      </c>
      <c r="AK132" s="0" t="n">
        <f aca="false">IF(AJ132=1,INDEX($F132:$J132,AI132)/MAX($P132:$S132),"")</f>
        <v>0.714285714285714</v>
      </c>
      <c r="AL132" s="0" t="n">
        <f aca="false">IF(AJ132=1,1+COUNTIF($P132:$S132,"&gt;"&amp;INDEX($F132:$J132,AI132)),"")</f>
        <v>3</v>
      </c>
      <c r="AM132" s="0" t="n">
        <f aca="false">AVERAGE($P132:$S132)/MAX($P132:$S132)</f>
        <v>0.808333333333333</v>
      </c>
      <c r="AN132" s="0" t="n">
        <f aca="false">100-INDEX($F132:$J132,$E132)</f>
        <v>72.3</v>
      </c>
    </row>
    <row r="133" customFormat="false" ht="15" hidden="false" customHeight="false" outlineLevel="0" collapsed="false">
      <c r="A133" s="0" t="s">
        <v>40</v>
      </c>
      <c r="B133" s="0" t="n">
        <v>2021</v>
      </c>
      <c r="C133" s="0" t="s">
        <v>50</v>
      </c>
      <c r="D133" s="0" t="s">
        <v>45</v>
      </c>
      <c r="E133" s="0" t="n">
        <v>5</v>
      </c>
      <c r="F133" s="0" t="n">
        <v>14.9</v>
      </c>
      <c r="G133" s="0" t="n">
        <v>19.7</v>
      </c>
      <c r="H133" s="0" t="n">
        <v>13.9</v>
      </c>
      <c r="I133" s="0" t="n">
        <v>14.5</v>
      </c>
      <c r="J133" s="0" t="n">
        <v>32.6</v>
      </c>
      <c r="K133" s="0" t="n">
        <v>25.5647982694</v>
      </c>
      <c r="L133" s="0" t="n">
        <v>8.6865706821</v>
      </c>
      <c r="M133" s="0" t="n">
        <v>6.79930240701</v>
      </c>
      <c r="N133" s="0" t="n">
        <v>2.50773818879</v>
      </c>
      <c r="O133" s="0" t="n">
        <v>56.4415904527</v>
      </c>
      <c r="P133" s="0" t="n">
        <f aca="false">INDEX($F133:$J133,IF(1&lt;$E133,1,1+1))</f>
        <v>14.9</v>
      </c>
      <c r="Q133" s="0" t="n">
        <f aca="false">INDEX($F133:$J133,IF(2&lt;$E133,2,2+1))</f>
        <v>19.7</v>
      </c>
      <c r="R133" s="0" t="n">
        <f aca="false">INDEX($F133:$J133,IF(3&lt;$E133,3,3+1))</f>
        <v>13.9</v>
      </c>
      <c r="S133" s="0" t="n">
        <f aca="false">INDEX($F133:$J133,IF(4&lt;$E133,4,4+1))</f>
        <v>14.5</v>
      </c>
      <c r="T133" s="0" t="n">
        <f aca="false">INDEX($K133:$O133,IF(1&lt;$E133,1,1+1))</f>
        <v>25.5647982694</v>
      </c>
      <c r="U133" s="0" t="n">
        <f aca="false">INDEX($K133:$O133,IF(2&lt;$E133,2,2+1))</f>
        <v>8.6865706821</v>
      </c>
      <c r="V133" s="0" t="n">
        <f aca="false">INDEX($K133:$O133,IF(3&lt;$E133,3,3+1))</f>
        <v>6.79930240701</v>
      </c>
      <c r="W133" s="0" t="n">
        <f aca="false">INDEX($K133:$O133,IF(4&lt;$E133,4,4+1))</f>
        <v>2.50773818879</v>
      </c>
      <c r="X133" s="0" t="n">
        <f aca="false">1+COUNTIF($P133:$S133,"&gt;"&amp;$P133)+(COUNTIF($P133:$S133,$P133)-1)/2</f>
        <v>2</v>
      </c>
      <c r="Y133" s="0" t="n">
        <f aca="false">1+COUNTIF($P133:$S133,"&gt;"&amp;$Q133)+(COUNTIF($P133:$S133,$Q133)-1)/2</f>
        <v>1</v>
      </c>
      <c r="Z133" s="0" t="n">
        <f aca="false">1+COUNTIF($P133:$S133,"&gt;"&amp;$R133)+(COUNTIF($P133:$S133,$R133)-1)/2</f>
        <v>4</v>
      </c>
      <c r="AA133" s="0" t="n">
        <f aca="false">1+COUNTIF($P133:$S133,"&gt;"&amp;$S133)+(COUNTIF($P133:$S133,$S133)-1)/2</f>
        <v>3</v>
      </c>
      <c r="AB133" s="0" t="n">
        <f aca="false">1+COUNTIF($T133:$W133,"&gt;"&amp;$T133)+(COUNTIF($T133:$W133,$T133)-1)/2</f>
        <v>1</v>
      </c>
      <c r="AC133" s="0" t="n">
        <f aca="false">1+COUNTIF($T133:$W133,"&gt;"&amp;$U133)+(COUNTIF($T133:$W133,$U133)-1)/2</f>
        <v>2</v>
      </c>
      <c r="AD133" s="0" t="n">
        <f aca="false">1+COUNTIF($T133:$W133,"&gt;"&amp;$V133)+(COUNTIF($T133:$W133,$V133)-1)/2</f>
        <v>3</v>
      </c>
      <c r="AE133" s="0" t="n">
        <f aca="false">1+COUNTIF($T133:$W133,"&gt;"&amp;$W133)+(COUNTIF($T133:$W133,$W133)-1)/2</f>
        <v>4</v>
      </c>
      <c r="AF133" s="0" t="n">
        <f aca="false">IFERROR(CORREL($P133:$S133,$T133:$W133),"")</f>
        <v>-0.0387035085915547</v>
      </c>
      <c r="AG133" s="0" t="n">
        <f aca="false">IFERROR(CORREL($X133:$AA133,$AB133:$AE133),"")</f>
        <v>0.6</v>
      </c>
      <c r="AH133" s="0" t="n">
        <f aca="false">IFERROR((SIGN($P133-$Q133)*SIGN($T133-$U133)+SIGN($P133-$R133)*SIGN($T133-$V133)+SIGN($P133-$S133)*SIGN($T133-$W133)+SIGN($Q133-$R133)*SIGN($U133-$V133)+SIGN($Q133-$S133)*SIGN($U133-$W133)+SIGN($R133-$S133)*SIGN($V133-$W133))/SQRT((6-(($P133=$Q133)*1+($P133=$R133)*1+($P133=$S133)*1+($Q133=$R133)*1+($Q133=$S133)*1+($R133=$S133)*1))*(6-(($T133=$U133)*1+($T133=$V133)*1+($T133=$W133)*1+($U133=$V133)*1+($U133=$W133)*1+($V133=$W133)*1))),"")</f>
        <v>0.333333333333333</v>
      </c>
      <c r="AI133" s="0" t="n">
        <f aca="false">MATCH(MAX($K133:$O133),$K133:$O133,0)</f>
        <v>5</v>
      </c>
      <c r="AJ133" s="0" t="n">
        <f aca="false">IF(AI133&lt;&gt;$E133,1,0)</f>
        <v>0</v>
      </c>
      <c r="AK133" s="0" t="str">
        <f aca="false">IF(AJ133=1,INDEX($F133:$J133,AI133)/MAX($P133:$S133),"")</f>
        <v/>
      </c>
      <c r="AL133" s="0" t="str">
        <f aca="false">IF(AJ133=1,1+COUNTIF($P133:$S133,"&gt;"&amp;INDEX($F133:$J133,AI133)),"")</f>
        <v/>
      </c>
      <c r="AM133" s="0" t="n">
        <f aca="false">AVERAGE($P133:$S133)/MAX($P133:$S133)</f>
        <v>0.799492385786802</v>
      </c>
      <c r="AN133" s="0" t="n">
        <f aca="false">100-INDEX($F133:$J133,$E133)</f>
        <v>67.4</v>
      </c>
    </row>
    <row r="134" customFormat="false" ht="15" hidden="false" customHeight="false" outlineLevel="0" collapsed="false">
      <c r="A134" s="0" t="s">
        <v>40</v>
      </c>
      <c r="B134" s="0" t="n">
        <v>2021</v>
      </c>
      <c r="C134" s="0" t="s">
        <v>51</v>
      </c>
      <c r="D134" s="0" t="s">
        <v>42</v>
      </c>
      <c r="E134" s="0" t="n">
        <v>3</v>
      </c>
      <c r="F134" s="0" t="n">
        <v>17.2</v>
      </c>
      <c r="G134" s="0" t="n">
        <v>22.2</v>
      </c>
      <c r="H134" s="0" t="n">
        <v>21.5</v>
      </c>
      <c r="I134" s="0" t="n">
        <v>22.1</v>
      </c>
      <c r="J134" s="0" t="n">
        <v>14.7</v>
      </c>
      <c r="K134" s="0" t="n">
        <v>0.146496798936</v>
      </c>
      <c r="L134" s="0" t="n">
        <v>19.5899396243</v>
      </c>
      <c r="M134" s="0" t="n">
        <v>78.5500912386</v>
      </c>
      <c r="N134" s="0" t="n">
        <v>1.63086916314</v>
      </c>
      <c r="O134" s="0" t="n">
        <v>0.0826031750378</v>
      </c>
      <c r="P134" s="0" t="n">
        <f aca="false">INDEX($F134:$J134,IF(1&lt;$E134,1,1+1))</f>
        <v>17.2</v>
      </c>
      <c r="Q134" s="0" t="n">
        <f aca="false">INDEX($F134:$J134,IF(2&lt;$E134,2,2+1))</f>
        <v>22.2</v>
      </c>
      <c r="R134" s="0" t="n">
        <f aca="false">INDEX($F134:$J134,IF(3&lt;$E134,3,3+1))</f>
        <v>22.1</v>
      </c>
      <c r="S134" s="0" t="n">
        <f aca="false">INDEX($F134:$J134,IF(4&lt;$E134,4,4+1))</f>
        <v>14.7</v>
      </c>
      <c r="T134" s="0" t="n">
        <f aca="false">INDEX($K134:$O134,IF(1&lt;$E134,1,1+1))</f>
        <v>0.146496798936</v>
      </c>
      <c r="U134" s="0" t="n">
        <f aca="false">INDEX($K134:$O134,IF(2&lt;$E134,2,2+1))</f>
        <v>19.5899396243</v>
      </c>
      <c r="V134" s="0" t="n">
        <f aca="false">INDEX($K134:$O134,IF(3&lt;$E134,3,3+1))</f>
        <v>1.63086916314</v>
      </c>
      <c r="W134" s="0" t="n">
        <f aca="false">INDEX($K134:$O134,IF(4&lt;$E134,4,4+1))</f>
        <v>0.0826031750378</v>
      </c>
      <c r="X134" s="0" t="n">
        <f aca="false">1+COUNTIF($P134:$S134,"&gt;"&amp;$P134)+(COUNTIF($P134:$S134,$P134)-1)/2</f>
        <v>3</v>
      </c>
      <c r="Y134" s="0" t="n">
        <f aca="false">1+COUNTIF($P134:$S134,"&gt;"&amp;$Q134)+(COUNTIF($P134:$S134,$Q134)-1)/2</f>
        <v>1</v>
      </c>
      <c r="Z134" s="0" t="n">
        <f aca="false">1+COUNTIF($P134:$S134,"&gt;"&amp;$R134)+(COUNTIF($P134:$S134,$R134)-1)/2</f>
        <v>2</v>
      </c>
      <c r="AA134" s="0" t="n">
        <f aca="false">1+COUNTIF($P134:$S134,"&gt;"&amp;$S134)+(COUNTIF($P134:$S134,$S134)-1)/2</f>
        <v>4</v>
      </c>
      <c r="AB134" s="0" t="n">
        <f aca="false">1+COUNTIF($T134:$W134,"&gt;"&amp;$T134)+(COUNTIF($T134:$W134,$T134)-1)/2</f>
        <v>3</v>
      </c>
      <c r="AC134" s="0" t="n">
        <f aca="false">1+COUNTIF($T134:$W134,"&gt;"&amp;$U134)+(COUNTIF($T134:$W134,$U134)-1)/2</f>
        <v>1</v>
      </c>
      <c r="AD134" s="0" t="n">
        <f aca="false">1+COUNTIF($T134:$W134,"&gt;"&amp;$V134)+(COUNTIF($T134:$W134,$V134)-1)/2</f>
        <v>2</v>
      </c>
      <c r="AE134" s="0" t="n">
        <f aca="false">1+COUNTIF($T134:$W134,"&gt;"&amp;$W134)+(COUNTIF($T134:$W134,$W134)-1)/2</f>
        <v>4</v>
      </c>
      <c r="AF134" s="0" t="n">
        <f aca="false">IFERROR(CORREL($P134:$S134,$T134:$W134),"")</f>
        <v>0.621825497784062</v>
      </c>
      <c r="AG134" s="0" t="n">
        <f aca="false">IFERROR(CORREL($X134:$AA134,$AB134:$AE134),"")</f>
        <v>1</v>
      </c>
      <c r="AH134" s="0" t="n">
        <f aca="false">IFERROR((SIGN($P134-$Q134)*SIGN($T134-$U134)+SIGN($P134-$R134)*SIGN($T134-$V134)+SIGN($P134-$S134)*SIGN($T134-$W134)+SIGN($Q134-$R134)*SIGN($U134-$V134)+SIGN($Q134-$S134)*SIGN($U134-$W134)+SIGN($R134-$S134)*SIGN($V134-$W134))/SQRT((6-(($P134=$Q134)*1+($P134=$R134)*1+($P134=$S134)*1+($Q134=$R134)*1+($Q134=$S134)*1+($R134=$S134)*1))*(6-(($T134=$U134)*1+($T134=$V134)*1+($T134=$W134)*1+($U134=$V134)*1+($U134=$W134)*1+($V134=$W134)*1))),"")</f>
        <v>1</v>
      </c>
      <c r="AI134" s="0" t="n">
        <f aca="false">MATCH(MAX($K134:$O134),$K134:$O134,0)</f>
        <v>3</v>
      </c>
      <c r="AJ134" s="0" t="n">
        <f aca="false">IF(AI134&lt;&gt;$E134,1,0)</f>
        <v>0</v>
      </c>
      <c r="AK134" s="0" t="str">
        <f aca="false">IF(AJ134=1,INDEX($F134:$J134,AI134)/MAX($P134:$S134),"")</f>
        <v/>
      </c>
      <c r="AL134" s="0" t="str">
        <f aca="false">IF(AJ134=1,1+COUNTIF($P134:$S134,"&gt;"&amp;INDEX($F134:$J134,AI134)),"")</f>
        <v/>
      </c>
      <c r="AM134" s="0" t="n">
        <f aca="false">AVERAGE($P134:$S134)/MAX($P134:$S134)</f>
        <v>0.858108108108108</v>
      </c>
      <c r="AN134" s="0" t="n">
        <f aca="false">100-INDEX($F134:$J134,$E134)</f>
        <v>78.5</v>
      </c>
    </row>
    <row r="135" customFormat="false" ht="15" hidden="false" customHeight="false" outlineLevel="0" collapsed="false">
      <c r="A135" s="0" t="s">
        <v>40</v>
      </c>
      <c r="B135" s="0" t="n">
        <v>2021</v>
      </c>
      <c r="C135" s="0" t="s">
        <v>51</v>
      </c>
      <c r="D135" s="0" t="s">
        <v>43</v>
      </c>
      <c r="E135" s="0" t="n">
        <v>2</v>
      </c>
      <c r="F135" s="0" t="n">
        <v>16.2</v>
      </c>
      <c r="G135" s="0" t="n">
        <v>41.3</v>
      </c>
      <c r="H135" s="0" t="n">
        <v>17.4</v>
      </c>
      <c r="I135" s="0" t="n">
        <v>14.1</v>
      </c>
      <c r="J135" s="0" t="n">
        <v>8.7</v>
      </c>
      <c r="K135" s="0" t="n">
        <v>16.5035687408</v>
      </c>
      <c r="L135" s="0" t="n">
        <v>10.5546447964</v>
      </c>
      <c r="M135" s="0" t="n">
        <v>7.36459465655</v>
      </c>
      <c r="N135" s="0" t="n">
        <v>51.2438200411</v>
      </c>
      <c r="O135" s="0" t="n">
        <v>14.3333717652</v>
      </c>
      <c r="P135" s="0" t="n">
        <f aca="false">INDEX($F135:$J135,IF(1&lt;$E135,1,1+1))</f>
        <v>16.2</v>
      </c>
      <c r="Q135" s="0" t="n">
        <f aca="false">INDEX($F135:$J135,IF(2&lt;$E135,2,2+1))</f>
        <v>17.4</v>
      </c>
      <c r="R135" s="0" t="n">
        <f aca="false">INDEX($F135:$J135,IF(3&lt;$E135,3,3+1))</f>
        <v>14.1</v>
      </c>
      <c r="S135" s="0" t="n">
        <f aca="false">INDEX($F135:$J135,IF(4&lt;$E135,4,4+1))</f>
        <v>8.7</v>
      </c>
      <c r="T135" s="0" t="n">
        <f aca="false">INDEX($K135:$O135,IF(1&lt;$E135,1,1+1))</f>
        <v>16.5035687408</v>
      </c>
      <c r="U135" s="0" t="n">
        <f aca="false">INDEX($K135:$O135,IF(2&lt;$E135,2,2+1))</f>
        <v>7.36459465655</v>
      </c>
      <c r="V135" s="0" t="n">
        <f aca="false">INDEX($K135:$O135,IF(3&lt;$E135,3,3+1))</f>
        <v>51.2438200411</v>
      </c>
      <c r="W135" s="0" t="n">
        <f aca="false">INDEX($K135:$O135,IF(4&lt;$E135,4,4+1))</f>
        <v>14.3333717652</v>
      </c>
      <c r="X135" s="0" t="n">
        <f aca="false">1+COUNTIF($P135:$S135,"&gt;"&amp;$P135)+(COUNTIF($P135:$S135,$P135)-1)/2</f>
        <v>2</v>
      </c>
      <c r="Y135" s="0" t="n">
        <f aca="false">1+COUNTIF($P135:$S135,"&gt;"&amp;$Q135)+(COUNTIF($P135:$S135,$Q135)-1)/2</f>
        <v>1</v>
      </c>
      <c r="Z135" s="0" t="n">
        <f aca="false">1+COUNTIF($P135:$S135,"&gt;"&amp;$R135)+(COUNTIF($P135:$S135,$R135)-1)/2</f>
        <v>3</v>
      </c>
      <c r="AA135" s="0" t="n">
        <f aca="false">1+COUNTIF($P135:$S135,"&gt;"&amp;$S135)+(COUNTIF($P135:$S135,$S135)-1)/2</f>
        <v>4</v>
      </c>
      <c r="AB135" s="0" t="n">
        <f aca="false">1+COUNTIF($T135:$W135,"&gt;"&amp;$T135)+(COUNTIF($T135:$W135,$T135)-1)/2</f>
        <v>2</v>
      </c>
      <c r="AC135" s="0" t="n">
        <f aca="false">1+COUNTIF($T135:$W135,"&gt;"&amp;$U135)+(COUNTIF($T135:$W135,$U135)-1)/2</f>
        <v>4</v>
      </c>
      <c r="AD135" s="0" t="n">
        <f aca="false">1+COUNTIF($T135:$W135,"&gt;"&amp;$V135)+(COUNTIF($T135:$W135,$V135)-1)/2</f>
        <v>1</v>
      </c>
      <c r="AE135" s="0" t="n">
        <f aca="false">1+COUNTIF($T135:$W135,"&gt;"&amp;$W135)+(COUNTIF($T135:$W135,$W135)-1)/2</f>
        <v>3</v>
      </c>
      <c r="AF135" s="0" t="n">
        <f aca="false">IFERROR(CORREL($P135:$S135,$T135:$W135),"")</f>
        <v>-0.0812713078236027</v>
      </c>
      <c r="AG135" s="0" t="n">
        <f aca="false">IFERROR(CORREL($X135:$AA135,$AB135:$AE135),"")</f>
        <v>-0.4</v>
      </c>
      <c r="AH135" s="0" t="n">
        <f aca="false">IFERROR((SIGN($P135-$Q135)*SIGN($T135-$U135)+SIGN($P135-$R135)*SIGN($T135-$V135)+SIGN($P135-$S135)*SIGN($T135-$W135)+SIGN($Q135-$R135)*SIGN($U135-$V135)+SIGN($Q135-$S135)*SIGN($U135-$W135)+SIGN($R135-$S135)*SIGN($V135-$W135))/SQRT((6-(($P135=$Q135)*1+($P135=$R135)*1+($P135=$S135)*1+($Q135=$R135)*1+($Q135=$S135)*1+($R135=$S135)*1))*(6-(($T135=$U135)*1+($T135=$V135)*1+($T135=$W135)*1+($U135=$V135)*1+($U135=$W135)*1+($V135=$W135)*1))),"")</f>
        <v>-0.333333333333333</v>
      </c>
      <c r="AI135" s="0" t="n">
        <f aca="false">MATCH(MAX($K135:$O135),$K135:$O135,0)</f>
        <v>4</v>
      </c>
      <c r="AJ135" s="0" t="n">
        <f aca="false">IF(AI135&lt;&gt;$E135,1,0)</f>
        <v>1</v>
      </c>
      <c r="AK135" s="0" t="n">
        <f aca="false">IF(AJ135=1,INDEX($F135:$J135,AI135)/MAX($P135:$S135),"")</f>
        <v>0.810344827586207</v>
      </c>
      <c r="AL135" s="0" t="n">
        <f aca="false">IF(AJ135=1,1+COUNTIF($P135:$S135,"&gt;"&amp;INDEX($F135:$J135,AI135)),"")</f>
        <v>3</v>
      </c>
      <c r="AM135" s="0" t="n">
        <f aca="false">AVERAGE($P135:$S135)/MAX($P135:$S135)</f>
        <v>0.810344827586207</v>
      </c>
      <c r="AN135" s="0" t="n">
        <f aca="false">100-INDEX($F135:$J135,$E135)</f>
        <v>58.7</v>
      </c>
    </row>
    <row r="136" customFormat="false" ht="15" hidden="false" customHeight="false" outlineLevel="0" collapsed="false">
      <c r="A136" s="0" t="s">
        <v>40</v>
      </c>
      <c r="B136" s="0" t="n">
        <v>2021</v>
      </c>
      <c r="C136" s="0" t="s">
        <v>51</v>
      </c>
      <c r="D136" s="0" t="s">
        <v>44</v>
      </c>
      <c r="E136" s="0" t="n">
        <v>2</v>
      </c>
      <c r="F136" s="0" t="n">
        <v>15</v>
      </c>
      <c r="G136" s="0" t="n">
        <v>34</v>
      </c>
      <c r="H136" s="0" t="n">
        <v>13.8</v>
      </c>
      <c r="I136" s="0" t="n">
        <v>16.8</v>
      </c>
      <c r="J136" s="0" t="n">
        <v>18.3</v>
      </c>
      <c r="K136" s="0" t="n">
        <v>3.22186695923</v>
      </c>
      <c r="L136" s="0" t="n">
        <v>39.3828857397</v>
      </c>
      <c r="M136" s="0" t="n">
        <v>5.01168910723</v>
      </c>
      <c r="N136" s="0" t="n">
        <v>19.9594065666</v>
      </c>
      <c r="O136" s="0" t="n">
        <v>32.4241516272</v>
      </c>
      <c r="P136" s="0" t="n">
        <f aca="false">INDEX($F136:$J136,IF(1&lt;$E136,1,1+1))</f>
        <v>15</v>
      </c>
      <c r="Q136" s="0" t="n">
        <f aca="false">INDEX($F136:$J136,IF(2&lt;$E136,2,2+1))</f>
        <v>13.8</v>
      </c>
      <c r="R136" s="0" t="n">
        <f aca="false">INDEX($F136:$J136,IF(3&lt;$E136,3,3+1))</f>
        <v>16.8</v>
      </c>
      <c r="S136" s="0" t="n">
        <f aca="false">INDEX($F136:$J136,IF(4&lt;$E136,4,4+1))</f>
        <v>18.3</v>
      </c>
      <c r="T136" s="0" t="n">
        <f aca="false">INDEX($K136:$O136,IF(1&lt;$E136,1,1+1))</f>
        <v>3.22186695923</v>
      </c>
      <c r="U136" s="0" t="n">
        <f aca="false">INDEX($K136:$O136,IF(2&lt;$E136,2,2+1))</f>
        <v>5.01168910723</v>
      </c>
      <c r="V136" s="0" t="n">
        <f aca="false">INDEX($K136:$O136,IF(3&lt;$E136,3,3+1))</f>
        <v>19.9594065666</v>
      </c>
      <c r="W136" s="0" t="n">
        <f aca="false">INDEX($K136:$O136,IF(4&lt;$E136,4,4+1))</f>
        <v>32.4241516272</v>
      </c>
      <c r="X136" s="0" t="n">
        <f aca="false">1+COUNTIF($P136:$S136,"&gt;"&amp;$P136)+(COUNTIF($P136:$S136,$P136)-1)/2</f>
        <v>3</v>
      </c>
      <c r="Y136" s="0" t="n">
        <f aca="false">1+COUNTIF($P136:$S136,"&gt;"&amp;$Q136)+(COUNTIF($P136:$S136,$Q136)-1)/2</f>
        <v>4</v>
      </c>
      <c r="Z136" s="0" t="n">
        <f aca="false">1+COUNTIF($P136:$S136,"&gt;"&amp;$R136)+(COUNTIF($P136:$S136,$R136)-1)/2</f>
        <v>2</v>
      </c>
      <c r="AA136" s="0" t="n">
        <f aca="false">1+COUNTIF($P136:$S136,"&gt;"&amp;$S136)+(COUNTIF($P136:$S136,$S136)-1)/2</f>
        <v>1</v>
      </c>
      <c r="AB136" s="0" t="n">
        <f aca="false">1+COUNTIF($T136:$W136,"&gt;"&amp;$T136)+(COUNTIF($T136:$W136,$T136)-1)/2</f>
        <v>4</v>
      </c>
      <c r="AC136" s="0" t="n">
        <f aca="false">1+COUNTIF($T136:$W136,"&gt;"&amp;$U136)+(COUNTIF($T136:$W136,$U136)-1)/2</f>
        <v>3</v>
      </c>
      <c r="AD136" s="0" t="n">
        <f aca="false">1+COUNTIF($T136:$W136,"&gt;"&amp;$V136)+(COUNTIF($T136:$W136,$V136)-1)/2</f>
        <v>2</v>
      </c>
      <c r="AE136" s="0" t="n">
        <f aca="false">1+COUNTIF($T136:$W136,"&gt;"&amp;$W136)+(COUNTIF($T136:$W136,$W136)-1)/2</f>
        <v>1</v>
      </c>
      <c r="AF136" s="0" t="n">
        <f aca="false">IFERROR(CORREL($P136:$S136,$T136:$W136),"")</f>
        <v>0.952934590385659</v>
      </c>
      <c r="AG136" s="0" t="n">
        <f aca="false">IFERROR(CORREL($X136:$AA136,$AB136:$AE136),"")</f>
        <v>0.8</v>
      </c>
      <c r="AH136" s="0" t="n">
        <f aca="false">IFERROR((SIGN($P136-$Q136)*SIGN($T136-$U136)+SIGN($P136-$R136)*SIGN($T136-$V136)+SIGN($P136-$S136)*SIGN($T136-$W136)+SIGN($Q136-$R136)*SIGN($U136-$V136)+SIGN($Q136-$S136)*SIGN($U136-$W136)+SIGN($R136-$S136)*SIGN($V136-$W136))/SQRT((6-(($P136=$Q136)*1+($P136=$R136)*1+($P136=$S136)*1+($Q136=$R136)*1+($Q136=$S136)*1+($R136=$S136)*1))*(6-(($T136=$U136)*1+($T136=$V136)*1+($T136=$W136)*1+($U136=$V136)*1+($U136=$W136)*1+($V136=$W136)*1))),"")</f>
        <v>0.666666666666667</v>
      </c>
      <c r="AI136" s="0" t="n">
        <f aca="false">MATCH(MAX($K136:$O136),$K136:$O136,0)</f>
        <v>2</v>
      </c>
      <c r="AJ136" s="0" t="n">
        <f aca="false">IF(AI136&lt;&gt;$E136,1,0)</f>
        <v>0</v>
      </c>
      <c r="AK136" s="0" t="str">
        <f aca="false">IF(AJ136=1,INDEX($F136:$J136,AI136)/MAX($P136:$S136),"")</f>
        <v/>
      </c>
      <c r="AL136" s="0" t="str">
        <f aca="false">IF(AJ136=1,1+COUNTIF($P136:$S136,"&gt;"&amp;INDEX($F136:$J136,AI136)),"")</f>
        <v/>
      </c>
      <c r="AM136" s="0" t="n">
        <f aca="false">AVERAGE($P136:$S136)/MAX($P136:$S136)</f>
        <v>0.872950819672131</v>
      </c>
      <c r="AN136" s="0" t="n">
        <f aca="false">100-INDEX($F136:$J136,$E136)</f>
        <v>66</v>
      </c>
    </row>
    <row r="137" customFormat="false" ht="15" hidden="false" customHeight="false" outlineLevel="0" collapsed="false">
      <c r="A137" s="0" t="s">
        <v>40</v>
      </c>
      <c r="B137" s="0" t="n">
        <v>2021</v>
      </c>
      <c r="C137" s="0" t="s">
        <v>51</v>
      </c>
      <c r="D137" s="0" t="s">
        <v>45</v>
      </c>
      <c r="E137" s="0" t="n">
        <v>4</v>
      </c>
      <c r="F137" s="0" t="n">
        <v>17.8</v>
      </c>
      <c r="G137" s="0" t="n">
        <v>22.5</v>
      </c>
      <c r="H137" s="0" t="n">
        <v>17.1</v>
      </c>
      <c r="I137" s="0" t="n">
        <v>32</v>
      </c>
      <c r="J137" s="0" t="n">
        <v>8.3</v>
      </c>
      <c r="K137" s="0" t="n">
        <v>19.5565279427</v>
      </c>
      <c r="L137" s="0" t="n">
        <v>11.963589032</v>
      </c>
      <c r="M137" s="0" t="n">
        <v>11.543256288</v>
      </c>
      <c r="N137" s="0" t="n">
        <v>19.5077887902</v>
      </c>
      <c r="O137" s="0" t="n">
        <v>37.4288379471</v>
      </c>
      <c r="P137" s="0" t="n">
        <f aca="false">INDEX($F137:$J137,IF(1&lt;$E137,1,1+1))</f>
        <v>17.8</v>
      </c>
      <c r="Q137" s="0" t="n">
        <f aca="false">INDEX($F137:$J137,IF(2&lt;$E137,2,2+1))</f>
        <v>22.5</v>
      </c>
      <c r="R137" s="0" t="n">
        <f aca="false">INDEX($F137:$J137,IF(3&lt;$E137,3,3+1))</f>
        <v>17.1</v>
      </c>
      <c r="S137" s="0" t="n">
        <f aca="false">INDEX($F137:$J137,IF(4&lt;$E137,4,4+1))</f>
        <v>8.3</v>
      </c>
      <c r="T137" s="0" t="n">
        <f aca="false">INDEX($K137:$O137,IF(1&lt;$E137,1,1+1))</f>
        <v>19.5565279427</v>
      </c>
      <c r="U137" s="0" t="n">
        <f aca="false">INDEX($K137:$O137,IF(2&lt;$E137,2,2+1))</f>
        <v>11.963589032</v>
      </c>
      <c r="V137" s="0" t="n">
        <f aca="false">INDEX($K137:$O137,IF(3&lt;$E137,3,3+1))</f>
        <v>11.543256288</v>
      </c>
      <c r="W137" s="0" t="n">
        <f aca="false">INDEX($K137:$O137,IF(4&lt;$E137,4,4+1))</f>
        <v>37.4288379471</v>
      </c>
      <c r="X137" s="0" t="n">
        <f aca="false">1+COUNTIF($P137:$S137,"&gt;"&amp;$P137)+(COUNTIF($P137:$S137,$P137)-1)/2</f>
        <v>2</v>
      </c>
      <c r="Y137" s="0" t="n">
        <f aca="false">1+COUNTIF($P137:$S137,"&gt;"&amp;$Q137)+(COUNTIF($P137:$S137,$Q137)-1)/2</f>
        <v>1</v>
      </c>
      <c r="Z137" s="0" t="n">
        <f aca="false">1+COUNTIF($P137:$S137,"&gt;"&amp;$R137)+(COUNTIF($P137:$S137,$R137)-1)/2</f>
        <v>3</v>
      </c>
      <c r="AA137" s="0" t="n">
        <f aca="false">1+COUNTIF($P137:$S137,"&gt;"&amp;$S137)+(COUNTIF($P137:$S137,$S137)-1)/2</f>
        <v>4</v>
      </c>
      <c r="AB137" s="0" t="n">
        <f aca="false">1+COUNTIF($T137:$W137,"&gt;"&amp;$T137)+(COUNTIF($T137:$W137,$T137)-1)/2</f>
        <v>2</v>
      </c>
      <c r="AC137" s="0" t="n">
        <f aca="false">1+COUNTIF($T137:$W137,"&gt;"&amp;$U137)+(COUNTIF($T137:$W137,$U137)-1)/2</f>
        <v>3</v>
      </c>
      <c r="AD137" s="0" t="n">
        <f aca="false">1+COUNTIF($T137:$W137,"&gt;"&amp;$V137)+(COUNTIF($T137:$W137,$V137)-1)/2</f>
        <v>4</v>
      </c>
      <c r="AE137" s="0" t="n">
        <f aca="false">1+COUNTIF($T137:$W137,"&gt;"&amp;$W137)+(COUNTIF($T137:$W137,$W137)-1)/2</f>
        <v>1</v>
      </c>
      <c r="AF137" s="0" t="n">
        <f aca="false">IFERROR(CORREL($P137:$S137,$T137:$W137),"")</f>
        <v>-0.914192530356406</v>
      </c>
      <c r="AG137" s="0" t="n">
        <f aca="false">IFERROR(CORREL($X137:$AA137,$AB137:$AE137),"")</f>
        <v>-0.4</v>
      </c>
      <c r="AH137" s="0" t="n">
        <f aca="false">IFERROR((SIGN($P137-$Q137)*SIGN($T137-$U137)+SIGN($P137-$R137)*SIGN($T137-$V137)+SIGN($P137-$S137)*SIGN($T137-$W137)+SIGN($Q137-$R137)*SIGN($U137-$V137)+SIGN($Q137-$S137)*SIGN($U137-$W137)+SIGN($R137-$S137)*SIGN($V137-$W137))/SQRT((6-(($P137=$Q137)*1+($P137=$R137)*1+($P137=$S137)*1+($Q137=$R137)*1+($Q137=$S137)*1+($R137=$S137)*1))*(6-(($T137=$U137)*1+($T137=$V137)*1+($T137=$W137)*1+($U137=$V137)*1+($U137=$W137)*1+($V137=$W137)*1))),"")</f>
        <v>-0.333333333333333</v>
      </c>
      <c r="AI137" s="0" t="n">
        <f aca="false">MATCH(MAX($K137:$O137),$K137:$O137,0)</f>
        <v>5</v>
      </c>
      <c r="AJ137" s="0" t="n">
        <f aca="false">IF(AI137&lt;&gt;$E137,1,0)</f>
        <v>1</v>
      </c>
      <c r="AK137" s="0" t="n">
        <f aca="false">IF(AJ137=1,INDEX($F137:$J137,AI137)/MAX($P137:$S137),"")</f>
        <v>0.368888888888889</v>
      </c>
      <c r="AL137" s="0" t="n">
        <f aca="false">IF(AJ137=1,1+COUNTIF($P137:$S137,"&gt;"&amp;INDEX($F137:$J137,AI137)),"")</f>
        <v>4</v>
      </c>
      <c r="AM137" s="0" t="n">
        <f aca="false">AVERAGE($P137:$S137)/MAX($P137:$S137)</f>
        <v>0.73</v>
      </c>
      <c r="AN137" s="0" t="n">
        <f aca="false">100-INDEX($F137:$J137,$E137)</f>
        <v>68</v>
      </c>
    </row>
    <row r="138" customFormat="false" ht="15" hidden="false" customHeight="false" outlineLevel="0" collapsed="false">
      <c r="A138" s="0" t="s">
        <v>40</v>
      </c>
      <c r="B138" s="0" t="n">
        <v>2021</v>
      </c>
      <c r="C138" s="0" t="s">
        <v>52</v>
      </c>
      <c r="D138" s="0" t="s">
        <v>42</v>
      </c>
      <c r="E138" s="0" t="n">
        <v>1</v>
      </c>
      <c r="F138" s="0" t="n">
        <v>37.8</v>
      </c>
      <c r="G138" s="0" t="n">
        <v>10.6</v>
      </c>
      <c r="H138" s="0" t="n">
        <v>14.2</v>
      </c>
      <c r="I138" s="0" t="n">
        <v>15.7</v>
      </c>
      <c r="J138" s="0" t="n">
        <v>16.2</v>
      </c>
      <c r="K138" s="0" t="n">
        <v>67.7819762362</v>
      </c>
      <c r="L138" s="0" t="n">
        <v>3.73920040428</v>
      </c>
      <c r="M138" s="0" t="n">
        <v>6.08572775026</v>
      </c>
      <c r="N138" s="0" t="n">
        <v>8.12985597979</v>
      </c>
      <c r="O138" s="0" t="n">
        <v>14.2632396294</v>
      </c>
      <c r="P138" s="0" t="n">
        <f aca="false">INDEX($F138:$J138,IF(1&lt;$E138,1,1+1))</f>
        <v>10.6</v>
      </c>
      <c r="Q138" s="0" t="n">
        <f aca="false">INDEX($F138:$J138,IF(2&lt;$E138,2,2+1))</f>
        <v>14.2</v>
      </c>
      <c r="R138" s="0" t="n">
        <f aca="false">INDEX($F138:$J138,IF(3&lt;$E138,3,3+1))</f>
        <v>15.7</v>
      </c>
      <c r="S138" s="0" t="n">
        <f aca="false">INDEX($F138:$J138,IF(4&lt;$E138,4,4+1))</f>
        <v>16.2</v>
      </c>
      <c r="T138" s="0" t="n">
        <f aca="false">INDEX($K138:$O138,IF(1&lt;$E138,1,1+1))</f>
        <v>3.73920040428</v>
      </c>
      <c r="U138" s="0" t="n">
        <f aca="false">INDEX($K138:$O138,IF(2&lt;$E138,2,2+1))</f>
        <v>6.08572775026</v>
      </c>
      <c r="V138" s="0" t="n">
        <f aca="false">INDEX($K138:$O138,IF(3&lt;$E138,3,3+1))</f>
        <v>8.12985597979</v>
      </c>
      <c r="W138" s="0" t="n">
        <f aca="false">INDEX($K138:$O138,IF(4&lt;$E138,4,4+1))</f>
        <v>14.2632396294</v>
      </c>
      <c r="X138" s="0" t="n">
        <f aca="false">1+COUNTIF($P138:$S138,"&gt;"&amp;$P138)+(COUNTIF($P138:$S138,$P138)-1)/2</f>
        <v>4</v>
      </c>
      <c r="Y138" s="0" t="n">
        <f aca="false">1+COUNTIF($P138:$S138,"&gt;"&amp;$Q138)+(COUNTIF($P138:$S138,$Q138)-1)/2</f>
        <v>3</v>
      </c>
      <c r="Z138" s="0" t="n">
        <f aca="false">1+COUNTIF($P138:$S138,"&gt;"&amp;$R138)+(COUNTIF($P138:$S138,$R138)-1)/2</f>
        <v>2</v>
      </c>
      <c r="AA138" s="0" t="n">
        <f aca="false">1+COUNTIF($P138:$S138,"&gt;"&amp;$S138)+(COUNTIF($P138:$S138,$S138)-1)/2</f>
        <v>1</v>
      </c>
      <c r="AB138" s="0" t="n">
        <f aca="false">1+COUNTIF($T138:$W138,"&gt;"&amp;$T138)+(COUNTIF($T138:$W138,$T138)-1)/2</f>
        <v>4</v>
      </c>
      <c r="AC138" s="0" t="n">
        <f aca="false">1+COUNTIF($T138:$W138,"&gt;"&amp;$U138)+(COUNTIF($T138:$W138,$U138)-1)/2</f>
        <v>3</v>
      </c>
      <c r="AD138" s="0" t="n">
        <f aca="false">1+COUNTIF($T138:$W138,"&gt;"&amp;$V138)+(COUNTIF($T138:$W138,$V138)-1)/2</f>
        <v>2</v>
      </c>
      <c r="AE138" s="0" t="n">
        <f aca="false">1+COUNTIF($T138:$W138,"&gt;"&amp;$W138)+(COUNTIF($T138:$W138,$W138)-1)/2</f>
        <v>1</v>
      </c>
      <c r="AF138" s="0" t="n">
        <f aca="false">IFERROR(CORREL($P138:$S138,$T138:$W138),"")</f>
        <v>0.81957526074591</v>
      </c>
      <c r="AG138" s="0" t="n">
        <f aca="false">IFERROR(CORREL($X138:$AA138,$AB138:$AE138),"")</f>
        <v>1</v>
      </c>
      <c r="AH138" s="0" t="n">
        <f aca="false">IFERROR((SIGN($P138-$Q138)*SIGN($T138-$U138)+SIGN($P138-$R138)*SIGN($T138-$V138)+SIGN($P138-$S138)*SIGN($T138-$W138)+SIGN($Q138-$R138)*SIGN($U138-$V138)+SIGN($Q138-$S138)*SIGN($U138-$W138)+SIGN($R138-$S138)*SIGN($V138-$W138))/SQRT((6-(($P138=$Q138)*1+($P138=$R138)*1+($P138=$S138)*1+($Q138=$R138)*1+($Q138=$S138)*1+($R138=$S138)*1))*(6-(($T138=$U138)*1+($T138=$V138)*1+($T138=$W138)*1+($U138=$V138)*1+($U138=$W138)*1+($V138=$W138)*1))),"")</f>
        <v>1</v>
      </c>
      <c r="AI138" s="0" t="n">
        <f aca="false">MATCH(MAX($K138:$O138),$K138:$O138,0)</f>
        <v>1</v>
      </c>
      <c r="AJ138" s="0" t="n">
        <f aca="false">IF(AI138&lt;&gt;$E138,1,0)</f>
        <v>0</v>
      </c>
      <c r="AK138" s="0" t="str">
        <f aca="false">IF(AJ138=1,INDEX($F138:$J138,AI138)/MAX($P138:$S138),"")</f>
        <v/>
      </c>
      <c r="AL138" s="0" t="str">
        <f aca="false">IF(AJ138=1,1+COUNTIF($P138:$S138,"&gt;"&amp;INDEX($F138:$J138,AI138)),"")</f>
        <v/>
      </c>
      <c r="AM138" s="0" t="n">
        <f aca="false">AVERAGE($P138:$S138)/MAX($P138:$S138)</f>
        <v>0.875</v>
      </c>
      <c r="AN138" s="0" t="n">
        <f aca="false">100-INDEX($F138:$J138,$E138)</f>
        <v>62.2</v>
      </c>
    </row>
    <row r="139" customFormat="false" ht="15" hidden="false" customHeight="false" outlineLevel="0" collapsed="false">
      <c r="A139" s="0" t="s">
        <v>40</v>
      </c>
      <c r="B139" s="0" t="n">
        <v>2021</v>
      </c>
      <c r="C139" s="0" t="s">
        <v>52</v>
      </c>
      <c r="D139" s="0" t="s">
        <v>43</v>
      </c>
      <c r="E139" s="0" t="n">
        <v>2</v>
      </c>
      <c r="F139" s="0" t="n">
        <v>12.2</v>
      </c>
      <c r="G139" s="0" t="n">
        <v>32.1</v>
      </c>
      <c r="H139" s="0" t="n">
        <v>8.8</v>
      </c>
      <c r="I139" s="0" t="n">
        <v>15.9</v>
      </c>
      <c r="J139" s="0" t="n">
        <v>25.5</v>
      </c>
      <c r="K139" s="0" t="n">
        <v>4.27872648625</v>
      </c>
      <c r="L139" s="0" t="n">
        <v>9.54259377538</v>
      </c>
      <c r="M139" s="0" t="n">
        <v>23.4396879595</v>
      </c>
      <c r="N139" s="0" t="n">
        <v>42.7271581418</v>
      </c>
      <c r="O139" s="0" t="n">
        <v>20.011833637</v>
      </c>
      <c r="P139" s="0" t="n">
        <f aca="false">INDEX($F139:$J139,IF(1&lt;$E139,1,1+1))</f>
        <v>12.2</v>
      </c>
      <c r="Q139" s="0" t="n">
        <f aca="false">INDEX($F139:$J139,IF(2&lt;$E139,2,2+1))</f>
        <v>8.8</v>
      </c>
      <c r="R139" s="0" t="n">
        <f aca="false">INDEX($F139:$J139,IF(3&lt;$E139,3,3+1))</f>
        <v>15.9</v>
      </c>
      <c r="S139" s="0" t="n">
        <f aca="false">INDEX($F139:$J139,IF(4&lt;$E139,4,4+1))</f>
        <v>25.5</v>
      </c>
      <c r="T139" s="0" t="n">
        <f aca="false">INDEX($K139:$O139,IF(1&lt;$E139,1,1+1))</f>
        <v>4.27872648625</v>
      </c>
      <c r="U139" s="0" t="n">
        <f aca="false">INDEX($K139:$O139,IF(2&lt;$E139,2,2+1))</f>
        <v>23.4396879595</v>
      </c>
      <c r="V139" s="0" t="n">
        <f aca="false">INDEX($K139:$O139,IF(3&lt;$E139,3,3+1))</f>
        <v>42.7271581418</v>
      </c>
      <c r="W139" s="0" t="n">
        <f aca="false">INDEX($K139:$O139,IF(4&lt;$E139,4,4+1))</f>
        <v>20.011833637</v>
      </c>
      <c r="X139" s="0" t="n">
        <f aca="false">1+COUNTIF($P139:$S139,"&gt;"&amp;$P139)+(COUNTIF($P139:$S139,$P139)-1)/2</f>
        <v>3</v>
      </c>
      <c r="Y139" s="0" t="n">
        <f aca="false">1+COUNTIF($P139:$S139,"&gt;"&amp;$Q139)+(COUNTIF($P139:$S139,$Q139)-1)/2</f>
        <v>4</v>
      </c>
      <c r="Z139" s="0" t="n">
        <f aca="false">1+COUNTIF($P139:$S139,"&gt;"&amp;$R139)+(COUNTIF($P139:$S139,$R139)-1)/2</f>
        <v>2</v>
      </c>
      <c r="AA139" s="0" t="n">
        <f aca="false">1+COUNTIF($P139:$S139,"&gt;"&amp;$S139)+(COUNTIF($P139:$S139,$S139)-1)/2</f>
        <v>1</v>
      </c>
      <c r="AB139" s="0" t="n">
        <f aca="false">1+COUNTIF($T139:$W139,"&gt;"&amp;$T139)+(COUNTIF($T139:$W139,$T139)-1)/2</f>
        <v>4</v>
      </c>
      <c r="AC139" s="0" t="n">
        <f aca="false">1+COUNTIF($T139:$W139,"&gt;"&amp;$U139)+(COUNTIF($T139:$W139,$U139)-1)/2</f>
        <v>2</v>
      </c>
      <c r="AD139" s="0" t="n">
        <f aca="false">1+COUNTIF($T139:$W139,"&gt;"&amp;$V139)+(COUNTIF($T139:$W139,$V139)-1)/2</f>
        <v>1</v>
      </c>
      <c r="AE139" s="0" t="n">
        <f aca="false">1+COUNTIF($T139:$W139,"&gt;"&amp;$W139)+(COUNTIF($T139:$W139,$W139)-1)/2</f>
        <v>3</v>
      </c>
      <c r="AF139" s="0" t="n">
        <f aca="false">IFERROR(CORREL($P139:$S139,$T139:$W139),"")</f>
        <v>0.10833052705843</v>
      </c>
      <c r="AG139" s="0" t="n">
        <f aca="false">IFERROR(CORREL($X139:$AA139,$AB139:$AE139),"")</f>
        <v>0</v>
      </c>
      <c r="AH139" s="0" t="n">
        <f aca="false">IFERROR((SIGN($P139-$Q139)*SIGN($T139-$U139)+SIGN($P139-$R139)*SIGN($T139-$V139)+SIGN($P139-$S139)*SIGN($T139-$W139)+SIGN($Q139-$R139)*SIGN($U139-$V139)+SIGN($Q139-$S139)*SIGN($U139-$W139)+SIGN($R139-$S139)*SIGN($V139-$W139))/SQRT((6-(($P139=$Q139)*1+($P139=$R139)*1+($P139=$S139)*1+($Q139=$R139)*1+($Q139=$S139)*1+($R139=$S139)*1))*(6-(($T139=$U139)*1+($T139=$V139)*1+($T139=$W139)*1+($U139=$V139)*1+($U139=$W139)*1+($V139=$W139)*1))),"")</f>
        <v>0</v>
      </c>
      <c r="AI139" s="0" t="n">
        <f aca="false">MATCH(MAX($K139:$O139),$K139:$O139,0)</f>
        <v>4</v>
      </c>
      <c r="AJ139" s="0" t="n">
        <f aca="false">IF(AI139&lt;&gt;$E139,1,0)</f>
        <v>1</v>
      </c>
      <c r="AK139" s="0" t="n">
        <f aca="false">IF(AJ139=1,INDEX($F139:$J139,AI139)/MAX($P139:$S139),"")</f>
        <v>0.623529411764706</v>
      </c>
      <c r="AL139" s="0" t="n">
        <f aca="false">IF(AJ139=1,1+COUNTIF($P139:$S139,"&gt;"&amp;INDEX($F139:$J139,AI139)),"")</f>
        <v>2</v>
      </c>
      <c r="AM139" s="0" t="n">
        <f aca="false">AVERAGE($P139:$S139)/MAX($P139:$S139)</f>
        <v>0.611764705882353</v>
      </c>
      <c r="AN139" s="0" t="n">
        <f aca="false">100-INDEX($F139:$J139,$E139)</f>
        <v>67.9</v>
      </c>
    </row>
    <row r="140" customFormat="false" ht="15" hidden="false" customHeight="false" outlineLevel="0" collapsed="false">
      <c r="A140" s="0" t="s">
        <v>40</v>
      </c>
      <c r="B140" s="0" t="n">
        <v>2021</v>
      </c>
      <c r="C140" s="0" t="s">
        <v>52</v>
      </c>
      <c r="D140" s="0" t="s">
        <v>44</v>
      </c>
      <c r="E140" s="0" t="n">
        <v>1</v>
      </c>
      <c r="F140" s="0" t="n">
        <v>24.3</v>
      </c>
      <c r="G140" s="0" t="n">
        <v>11.7</v>
      </c>
      <c r="H140" s="0" t="n">
        <v>11.8</v>
      </c>
      <c r="I140" s="0" t="n">
        <v>22</v>
      </c>
      <c r="J140" s="0" t="n">
        <v>24.5</v>
      </c>
      <c r="K140" s="0" t="n">
        <v>36.7917486603</v>
      </c>
      <c r="L140" s="0" t="n">
        <v>14.5718317969</v>
      </c>
      <c r="M140" s="0" t="n">
        <v>2.39099372219</v>
      </c>
      <c r="N140" s="0" t="n">
        <v>6.97121606054</v>
      </c>
      <c r="O140" s="0" t="n">
        <v>39.2742097601</v>
      </c>
      <c r="P140" s="0" t="n">
        <f aca="false">INDEX($F140:$J140,IF(1&lt;$E140,1,1+1))</f>
        <v>11.7</v>
      </c>
      <c r="Q140" s="0" t="n">
        <f aca="false">INDEX($F140:$J140,IF(2&lt;$E140,2,2+1))</f>
        <v>11.8</v>
      </c>
      <c r="R140" s="0" t="n">
        <f aca="false">INDEX($F140:$J140,IF(3&lt;$E140,3,3+1))</f>
        <v>22</v>
      </c>
      <c r="S140" s="0" t="n">
        <f aca="false">INDEX($F140:$J140,IF(4&lt;$E140,4,4+1))</f>
        <v>24.5</v>
      </c>
      <c r="T140" s="0" t="n">
        <f aca="false">INDEX($K140:$O140,IF(1&lt;$E140,1,1+1))</f>
        <v>14.5718317969</v>
      </c>
      <c r="U140" s="0" t="n">
        <f aca="false">INDEX($K140:$O140,IF(2&lt;$E140,2,2+1))</f>
        <v>2.39099372219</v>
      </c>
      <c r="V140" s="0" t="n">
        <f aca="false">INDEX($K140:$O140,IF(3&lt;$E140,3,3+1))</f>
        <v>6.97121606054</v>
      </c>
      <c r="W140" s="0" t="n">
        <f aca="false">INDEX($K140:$O140,IF(4&lt;$E140,4,4+1))</f>
        <v>39.2742097601</v>
      </c>
      <c r="X140" s="0" t="n">
        <f aca="false">1+COUNTIF($P140:$S140,"&gt;"&amp;$P140)+(COUNTIF($P140:$S140,$P140)-1)/2</f>
        <v>4</v>
      </c>
      <c r="Y140" s="0" t="n">
        <f aca="false">1+COUNTIF($P140:$S140,"&gt;"&amp;$Q140)+(COUNTIF($P140:$S140,$Q140)-1)/2</f>
        <v>3</v>
      </c>
      <c r="Z140" s="0" t="n">
        <f aca="false">1+COUNTIF($P140:$S140,"&gt;"&amp;$R140)+(COUNTIF($P140:$S140,$R140)-1)/2</f>
        <v>2</v>
      </c>
      <c r="AA140" s="0" t="n">
        <f aca="false">1+COUNTIF($P140:$S140,"&gt;"&amp;$S140)+(COUNTIF($P140:$S140,$S140)-1)/2</f>
        <v>1</v>
      </c>
      <c r="AB140" s="0" t="n">
        <f aca="false">1+COUNTIF($T140:$W140,"&gt;"&amp;$T140)+(COUNTIF($T140:$W140,$T140)-1)/2</f>
        <v>2</v>
      </c>
      <c r="AC140" s="0" t="n">
        <f aca="false">1+COUNTIF($T140:$W140,"&gt;"&amp;$U140)+(COUNTIF($T140:$W140,$U140)-1)/2</f>
        <v>4</v>
      </c>
      <c r="AD140" s="0" t="n">
        <f aca="false">1+COUNTIF($T140:$W140,"&gt;"&amp;$V140)+(COUNTIF($T140:$W140,$V140)-1)/2</f>
        <v>3</v>
      </c>
      <c r="AE140" s="0" t="n">
        <f aca="false">1+COUNTIF($T140:$W140,"&gt;"&amp;$W140)+(COUNTIF($T140:$W140,$W140)-1)/2</f>
        <v>1</v>
      </c>
      <c r="AF140" s="0" t="n">
        <f aca="false">IFERROR(CORREL($P140:$S140,$T140:$W140),"")</f>
        <v>0.628443463466132</v>
      </c>
      <c r="AG140" s="0" t="n">
        <f aca="false">IFERROR(CORREL($X140:$AA140,$AB140:$AE140),"")</f>
        <v>0.4</v>
      </c>
      <c r="AH140" s="0" t="n">
        <f aca="false">IFERROR((SIGN($P140-$Q140)*SIGN($T140-$U140)+SIGN($P140-$R140)*SIGN($T140-$V140)+SIGN($P140-$S140)*SIGN($T140-$W140)+SIGN($Q140-$R140)*SIGN($U140-$V140)+SIGN($Q140-$S140)*SIGN($U140-$W140)+SIGN($R140-$S140)*SIGN($V140-$W140))/SQRT((6-(($P140=$Q140)*1+($P140=$R140)*1+($P140=$S140)*1+($Q140=$R140)*1+($Q140=$S140)*1+($R140=$S140)*1))*(6-(($T140=$U140)*1+($T140=$V140)*1+($T140=$W140)*1+($U140=$V140)*1+($U140=$W140)*1+($V140=$W140)*1))),"")</f>
        <v>0.333333333333333</v>
      </c>
      <c r="AI140" s="0" t="n">
        <f aca="false">MATCH(MAX($K140:$O140),$K140:$O140,0)</f>
        <v>5</v>
      </c>
      <c r="AJ140" s="0" t="n">
        <f aca="false">IF(AI140&lt;&gt;$E140,1,0)</f>
        <v>1</v>
      </c>
      <c r="AK140" s="0" t="n">
        <f aca="false">IF(AJ140=1,INDEX($F140:$J140,AI140)/MAX($P140:$S140),"")</f>
        <v>1</v>
      </c>
      <c r="AL140" s="0" t="n">
        <f aca="false">IF(AJ140=1,1+COUNTIF($P140:$S140,"&gt;"&amp;INDEX($F140:$J140,AI140)),"")</f>
        <v>1</v>
      </c>
      <c r="AM140" s="0" t="n">
        <f aca="false">AVERAGE($P140:$S140)/MAX($P140:$S140)</f>
        <v>0.714285714285714</v>
      </c>
      <c r="AN140" s="0" t="n">
        <f aca="false">100-INDEX($F140:$J140,$E140)</f>
        <v>75.7</v>
      </c>
    </row>
    <row r="141" customFormat="false" ht="15" hidden="false" customHeight="false" outlineLevel="0" collapsed="false">
      <c r="A141" s="0" t="s">
        <v>40</v>
      </c>
      <c r="B141" s="0" t="n">
        <v>2021</v>
      </c>
      <c r="C141" s="0" t="s">
        <v>52</v>
      </c>
      <c r="D141" s="0" t="s">
        <v>45</v>
      </c>
      <c r="E141" s="0" t="n">
        <v>5</v>
      </c>
      <c r="F141" s="0" t="n">
        <v>18.2</v>
      </c>
      <c r="G141" s="0" t="n">
        <v>15.4</v>
      </c>
      <c r="H141" s="0" t="n">
        <v>15.1</v>
      </c>
      <c r="I141" s="0" t="n">
        <v>10.6</v>
      </c>
      <c r="J141" s="0" t="n">
        <v>35.1</v>
      </c>
      <c r="K141" s="0" t="n">
        <v>49.2591142798</v>
      </c>
      <c r="L141" s="0" t="n">
        <v>4.81627838026</v>
      </c>
      <c r="M141" s="0" t="n">
        <v>11.6416107644</v>
      </c>
      <c r="N141" s="0" t="n">
        <v>5.12097594439</v>
      </c>
      <c r="O141" s="0" t="n">
        <v>29.1620206311</v>
      </c>
      <c r="P141" s="0" t="n">
        <f aca="false">INDEX($F141:$J141,IF(1&lt;$E141,1,1+1))</f>
        <v>18.2</v>
      </c>
      <c r="Q141" s="0" t="n">
        <f aca="false">INDEX($F141:$J141,IF(2&lt;$E141,2,2+1))</f>
        <v>15.4</v>
      </c>
      <c r="R141" s="0" t="n">
        <f aca="false">INDEX($F141:$J141,IF(3&lt;$E141,3,3+1))</f>
        <v>15.1</v>
      </c>
      <c r="S141" s="0" t="n">
        <f aca="false">INDEX($F141:$J141,IF(4&lt;$E141,4,4+1))</f>
        <v>10.6</v>
      </c>
      <c r="T141" s="0" t="n">
        <f aca="false">INDEX($K141:$O141,IF(1&lt;$E141,1,1+1))</f>
        <v>49.2591142798</v>
      </c>
      <c r="U141" s="0" t="n">
        <f aca="false">INDEX($K141:$O141,IF(2&lt;$E141,2,2+1))</f>
        <v>4.81627838026</v>
      </c>
      <c r="V141" s="0" t="n">
        <f aca="false">INDEX($K141:$O141,IF(3&lt;$E141,3,3+1))</f>
        <v>11.6416107644</v>
      </c>
      <c r="W141" s="0" t="n">
        <f aca="false">INDEX($K141:$O141,IF(4&lt;$E141,4,4+1))</f>
        <v>5.12097594439</v>
      </c>
      <c r="X141" s="0" t="n">
        <f aca="false">1+COUNTIF($P141:$S141,"&gt;"&amp;$P141)+(COUNTIF($P141:$S141,$P141)-1)/2</f>
        <v>1</v>
      </c>
      <c r="Y141" s="0" t="n">
        <f aca="false">1+COUNTIF($P141:$S141,"&gt;"&amp;$Q141)+(COUNTIF($P141:$S141,$Q141)-1)/2</f>
        <v>2</v>
      </c>
      <c r="Z141" s="0" t="n">
        <f aca="false">1+COUNTIF($P141:$S141,"&gt;"&amp;$R141)+(COUNTIF($P141:$S141,$R141)-1)/2</f>
        <v>3</v>
      </c>
      <c r="AA141" s="0" t="n">
        <f aca="false">1+COUNTIF($P141:$S141,"&gt;"&amp;$S141)+(COUNTIF($P141:$S141,$S141)-1)/2</f>
        <v>4</v>
      </c>
      <c r="AB141" s="0" t="n">
        <f aca="false">1+COUNTIF($T141:$W141,"&gt;"&amp;$T141)+(COUNTIF($T141:$W141,$T141)-1)/2</f>
        <v>1</v>
      </c>
      <c r="AC141" s="0" t="n">
        <f aca="false">1+COUNTIF($T141:$W141,"&gt;"&amp;$U141)+(COUNTIF($T141:$W141,$U141)-1)/2</f>
        <v>4</v>
      </c>
      <c r="AD141" s="0" t="n">
        <f aca="false">1+COUNTIF($T141:$W141,"&gt;"&amp;$V141)+(COUNTIF($T141:$W141,$V141)-1)/2</f>
        <v>2</v>
      </c>
      <c r="AE141" s="0" t="n">
        <f aca="false">1+COUNTIF($T141:$W141,"&gt;"&amp;$W141)+(COUNTIF($T141:$W141,$W141)-1)/2</f>
        <v>3</v>
      </c>
      <c r="AF141" s="0" t="n">
        <f aca="false">IFERROR(CORREL($P141:$S141,$T141:$W141),"")</f>
        <v>0.750776812661067</v>
      </c>
      <c r="AG141" s="0" t="n">
        <f aca="false">IFERROR(CORREL($X141:$AA141,$AB141:$AE141),"")</f>
        <v>0.4</v>
      </c>
      <c r="AH141" s="0" t="n">
        <f aca="false">IFERROR((SIGN($P141-$Q141)*SIGN($T141-$U141)+SIGN($P141-$R141)*SIGN($T141-$V141)+SIGN($P141-$S141)*SIGN($T141-$W141)+SIGN($Q141-$R141)*SIGN($U141-$V141)+SIGN($Q141-$S141)*SIGN($U141-$W141)+SIGN($R141-$S141)*SIGN($V141-$W141))/SQRT((6-(($P141=$Q141)*1+($P141=$R141)*1+($P141=$S141)*1+($Q141=$R141)*1+($Q141=$S141)*1+($R141=$S141)*1))*(6-(($T141=$U141)*1+($T141=$V141)*1+($T141=$W141)*1+($U141=$V141)*1+($U141=$W141)*1+($V141=$W141)*1))),"")</f>
        <v>0.333333333333333</v>
      </c>
      <c r="AI141" s="0" t="n">
        <f aca="false">MATCH(MAX($K141:$O141),$K141:$O141,0)</f>
        <v>1</v>
      </c>
      <c r="AJ141" s="0" t="n">
        <f aca="false">IF(AI141&lt;&gt;$E141,1,0)</f>
        <v>1</v>
      </c>
      <c r="AK141" s="0" t="n">
        <f aca="false">IF(AJ141=1,INDEX($F141:$J141,AI141)/MAX($P141:$S141),"")</f>
        <v>1</v>
      </c>
      <c r="AL141" s="0" t="n">
        <f aca="false">IF(AJ141=1,1+COUNTIF($P141:$S141,"&gt;"&amp;INDEX($F141:$J141,AI141)),"")</f>
        <v>1</v>
      </c>
      <c r="AM141" s="0" t="n">
        <f aca="false">AVERAGE($P141:$S141)/MAX($P141:$S141)</f>
        <v>0.81456043956044</v>
      </c>
      <c r="AN141" s="0" t="n">
        <f aca="false">100-INDEX($F141:$J141,$E141)</f>
        <v>64.9</v>
      </c>
    </row>
    <row r="142" customFormat="false" ht="15" hidden="false" customHeight="false" outlineLevel="0" collapsed="false">
      <c r="A142" s="0" t="s">
        <v>40</v>
      </c>
      <c r="B142" s="0" t="n">
        <v>2021</v>
      </c>
      <c r="C142" s="0" t="s">
        <v>46</v>
      </c>
      <c r="D142" s="0" t="s">
        <v>42</v>
      </c>
      <c r="E142" s="0" t="n">
        <v>5</v>
      </c>
      <c r="F142" s="0" t="n">
        <v>8.4</v>
      </c>
      <c r="G142" s="0" t="n">
        <v>9.5</v>
      </c>
      <c r="H142" s="0" t="n">
        <v>17.8</v>
      </c>
      <c r="I142" s="0" t="n">
        <v>16.4</v>
      </c>
      <c r="J142" s="0" t="n">
        <v>39</v>
      </c>
      <c r="K142" s="0" t="n">
        <v>16.8194819412</v>
      </c>
      <c r="L142" s="0" t="n">
        <v>66.4621640871</v>
      </c>
      <c r="M142" s="0" t="n">
        <v>0.0196171784704</v>
      </c>
      <c r="N142" s="0" t="n">
        <v>0.0555319306534</v>
      </c>
      <c r="O142" s="0" t="n">
        <v>16.6432048625</v>
      </c>
      <c r="P142" s="0" t="n">
        <f aca="false">INDEX($F142:$J142,IF(1&lt;$E142,1,1+1))</f>
        <v>8.4</v>
      </c>
      <c r="Q142" s="0" t="n">
        <f aca="false">INDEX($F142:$J142,IF(2&lt;$E142,2,2+1))</f>
        <v>9.5</v>
      </c>
      <c r="R142" s="0" t="n">
        <f aca="false">INDEX($F142:$J142,IF(3&lt;$E142,3,3+1))</f>
        <v>17.8</v>
      </c>
      <c r="S142" s="0" t="n">
        <f aca="false">INDEX($F142:$J142,IF(4&lt;$E142,4,4+1))</f>
        <v>16.4</v>
      </c>
      <c r="T142" s="0" t="n">
        <f aca="false">INDEX($K142:$O142,IF(1&lt;$E142,1,1+1))</f>
        <v>16.8194819412</v>
      </c>
      <c r="U142" s="0" t="n">
        <f aca="false">INDEX($K142:$O142,IF(2&lt;$E142,2,2+1))</f>
        <v>66.4621640871</v>
      </c>
      <c r="V142" s="0" t="n">
        <f aca="false">INDEX($K142:$O142,IF(3&lt;$E142,3,3+1))</f>
        <v>0.0196171784704</v>
      </c>
      <c r="W142" s="0" t="n">
        <f aca="false">INDEX($K142:$O142,IF(4&lt;$E142,4,4+1))</f>
        <v>0.0555319306534</v>
      </c>
      <c r="X142" s="0" t="n">
        <f aca="false">1+COUNTIF($P142:$S142,"&gt;"&amp;$P142)+(COUNTIF($P142:$S142,$P142)-1)/2</f>
        <v>4</v>
      </c>
      <c r="Y142" s="0" t="n">
        <f aca="false">1+COUNTIF($P142:$S142,"&gt;"&amp;$Q142)+(COUNTIF($P142:$S142,$Q142)-1)/2</f>
        <v>3</v>
      </c>
      <c r="Z142" s="0" t="n">
        <f aca="false">1+COUNTIF($P142:$S142,"&gt;"&amp;$R142)+(COUNTIF($P142:$S142,$R142)-1)/2</f>
        <v>1</v>
      </c>
      <c r="AA142" s="0" t="n">
        <f aca="false">1+COUNTIF($P142:$S142,"&gt;"&amp;$S142)+(COUNTIF($P142:$S142,$S142)-1)/2</f>
        <v>2</v>
      </c>
      <c r="AB142" s="0" t="n">
        <f aca="false">1+COUNTIF($T142:$W142,"&gt;"&amp;$T142)+(COUNTIF($T142:$W142,$T142)-1)/2</f>
        <v>2</v>
      </c>
      <c r="AC142" s="0" t="n">
        <f aca="false">1+COUNTIF($T142:$W142,"&gt;"&amp;$U142)+(COUNTIF($T142:$W142,$U142)-1)/2</f>
        <v>1</v>
      </c>
      <c r="AD142" s="0" t="n">
        <f aca="false">1+COUNTIF($T142:$W142,"&gt;"&amp;$V142)+(COUNTIF($T142:$W142,$V142)-1)/2</f>
        <v>4</v>
      </c>
      <c r="AE142" s="0" t="n">
        <f aca="false">1+COUNTIF($T142:$W142,"&gt;"&amp;$W142)+(COUNTIF($T142:$W142,$W142)-1)/2</f>
        <v>3</v>
      </c>
      <c r="AF142" s="0" t="n">
        <f aca="false">IFERROR(CORREL($P142:$S142,$T142:$W142),"")</f>
        <v>-0.694565559180343</v>
      </c>
      <c r="AG142" s="0" t="n">
        <f aca="false">IFERROR(CORREL($X142:$AA142,$AB142:$AE142),"")</f>
        <v>-0.8</v>
      </c>
      <c r="AH142" s="0" t="n">
        <f aca="false">IFERROR((SIGN($P142-$Q142)*SIGN($T142-$U142)+SIGN($P142-$R142)*SIGN($T142-$V142)+SIGN($P142-$S142)*SIGN($T142-$W142)+SIGN($Q142-$R142)*SIGN($U142-$V142)+SIGN($Q142-$S142)*SIGN($U142-$W142)+SIGN($R142-$S142)*SIGN($V142-$W142))/SQRT((6-(($P142=$Q142)*1+($P142=$R142)*1+($P142=$S142)*1+($Q142=$R142)*1+($Q142=$S142)*1+($R142=$S142)*1))*(6-(($T142=$U142)*1+($T142=$V142)*1+($T142=$W142)*1+($U142=$V142)*1+($U142=$W142)*1+($V142=$W142)*1))),"")</f>
        <v>-0.666666666666667</v>
      </c>
      <c r="AI142" s="0" t="n">
        <f aca="false">MATCH(MAX($K142:$O142),$K142:$O142,0)</f>
        <v>2</v>
      </c>
      <c r="AJ142" s="0" t="n">
        <f aca="false">IF(AI142&lt;&gt;$E142,1,0)</f>
        <v>1</v>
      </c>
      <c r="AK142" s="0" t="n">
        <f aca="false">IF(AJ142=1,INDEX($F142:$J142,AI142)/MAX($P142:$S142),"")</f>
        <v>0.533707865168539</v>
      </c>
      <c r="AL142" s="0" t="n">
        <f aca="false">IF(AJ142=1,1+COUNTIF($P142:$S142,"&gt;"&amp;INDEX($F142:$J142,AI142)),"")</f>
        <v>3</v>
      </c>
      <c r="AM142" s="0" t="n">
        <f aca="false">AVERAGE($P142:$S142)/MAX($P142:$S142)</f>
        <v>0.731741573033708</v>
      </c>
      <c r="AN142" s="0" t="n">
        <f aca="false">100-INDEX($F142:$J142,$E142)</f>
        <v>61</v>
      </c>
    </row>
    <row r="143" customFormat="false" ht="15" hidden="false" customHeight="false" outlineLevel="0" collapsed="false">
      <c r="A143" s="0" t="s">
        <v>40</v>
      </c>
      <c r="B143" s="0" t="n">
        <v>2021</v>
      </c>
      <c r="C143" s="0" t="s">
        <v>46</v>
      </c>
      <c r="D143" s="0" t="s">
        <v>44</v>
      </c>
      <c r="E143" s="0" t="n">
        <v>2</v>
      </c>
      <c r="F143" s="0" t="n">
        <v>12.7</v>
      </c>
      <c r="G143" s="0" t="n">
        <v>36.4</v>
      </c>
      <c r="H143" s="0" t="n">
        <v>12.4</v>
      </c>
      <c r="I143" s="0" t="n">
        <v>18.1</v>
      </c>
      <c r="J143" s="0" t="n">
        <v>11.3</v>
      </c>
      <c r="K143" s="0" t="n">
        <v>3.84694672967</v>
      </c>
      <c r="L143" s="0" t="n">
        <v>58.7824608701</v>
      </c>
      <c r="M143" s="0" t="n">
        <v>7.18462995347</v>
      </c>
      <c r="N143" s="0" t="n">
        <v>14.6793262929</v>
      </c>
      <c r="O143" s="0" t="n">
        <v>15.5066361539</v>
      </c>
      <c r="P143" s="0" t="n">
        <f aca="false">INDEX($F143:$J143,IF(1&lt;$E143,1,1+1))</f>
        <v>12.7</v>
      </c>
      <c r="Q143" s="0" t="n">
        <f aca="false">INDEX($F143:$J143,IF(2&lt;$E143,2,2+1))</f>
        <v>12.4</v>
      </c>
      <c r="R143" s="0" t="n">
        <f aca="false">INDEX($F143:$J143,IF(3&lt;$E143,3,3+1))</f>
        <v>18.1</v>
      </c>
      <c r="S143" s="0" t="n">
        <f aca="false">INDEX($F143:$J143,IF(4&lt;$E143,4,4+1))</f>
        <v>11.3</v>
      </c>
      <c r="T143" s="0" t="n">
        <f aca="false">INDEX($K143:$O143,IF(1&lt;$E143,1,1+1))</f>
        <v>3.84694672967</v>
      </c>
      <c r="U143" s="0" t="n">
        <f aca="false">INDEX($K143:$O143,IF(2&lt;$E143,2,2+1))</f>
        <v>7.18462995347</v>
      </c>
      <c r="V143" s="0" t="n">
        <f aca="false">INDEX($K143:$O143,IF(3&lt;$E143,3,3+1))</f>
        <v>14.6793262929</v>
      </c>
      <c r="W143" s="0" t="n">
        <f aca="false">INDEX($K143:$O143,IF(4&lt;$E143,4,4+1))</f>
        <v>15.5066361539</v>
      </c>
      <c r="X143" s="0" t="n">
        <f aca="false">1+COUNTIF($P143:$S143,"&gt;"&amp;$P143)+(COUNTIF($P143:$S143,$P143)-1)/2</f>
        <v>2</v>
      </c>
      <c r="Y143" s="0" t="n">
        <f aca="false">1+COUNTIF($P143:$S143,"&gt;"&amp;$Q143)+(COUNTIF($P143:$S143,$Q143)-1)/2</f>
        <v>3</v>
      </c>
      <c r="Z143" s="0" t="n">
        <f aca="false">1+COUNTIF($P143:$S143,"&gt;"&amp;$R143)+(COUNTIF($P143:$S143,$R143)-1)/2</f>
        <v>1</v>
      </c>
      <c r="AA143" s="0" t="n">
        <f aca="false">1+COUNTIF($P143:$S143,"&gt;"&amp;$S143)+(COUNTIF($P143:$S143,$S143)-1)/2</f>
        <v>4</v>
      </c>
      <c r="AB143" s="0" t="n">
        <f aca="false">1+COUNTIF($T143:$W143,"&gt;"&amp;$T143)+(COUNTIF($T143:$W143,$T143)-1)/2</f>
        <v>4</v>
      </c>
      <c r="AC143" s="0" t="n">
        <f aca="false">1+COUNTIF($T143:$W143,"&gt;"&amp;$U143)+(COUNTIF($T143:$W143,$U143)-1)/2</f>
        <v>3</v>
      </c>
      <c r="AD143" s="0" t="n">
        <f aca="false">1+COUNTIF($T143:$W143,"&gt;"&amp;$V143)+(COUNTIF($T143:$W143,$V143)-1)/2</f>
        <v>2</v>
      </c>
      <c r="AE143" s="0" t="n">
        <f aca="false">1+COUNTIF($T143:$W143,"&gt;"&amp;$W143)+(COUNTIF($T143:$W143,$W143)-1)/2</f>
        <v>1</v>
      </c>
      <c r="AF143" s="0" t="n">
        <f aca="false">IFERROR(CORREL($P143:$S143,$T143:$W143),"")</f>
        <v>0.331705415887033</v>
      </c>
      <c r="AG143" s="0" t="n">
        <f aca="false">IFERROR(CORREL($X143:$AA143,$AB143:$AE143),"")</f>
        <v>-0.4</v>
      </c>
      <c r="AH143" s="0" t="n">
        <f aca="false">IFERROR((SIGN($P143-$Q143)*SIGN($T143-$U143)+SIGN($P143-$R143)*SIGN($T143-$V143)+SIGN($P143-$S143)*SIGN($T143-$W143)+SIGN($Q143-$R143)*SIGN($U143-$V143)+SIGN($Q143-$S143)*SIGN($U143-$W143)+SIGN($R143-$S143)*SIGN($V143-$W143))/SQRT((6-(($P143=$Q143)*1+($P143=$R143)*1+($P143=$S143)*1+($Q143=$R143)*1+($Q143=$S143)*1+($R143=$S143)*1))*(6-(($T143=$U143)*1+($T143=$V143)*1+($T143=$W143)*1+($U143=$V143)*1+($U143=$W143)*1+($V143=$W143)*1))),"")</f>
        <v>-0.333333333333333</v>
      </c>
      <c r="AI143" s="0" t="n">
        <f aca="false">MATCH(MAX($K143:$O143),$K143:$O143,0)</f>
        <v>2</v>
      </c>
      <c r="AJ143" s="0" t="n">
        <f aca="false">IF(AI143&lt;&gt;$E143,1,0)</f>
        <v>0</v>
      </c>
      <c r="AK143" s="0" t="str">
        <f aca="false">IF(AJ143=1,INDEX($F143:$J143,AI143)/MAX($P143:$S143),"")</f>
        <v/>
      </c>
      <c r="AL143" s="0" t="str">
        <f aca="false">IF(AJ143=1,1+COUNTIF($P143:$S143,"&gt;"&amp;INDEX($F143:$J143,AI143)),"")</f>
        <v/>
      </c>
      <c r="AM143" s="0" t="n">
        <f aca="false">AVERAGE($P143:$S143)/MAX($P143:$S143)</f>
        <v>0.752762430939227</v>
      </c>
      <c r="AN143" s="0" t="n">
        <f aca="false">100-INDEX($F143:$J143,$E143)</f>
        <v>63.6</v>
      </c>
    </row>
    <row r="144" customFormat="false" ht="15" hidden="false" customHeight="false" outlineLevel="0" collapsed="false">
      <c r="A144" s="0" t="s">
        <v>40</v>
      </c>
      <c r="B144" s="0" t="n">
        <v>2021</v>
      </c>
      <c r="C144" s="0" t="s">
        <v>46</v>
      </c>
      <c r="D144" s="0" t="s">
        <v>45</v>
      </c>
      <c r="E144" s="0" t="n">
        <v>2</v>
      </c>
      <c r="F144" s="0" t="n">
        <v>14.8</v>
      </c>
      <c r="G144" s="0" t="n">
        <v>32.8</v>
      </c>
      <c r="H144" s="0" t="n">
        <v>21.5</v>
      </c>
      <c r="I144" s="0" t="n">
        <v>11.8</v>
      </c>
      <c r="J144" s="0" t="n">
        <v>9.9</v>
      </c>
      <c r="K144" s="0" t="n">
        <v>5.83802357671</v>
      </c>
      <c r="L144" s="0" t="n">
        <v>23.7734608768</v>
      </c>
      <c r="M144" s="0" t="n">
        <v>44.77371235</v>
      </c>
      <c r="N144" s="0" t="n">
        <v>15.2589103533</v>
      </c>
      <c r="O144" s="0" t="n">
        <v>10.3558928432</v>
      </c>
      <c r="P144" s="0" t="n">
        <f aca="false">INDEX($F144:$J144,IF(1&lt;$E144,1,1+1))</f>
        <v>14.8</v>
      </c>
      <c r="Q144" s="0" t="n">
        <f aca="false">INDEX($F144:$J144,IF(2&lt;$E144,2,2+1))</f>
        <v>21.5</v>
      </c>
      <c r="R144" s="0" t="n">
        <f aca="false">INDEX($F144:$J144,IF(3&lt;$E144,3,3+1))</f>
        <v>11.8</v>
      </c>
      <c r="S144" s="0" t="n">
        <f aca="false">INDEX($F144:$J144,IF(4&lt;$E144,4,4+1))</f>
        <v>9.9</v>
      </c>
      <c r="T144" s="0" t="n">
        <f aca="false">INDEX($K144:$O144,IF(1&lt;$E144,1,1+1))</f>
        <v>5.83802357671</v>
      </c>
      <c r="U144" s="0" t="n">
        <f aca="false">INDEX($K144:$O144,IF(2&lt;$E144,2,2+1))</f>
        <v>44.77371235</v>
      </c>
      <c r="V144" s="0" t="n">
        <f aca="false">INDEX($K144:$O144,IF(3&lt;$E144,3,3+1))</f>
        <v>15.2589103533</v>
      </c>
      <c r="W144" s="0" t="n">
        <f aca="false">INDEX($K144:$O144,IF(4&lt;$E144,4,4+1))</f>
        <v>10.3558928432</v>
      </c>
      <c r="X144" s="0" t="n">
        <f aca="false">1+COUNTIF($P144:$S144,"&gt;"&amp;$P144)+(COUNTIF($P144:$S144,$P144)-1)/2</f>
        <v>2</v>
      </c>
      <c r="Y144" s="0" t="n">
        <f aca="false">1+COUNTIF($P144:$S144,"&gt;"&amp;$Q144)+(COUNTIF($P144:$S144,$Q144)-1)/2</f>
        <v>1</v>
      </c>
      <c r="Z144" s="0" t="n">
        <f aca="false">1+COUNTIF($P144:$S144,"&gt;"&amp;$R144)+(COUNTIF($P144:$S144,$R144)-1)/2</f>
        <v>3</v>
      </c>
      <c r="AA144" s="0" t="n">
        <f aca="false">1+COUNTIF($P144:$S144,"&gt;"&amp;$S144)+(COUNTIF($P144:$S144,$S144)-1)/2</f>
        <v>4</v>
      </c>
      <c r="AB144" s="0" t="n">
        <f aca="false">1+COUNTIF($T144:$W144,"&gt;"&amp;$T144)+(COUNTIF($T144:$W144,$T144)-1)/2</f>
        <v>4</v>
      </c>
      <c r="AC144" s="0" t="n">
        <f aca="false">1+COUNTIF($T144:$W144,"&gt;"&amp;$U144)+(COUNTIF($T144:$W144,$U144)-1)/2</f>
        <v>1</v>
      </c>
      <c r="AD144" s="0" t="n">
        <f aca="false">1+COUNTIF($T144:$W144,"&gt;"&amp;$V144)+(COUNTIF($T144:$W144,$V144)-1)/2</f>
        <v>2</v>
      </c>
      <c r="AE144" s="0" t="n">
        <f aca="false">1+COUNTIF($T144:$W144,"&gt;"&amp;$W144)+(COUNTIF($T144:$W144,$W144)-1)/2</f>
        <v>3</v>
      </c>
      <c r="AF144" s="0" t="n">
        <f aca="false">IFERROR(CORREL($P144:$S144,$T144:$W144),"")</f>
        <v>0.844545871678451</v>
      </c>
      <c r="AG144" s="0" t="n">
        <f aca="false">IFERROR(CORREL($X144:$AA144,$AB144:$AE144),"")</f>
        <v>0.4</v>
      </c>
      <c r="AH144" s="0" t="n">
        <f aca="false">IFERROR((SIGN($P144-$Q144)*SIGN($T144-$U144)+SIGN($P144-$R144)*SIGN($T144-$V144)+SIGN($P144-$S144)*SIGN($T144-$W144)+SIGN($Q144-$R144)*SIGN($U144-$V144)+SIGN($Q144-$S144)*SIGN($U144-$W144)+SIGN($R144-$S144)*SIGN($V144-$W144))/SQRT((6-(($P144=$Q144)*1+($P144=$R144)*1+($P144=$S144)*1+($Q144=$R144)*1+($Q144=$S144)*1+($R144=$S144)*1))*(6-(($T144=$U144)*1+($T144=$V144)*1+($T144=$W144)*1+($U144=$V144)*1+($U144=$W144)*1+($V144=$W144)*1))),"")</f>
        <v>0.333333333333333</v>
      </c>
      <c r="AI144" s="0" t="n">
        <f aca="false">MATCH(MAX($K144:$O144),$K144:$O144,0)</f>
        <v>3</v>
      </c>
      <c r="AJ144" s="0" t="n">
        <f aca="false">IF(AI144&lt;&gt;$E144,1,0)</f>
        <v>1</v>
      </c>
      <c r="AK144" s="0" t="n">
        <f aca="false">IF(AJ144=1,INDEX($F144:$J144,AI144)/MAX($P144:$S144),"")</f>
        <v>1</v>
      </c>
      <c r="AL144" s="0" t="n">
        <f aca="false">IF(AJ144=1,1+COUNTIF($P144:$S144,"&gt;"&amp;INDEX($F144:$J144,AI144)),"")</f>
        <v>1</v>
      </c>
      <c r="AM144" s="0" t="n">
        <f aca="false">AVERAGE($P144:$S144)/MAX($P144:$S144)</f>
        <v>0.674418604651163</v>
      </c>
      <c r="AN144" s="0" t="n">
        <f aca="false">100-INDEX($F144:$J144,$E144)</f>
        <v>67.2</v>
      </c>
    </row>
    <row r="145" customFormat="false" ht="15" hidden="false" customHeight="false" outlineLevel="0" collapsed="false">
      <c r="A145" s="0" t="s">
        <v>40</v>
      </c>
      <c r="B145" s="0" t="n">
        <v>2021</v>
      </c>
      <c r="C145" s="0" t="s">
        <v>47</v>
      </c>
      <c r="D145" s="0" t="s">
        <v>42</v>
      </c>
      <c r="E145" s="0" t="n">
        <v>2</v>
      </c>
      <c r="F145" s="0" t="n">
        <v>14.8</v>
      </c>
      <c r="G145" s="0" t="n">
        <v>42</v>
      </c>
      <c r="H145" s="0" t="n">
        <v>13.3</v>
      </c>
      <c r="I145" s="0" t="n">
        <v>25.1</v>
      </c>
      <c r="J145" s="0" t="n">
        <v>3</v>
      </c>
      <c r="K145" s="0" t="n">
        <v>13.5429316113</v>
      </c>
      <c r="L145" s="0" t="n">
        <v>16.5317570824</v>
      </c>
      <c r="M145" s="0" t="n">
        <v>8.24985158175</v>
      </c>
      <c r="N145" s="0" t="n">
        <v>59.5763637005</v>
      </c>
      <c r="O145" s="0" t="n">
        <v>2.09909602414</v>
      </c>
      <c r="P145" s="0" t="n">
        <f aca="false">INDEX($F145:$J145,IF(1&lt;$E145,1,1+1))</f>
        <v>14.8</v>
      </c>
      <c r="Q145" s="0" t="n">
        <f aca="false">INDEX($F145:$J145,IF(2&lt;$E145,2,2+1))</f>
        <v>13.3</v>
      </c>
      <c r="R145" s="0" t="n">
        <f aca="false">INDEX($F145:$J145,IF(3&lt;$E145,3,3+1))</f>
        <v>25.1</v>
      </c>
      <c r="S145" s="0" t="n">
        <f aca="false">INDEX($F145:$J145,IF(4&lt;$E145,4,4+1))</f>
        <v>3</v>
      </c>
      <c r="T145" s="0" t="n">
        <f aca="false">INDEX($K145:$O145,IF(1&lt;$E145,1,1+1))</f>
        <v>13.5429316113</v>
      </c>
      <c r="U145" s="0" t="n">
        <f aca="false">INDEX($K145:$O145,IF(2&lt;$E145,2,2+1))</f>
        <v>8.24985158175</v>
      </c>
      <c r="V145" s="0" t="n">
        <f aca="false">INDEX($K145:$O145,IF(3&lt;$E145,3,3+1))</f>
        <v>59.5763637005</v>
      </c>
      <c r="W145" s="0" t="n">
        <f aca="false">INDEX($K145:$O145,IF(4&lt;$E145,4,4+1))</f>
        <v>2.09909602414</v>
      </c>
      <c r="X145" s="0" t="n">
        <f aca="false">1+COUNTIF($P145:$S145,"&gt;"&amp;$P145)+(COUNTIF($P145:$S145,$P145)-1)/2</f>
        <v>2</v>
      </c>
      <c r="Y145" s="0" t="n">
        <f aca="false">1+COUNTIF($P145:$S145,"&gt;"&amp;$Q145)+(COUNTIF($P145:$S145,$Q145)-1)/2</f>
        <v>3</v>
      </c>
      <c r="Z145" s="0" t="n">
        <f aca="false">1+COUNTIF($P145:$S145,"&gt;"&amp;$R145)+(COUNTIF($P145:$S145,$R145)-1)/2</f>
        <v>1</v>
      </c>
      <c r="AA145" s="0" t="n">
        <f aca="false">1+COUNTIF($P145:$S145,"&gt;"&amp;$S145)+(COUNTIF($P145:$S145,$S145)-1)/2</f>
        <v>4</v>
      </c>
      <c r="AB145" s="0" t="n">
        <f aca="false">1+COUNTIF($T145:$W145,"&gt;"&amp;$T145)+(COUNTIF($T145:$W145,$T145)-1)/2</f>
        <v>2</v>
      </c>
      <c r="AC145" s="0" t="n">
        <f aca="false">1+COUNTIF($T145:$W145,"&gt;"&amp;$U145)+(COUNTIF($T145:$W145,$U145)-1)/2</f>
        <v>3</v>
      </c>
      <c r="AD145" s="0" t="n">
        <f aca="false">1+COUNTIF($T145:$W145,"&gt;"&amp;$V145)+(COUNTIF($T145:$W145,$V145)-1)/2</f>
        <v>1</v>
      </c>
      <c r="AE145" s="0" t="n">
        <f aca="false">1+COUNTIF($T145:$W145,"&gt;"&amp;$W145)+(COUNTIF($T145:$W145,$W145)-1)/2</f>
        <v>4</v>
      </c>
      <c r="AF145" s="0" t="n">
        <f aca="false">IFERROR(CORREL($P145:$S145,$T145:$W145),"")</f>
        <v>0.898232271193037</v>
      </c>
      <c r="AG145" s="0" t="n">
        <f aca="false">IFERROR(CORREL($X145:$AA145,$AB145:$AE145),"")</f>
        <v>1</v>
      </c>
      <c r="AH145" s="0" t="n">
        <f aca="false">IFERROR((SIGN($P145-$Q145)*SIGN($T145-$U145)+SIGN($P145-$R145)*SIGN($T145-$V145)+SIGN($P145-$S145)*SIGN($T145-$W145)+SIGN($Q145-$R145)*SIGN($U145-$V145)+SIGN($Q145-$S145)*SIGN($U145-$W145)+SIGN($R145-$S145)*SIGN($V145-$W145))/SQRT((6-(($P145=$Q145)*1+($P145=$R145)*1+($P145=$S145)*1+($Q145=$R145)*1+($Q145=$S145)*1+($R145=$S145)*1))*(6-(($T145=$U145)*1+($T145=$V145)*1+($T145=$W145)*1+($U145=$V145)*1+($U145=$W145)*1+($V145=$W145)*1))),"")</f>
        <v>1</v>
      </c>
      <c r="AI145" s="0" t="n">
        <f aca="false">MATCH(MAX($K145:$O145),$K145:$O145,0)</f>
        <v>4</v>
      </c>
      <c r="AJ145" s="0" t="n">
        <f aca="false">IF(AI145&lt;&gt;$E145,1,0)</f>
        <v>1</v>
      </c>
      <c r="AK145" s="0" t="n">
        <f aca="false">IF(AJ145=1,INDEX($F145:$J145,AI145)/MAX($P145:$S145),"")</f>
        <v>1</v>
      </c>
      <c r="AL145" s="0" t="n">
        <f aca="false">IF(AJ145=1,1+COUNTIF($P145:$S145,"&gt;"&amp;INDEX($F145:$J145,AI145)),"")</f>
        <v>1</v>
      </c>
      <c r="AM145" s="0" t="n">
        <f aca="false">AVERAGE($P145:$S145)/MAX($P145:$S145)</f>
        <v>0.559760956175299</v>
      </c>
      <c r="AN145" s="0" t="n">
        <f aca="false">100-INDEX($F145:$J145,$E145)</f>
        <v>58</v>
      </c>
    </row>
    <row r="146" customFormat="false" ht="15" hidden="false" customHeight="false" outlineLevel="0" collapsed="false">
      <c r="A146" s="0" t="s">
        <v>40</v>
      </c>
      <c r="B146" s="0" t="n">
        <v>2021</v>
      </c>
      <c r="C146" s="0" t="s">
        <v>47</v>
      </c>
      <c r="D146" s="0" t="s">
        <v>43</v>
      </c>
      <c r="E146" s="0" t="n">
        <v>3</v>
      </c>
      <c r="F146" s="0" t="n">
        <v>18.1</v>
      </c>
      <c r="G146" s="0" t="n">
        <v>21.9</v>
      </c>
      <c r="H146" s="0" t="n">
        <v>42.8</v>
      </c>
      <c r="I146" s="0" t="n">
        <v>8.9</v>
      </c>
      <c r="J146" s="0" t="n">
        <v>6.3</v>
      </c>
      <c r="K146" s="0" t="n">
        <v>16.4121127745</v>
      </c>
      <c r="L146" s="0" t="n">
        <v>14.8850180676</v>
      </c>
      <c r="M146" s="0" t="n">
        <v>51.5567374858</v>
      </c>
      <c r="N146" s="0" t="n">
        <v>11.0677424137</v>
      </c>
      <c r="O146" s="0" t="n">
        <v>6.07838925843</v>
      </c>
      <c r="P146" s="0" t="n">
        <f aca="false">INDEX($F146:$J146,IF(1&lt;$E146,1,1+1))</f>
        <v>18.1</v>
      </c>
      <c r="Q146" s="0" t="n">
        <f aca="false">INDEX($F146:$J146,IF(2&lt;$E146,2,2+1))</f>
        <v>21.9</v>
      </c>
      <c r="R146" s="0" t="n">
        <f aca="false">INDEX($F146:$J146,IF(3&lt;$E146,3,3+1))</f>
        <v>8.9</v>
      </c>
      <c r="S146" s="0" t="n">
        <f aca="false">INDEX($F146:$J146,IF(4&lt;$E146,4,4+1))</f>
        <v>6.3</v>
      </c>
      <c r="T146" s="0" t="n">
        <f aca="false">INDEX($K146:$O146,IF(1&lt;$E146,1,1+1))</f>
        <v>16.4121127745</v>
      </c>
      <c r="U146" s="0" t="n">
        <f aca="false">INDEX($K146:$O146,IF(2&lt;$E146,2,2+1))</f>
        <v>14.8850180676</v>
      </c>
      <c r="V146" s="0" t="n">
        <f aca="false">INDEX($K146:$O146,IF(3&lt;$E146,3,3+1))</f>
        <v>11.0677424137</v>
      </c>
      <c r="W146" s="0" t="n">
        <f aca="false">INDEX($K146:$O146,IF(4&lt;$E146,4,4+1))</f>
        <v>6.07838925843</v>
      </c>
      <c r="X146" s="0" t="n">
        <f aca="false">1+COUNTIF($P146:$S146,"&gt;"&amp;$P146)+(COUNTIF($P146:$S146,$P146)-1)/2</f>
        <v>2</v>
      </c>
      <c r="Y146" s="0" t="n">
        <f aca="false">1+COUNTIF($P146:$S146,"&gt;"&amp;$Q146)+(COUNTIF($P146:$S146,$Q146)-1)/2</f>
        <v>1</v>
      </c>
      <c r="Z146" s="0" t="n">
        <f aca="false">1+COUNTIF($P146:$S146,"&gt;"&amp;$R146)+(COUNTIF($P146:$S146,$R146)-1)/2</f>
        <v>3</v>
      </c>
      <c r="AA146" s="0" t="n">
        <f aca="false">1+COUNTIF($P146:$S146,"&gt;"&amp;$S146)+(COUNTIF($P146:$S146,$S146)-1)/2</f>
        <v>4</v>
      </c>
      <c r="AB146" s="0" t="n">
        <f aca="false">1+COUNTIF($T146:$W146,"&gt;"&amp;$T146)+(COUNTIF($T146:$W146,$T146)-1)/2</f>
        <v>1</v>
      </c>
      <c r="AC146" s="0" t="n">
        <f aca="false">1+COUNTIF($T146:$W146,"&gt;"&amp;$U146)+(COUNTIF($T146:$W146,$U146)-1)/2</f>
        <v>2</v>
      </c>
      <c r="AD146" s="0" t="n">
        <f aca="false">1+COUNTIF($T146:$W146,"&gt;"&amp;$V146)+(COUNTIF($T146:$W146,$V146)-1)/2</f>
        <v>3</v>
      </c>
      <c r="AE146" s="0" t="n">
        <f aca="false">1+COUNTIF($T146:$W146,"&gt;"&amp;$W146)+(COUNTIF($T146:$W146,$W146)-1)/2</f>
        <v>4</v>
      </c>
      <c r="AF146" s="0" t="n">
        <f aca="false">IFERROR(CORREL($P146:$S146,$T146:$W146),"")</f>
        <v>0.892659276746104</v>
      </c>
      <c r="AG146" s="0" t="n">
        <f aca="false">IFERROR(CORREL($X146:$AA146,$AB146:$AE146),"")</f>
        <v>0.8</v>
      </c>
      <c r="AH146" s="0" t="n">
        <f aca="false">IFERROR((SIGN($P146-$Q146)*SIGN($T146-$U146)+SIGN($P146-$R146)*SIGN($T146-$V146)+SIGN($P146-$S146)*SIGN($T146-$W146)+SIGN($Q146-$R146)*SIGN($U146-$V146)+SIGN($Q146-$S146)*SIGN($U146-$W146)+SIGN($R146-$S146)*SIGN($V146-$W146))/SQRT((6-(($P146=$Q146)*1+($P146=$R146)*1+($P146=$S146)*1+($Q146=$R146)*1+($Q146=$S146)*1+($R146=$S146)*1))*(6-(($T146=$U146)*1+($T146=$V146)*1+($T146=$W146)*1+($U146=$V146)*1+($U146=$W146)*1+($V146=$W146)*1))),"")</f>
        <v>0.666666666666667</v>
      </c>
      <c r="AI146" s="0" t="n">
        <f aca="false">MATCH(MAX($K146:$O146),$K146:$O146,0)</f>
        <v>3</v>
      </c>
      <c r="AJ146" s="0" t="n">
        <f aca="false">IF(AI146&lt;&gt;$E146,1,0)</f>
        <v>0</v>
      </c>
      <c r="AK146" s="0" t="str">
        <f aca="false">IF(AJ146=1,INDEX($F146:$J146,AI146)/MAX($P146:$S146),"")</f>
        <v/>
      </c>
      <c r="AL146" s="0" t="str">
        <f aca="false">IF(AJ146=1,1+COUNTIF($P146:$S146,"&gt;"&amp;INDEX($F146:$J146,AI146)),"")</f>
        <v/>
      </c>
      <c r="AM146" s="0" t="n">
        <f aca="false">AVERAGE($P146:$S146)/MAX($P146:$S146)</f>
        <v>0.63013698630137</v>
      </c>
      <c r="AN146" s="0" t="n">
        <f aca="false">100-INDEX($F146:$J146,$E146)</f>
        <v>57.2</v>
      </c>
    </row>
    <row r="147" customFormat="false" ht="15" hidden="false" customHeight="false" outlineLevel="0" collapsed="false">
      <c r="A147" s="0" t="s">
        <v>40</v>
      </c>
      <c r="B147" s="0" t="n">
        <v>2021</v>
      </c>
      <c r="C147" s="0" t="s">
        <v>47</v>
      </c>
      <c r="D147" s="0" t="s">
        <v>44</v>
      </c>
      <c r="E147" s="0" t="n">
        <v>1</v>
      </c>
      <c r="F147" s="0" t="n">
        <v>40.8</v>
      </c>
      <c r="G147" s="0" t="n">
        <v>20.7</v>
      </c>
      <c r="H147" s="0" t="n">
        <v>19.5</v>
      </c>
      <c r="I147" s="0" t="n">
        <v>8.3</v>
      </c>
      <c r="J147" s="0" t="n">
        <v>8.6</v>
      </c>
      <c r="K147" s="0" t="n">
        <v>35.045312071</v>
      </c>
      <c r="L147" s="0" t="n">
        <v>17.514156052</v>
      </c>
      <c r="M147" s="0" t="n">
        <v>3.47532901389</v>
      </c>
      <c r="N147" s="0" t="n">
        <v>25.336574248</v>
      </c>
      <c r="O147" s="0" t="n">
        <v>18.6286286151</v>
      </c>
      <c r="P147" s="0" t="n">
        <f aca="false">INDEX($F147:$J147,IF(1&lt;$E147,1,1+1))</f>
        <v>20.7</v>
      </c>
      <c r="Q147" s="0" t="n">
        <f aca="false">INDEX($F147:$J147,IF(2&lt;$E147,2,2+1))</f>
        <v>19.5</v>
      </c>
      <c r="R147" s="0" t="n">
        <f aca="false">INDEX($F147:$J147,IF(3&lt;$E147,3,3+1))</f>
        <v>8.3</v>
      </c>
      <c r="S147" s="0" t="n">
        <f aca="false">INDEX($F147:$J147,IF(4&lt;$E147,4,4+1))</f>
        <v>8.6</v>
      </c>
      <c r="T147" s="0" t="n">
        <f aca="false">INDEX($K147:$O147,IF(1&lt;$E147,1,1+1))</f>
        <v>17.514156052</v>
      </c>
      <c r="U147" s="0" t="n">
        <f aca="false">INDEX($K147:$O147,IF(2&lt;$E147,2,2+1))</f>
        <v>3.47532901389</v>
      </c>
      <c r="V147" s="0" t="n">
        <f aca="false">INDEX($K147:$O147,IF(3&lt;$E147,3,3+1))</f>
        <v>25.336574248</v>
      </c>
      <c r="W147" s="0" t="n">
        <f aca="false">INDEX($K147:$O147,IF(4&lt;$E147,4,4+1))</f>
        <v>18.6286286151</v>
      </c>
      <c r="X147" s="0" t="n">
        <f aca="false">1+COUNTIF($P147:$S147,"&gt;"&amp;$P147)+(COUNTIF($P147:$S147,$P147)-1)/2</f>
        <v>1</v>
      </c>
      <c r="Y147" s="0" t="n">
        <f aca="false">1+COUNTIF($P147:$S147,"&gt;"&amp;$Q147)+(COUNTIF($P147:$S147,$Q147)-1)/2</f>
        <v>2</v>
      </c>
      <c r="Z147" s="0" t="n">
        <f aca="false">1+COUNTIF($P147:$S147,"&gt;"&amp;$R147)+(COUNTIF($P147:$S147,$R147)-1)/2</f>
        <v>4</v>
      </c>
      <c r="AA147" s="0" t="n">
        <f aca="false">1+COUNTIF($P147:$S147,"&gt;"&amp;$S147)+(COUNTIF($P147:$S147,$S147)-1)/2</f>
        <v>3</v>
      </c>
      <c r="AB147" s="0" t="n">
        <f aca="false">1+COUNTIF($T147:$W147,"&gt;"&amp;$T147)+(COUNTIF($T147:$W147,$T147)-1)/2</f>
        <v>3</v>
      </c>
      <c r="AC147" s="0" t="n">
        <f aca="false">1+COUNTIF($T147:$W147,"&gt;"&amp;$U147)+(COUNTIF($T147:$W147,$U147)-1)/2</f>
        <v>4</v>
      </c>
      <c r="AD147" s="0" t="n">
        <f aca="false">1+COUNTIF($T147:$W147,"&gt;"&amp;$V147)+(COUNTIF($T147:$W147,$V147)-1)/2</f>
        <v>1</v>
      </c>
      <c r="AE147" s="0" t="n">
        <f aca="false">1+COUNTIF($T147:$W147,"&gt;"&amp;$W147)+(COUNTIF($T147:$W147,$W147)-1)/2</f>
        <v>2</v>
      </c>
      <c r="AF147" s="0" t="n">
        <f aca="false">IFERROR(CORREL($P147:$S147,$T147:$W147),"")</f>
        <v>-0.68027624907003</v>
      </c>
      <c r="AG147" s="0" t="n">
        <f aca="false">IFERROR(CORREL($X147:$AA147,$AB147:$AE147),"")</f>
        <v>-0.8</v>
      </c>
      <c r="AH147" s="0" t="n">
        <f aca="false">IFERROR((SIGN($P147-$Q147)*SIGN($T147-$U147)+SIGN($P147-$R147)*SIGN($T147-$V147)+SIGN($P147-$S147)*SIGN($T147-$W147)+SIGN($Q147-$R147)*SIGN($U147-$V147)+SIGN($Q147-$S147)*SIGN($U147-$W147)+SIGN($R147-$S147)*SIGN($V147-$W147))/SQRT((6-(($P147=$Q147)*1+($P147=$R147)*1+($P147=$S147)*1+($Q147=$R147)*1+($Q147=$S147)*1+($R147=$S147)*1))*(6-(($T147=$U147)*1+($T147=$V147)*1+($T147=$W147)*1+($U147=$V147)*1+($U147=$W147)*1+($V147=$W147)*1))),"")</f>
        <v>-0.666666666666667</v>
      </c>
      <c r="AI147" s="0" t="n">
        <f aca="false">MATCH(MAX($K147:$O147),$K147:$O147,0)</f>
        <v>1</v>
      </c>
      <c r="AJ147" s="0" t="n">
        <f aca="false">IF(AI147&lt;&gt;$E147,1,0)</f>
        <v>0</v>
      </c>
      <c r="AK147" s="0" t="str">
        <f aca="false">IF(AJ147=1,INDEX($F147:$J147,AI147)/MAX($P147:$S147),"")</f>
        <v/>
      </c>
      <c r="AL147" s="0" t="str">
        <f aca="false">IF(AJ147=1,1+COUNTIF($P147:$S147,"&gt;"&amp;INDEX($F147:$J147,AI147)),"")</f>
        <v/>
      </c>
      <c r="AM147" s="0" t="n">
        <f aca="false">AVERAGE($P147:$S147)/MAX($P147:$S147)</f>
        <v>0.689613526570048</v>
      </c>
      <c r="AN147" s="0" t="n">
        <f aca="false">100-INDEX($F147:$J147,$E147)</f>
        <v>59.2</v>
      </c>
    </row>
    <row r="148" customFormat="false" ht="15" hidden="false" customHeight="false" outlineLevel="0" collapsed="false">
      <c r="A148" s="0" t="s">
        <v>40</v>
      </c>
      <c r="B148" s="0" t="n">
        <v>2021</v>
      </c>
      <c r="C148" s="0" t="s">
        <v>47</v>
      </c>
      <c r="D148" s="0" t="s">
        <v>45</v>
      </c>
      <c r="E148" s="0" t="n">
        <v>2</v>
      </c>
      <c r="F148" s="0" t="n">
        <v>30.1</v>
      </c>
      <c r="G148" s="0" t="n">
        <v>34.8</v>
      </c>
      <c r="H148" s="0" t="n">
        <v>15.3</v>
      </c>
      <c r="I148" s="0" t="n">
        <v>12.1</v>
      </c>
      <c r="J148" s="0" t="n">
        <v>5.7</v>
      </c>
      <c r="K148" s="0" t="n">
        <v>9.47292253389</v>
      </c>
      <c r="L148" s="0" t="n">
        <v>55.4036679517</v>
      </c>
      <c r="M148" s="0" t="n">
        <v>5.79058693188</v>
      </c>
      <c r="N148" s="0" t="n">
        <v>19.6561598024</v>
      </c>
      <c r="O148" s="0" t="n">
        <v>9.67666278019</v>
      </c>
      <c r="P148" s="0" t="n">
        <f aca="false">INDEX($F148:$J148,IF(1&lt;$E148,1,1+1))</f>
        <v>30.1</v>
      </c>
      <c r="Q148" s="0" t="n">
        <f aca="false">INDEX($F148:$J148,IF(2&lt;$E148,2,2+1))</f>
        <v>15.3</v>
      </c>
      <c r="R148" s="0" t="n">
        <f aca="false">INDEX($F148:$J148,IF(3&lt;$E148,3,3+1))</f>
        <v>12.1</v>
      </c>
      <c r="S148" s="0" t="n">
        <f aca="false">INDEX($F148:$J148,IF(4&lt;$E148,4,4+1))</f>
        <v>5.7</v>
      </c>
      <c r="T148" s="0" t="n">
        <f aca="false">INDEX($K148:$O148,IF(1&lt;$E148,1,1+1))</f>
        <v>9.47292253389</v>
      </c>
      <c r="U148" s="0" t="n">
        <f aca="false">INDEX($K148:$O148,IF(2&lt;$E148,2,2+1))</f>
        <v>5.79058693188</v>
      </c>
      <c r="V148" s="0" t="n">
        <f aca="false">INDEX($K148:$O148,IF(3&lt;$E148,3,3+1))</f>
        <v>19.6561598024</v>
      </c>
      <c r="W148" s="0" t="n">
        <f aca="false">INDEX($K148:$O148,IF(4&lt;$E148,4,4+1))</f>
        <v>9.67666278019</v>
      </c>
      <c r="X148" s="0" t="n">
        <f aca="false">1+COUNTIF($P148:$S148,"&gt;"&amp;$P148)+(COUNTIF($P148:$S148,$P148)-1)/2</f>
        <v>1</v>
      </c>
      <c r="Y148" s="0" t="n">
        <f aca="false">1+COUNTIF($P148:$S148,"&gt;"&amp;$Q148)+(COUNTIF($P148:$S148,$Q148)-1)/2</f>
        <v>2</v>
      </c>
      <c r="Z148" s="0" t="n">
        <f aca="false">1+COUNTIF($P148:$S148,"&gt;"&amp;$R148)+(COUNTIF($P148:$S148,$R148)-1)/2</f>
        <v>3</v>
      </c>
      <c r="AA148" s="0" t="n">
        <f aca="false">1+COUNTIF($P148:$S148,"&gt;"&amp;$S148)+(COUNTIF($P148:$S148,$S148)-1)/2</f>
        <v>4</v>
      </c>
      <c r="AB148" s="0" t="n">
        <f aca="false">1+COUNTIF($T148:$W148,"&gt;"&amp;$T148)+(COUNTIF($T148:$W148,$T148)-1)/2</f>
        <v>3</v>
      </c>
      <c r="AC148" s="0" t="n">
        <f aca="false">1+COUNTIF($T148:$W148,"&gt;"&amp;$U148)+(COUNTIF($T148:$W148,$U148)-1)/2</f>
        <v>4</v>
      </c>
      <c r="AD148" s="0" t="n">
        <f aca="false">1+COUNTIF($T148:$W148,"&gt;"&amp;$V148)+(COUNTIF($T148:$W148,$V148)-1)/2</f>
        <v>1</v>
      </c>
      <c r="AE148" s="0" t="n">
        <f aca="false">1+COUNTIF($T148:$W148,"&gt;"&amp;$W148)+(COUNTIF($T148:$W148,$W148)-1)/2</f>
        <v>2</v>
      </c>
      <c r="AF148" s="0" t="n">
        <f aca="false">IFERROR(CORREL($P148:$S148,$T148:$W148),"")</f>
        <v>-0.205553650230843</v>
      </c>
      <c r="AG148" s="0" t="n">
        <f aca="false">IFERROR(CORREL($X148:$AA148,$AB148:$AE148),"")</f>
        <v>-0.6</v>
      </c>
      <c r="AH148" s="0" t="n">
        <f aca="false">IFERROR((SIGN($P148-$Q148)*SIGN($T148-$U148)+SIGN($P148-$R148)*SIGN($T148-$V148)+SIGN($P148-$S148)*SIGN($T148-$W148)+SIGN($Q148-$R148)*SIGN($U148-$V148)+SIGN($Q148-$S148)*SIGN($U148-$W148)+SIGN($R148-$S148)*SIGN($V148-$W148))/SQRT((6-(($P148=$Q148)*1+($P148=$R148)*1+($P148=$S148)*1+($Q148=$R148)*1+($Q148=$S148)*1+($R148=$S148)*1))*(6-(($T148=$U148)*1+($T148=$V148)*1+($T148=$W148)*1+($U148=$V148)*1+($U148=$W148)*1+($V148=$W148)*1))),"")</f>
        <v>-0.333333333333333</v>
      </c>
      <c r="AI148" s="0" t="n">
        <f aca="false">MATCH(MAX($K148:$O148),$K148:$O148,0)</f>
        <v>2</v>
      </c>
      <c r="AJ148" s="0" t="n">
        <f aca="false">IF(AI148&lt;&gt;$E148,1,0)</f>
        <v>0</v>
      </c>
      <c r="AK148" s="0" t="str">
        <f aca="false">IF(AJ148=1,INDEX($F148:$J148,AI148)/MAX($P148:$S148),"")</f>
        <v/>
      </c>
      <c r="AL148" s="0" t="str">
        <f aca="false">IF(AJ148=1,1+COUNTIF($P148:$S148,"&gt;"&amp;INDEX($F148:$J148,AI148)),"")</f>
        <v/>
      </c>
      <c r="AM148" s="0" t="n">
        <f aca="false">AVERAGE($P148:$S148)/MAX($P148:$S148)</f>
        <v>0.524916943521595</v>
      </c>
      <c r="AN148" s="0" t="n">
        <f aca="false">100-INDEX($F148:$J148,$E148)</f>
        <v>65.2</v>
      </c>
    </row>
    <row r="149" customFormat="false" ht="15" hidden="false" customHeight="false" outlineLevel="0" collapsed="false">
      <c r="A149" s="0" t="s">
        <v>40</v>
      </c>
      <c r="B149" s="0" t="n">
        <v>2020</v>
      </c>
      <c r="C149" s="0" t="s">
        <v>48</v>
      </c>
      <c r="D149" s="0" t="s">
        <v>42</v>
      </c>
      <c r="E149" s="0" t="n">
        <v>1</v>
      </c>
      <c r="F149" s="0" t="n">
        <v>43.2</v>
      </c>
      <c r="G149" s="0" t="n">
        <v>13.4</v>
      </c>
      <c r="H149" s="0" t="n">
        <v>9.9</v>
      </c>
      <c r="I149" s="0" t="n">
        <v>9.7</v>
      </c>
      <c r="J149" s="0" t="n">
        <v>9.1</v>
      </c>
      <c r="K149" s="0" t="n">
        <v>13.5429316113</v>
      </c>
      <c r="L149" s="0" t="n">
        <v>16.5317570824</v>
      </c>
      <c r="M149" s="0" t="n">
        <v>8.24985158175</v>
      </c>
      <c r="N149" s="0" t="n">
        <v>59.5763637005</v>
      </c>
      <c r="O149" s="0" t="n">
        <v>2.09909602414</v>
      </c>
      <c r="P149" s="0" t="n">
        <f aca="false">INDEX($F149:$J149,IF(1&lt;$E149,1,1+1))</f>
        <v>13.4</v>
      </c>
      <c r="Q149" s="0" t="n">
        <f aca="false">INDEX($F149:$J149,IF(2&lt;$E149,2,2+1))</f>
        <v>9.9</v>
      </c>
      <c r="R149" s="0" t="n">
        <f aca="false">INDEX($F149:$J149,IF(3&lt;$E149,3,3+1))</f>
        <v>9.7</v>
      </c>
      <c r="S149" s="0" t="n">
        <f aca="false">INDEX($F149:$J149,IF(4&lt;$E149,4,4+1))</f>
        <v>9.1</v>
      </c>
      <c r="T149" s="0" t="n">
        <f aca="false">INDEX($K149:$O149,IF(1&lt;$E149,1,1+1))</f>
        <v>16.5317570824</v>
      </c>
      <c r="U149" s="0" t="n">
        <f aca="false">INDEX($K149:$O149,IF(2&lt;$E149,2,2+1))</f>
        <v>8.24985158175</v>
      </c>
      <c r="V149" s="0" t="n">
        <f aca="false">INDEX($K149:$O149,IF(3&lt;$E149,3,3+1))</f>
        <v>59.5763637005</v>
      </c>
      <c r="W149" s="0" t="n">
        <f aca="false">INDEX($K149:$O149,IF(4&lt;$E149,4,4+1))</f>
        <v>2.09909602414</v>
      </c>
      <c r="X149" s="0" t="n">
        <f aca="false">1+COUNTIF($P149:$S149,"&gt;"&amp;$P149)+(COUNTIF($P149:$S149,$P149)-1)/2</f>
        <v>1</v>
      </c>
      <c r="Y149" s="0" t="n">
        <f aca="false">1+COUNTIF($P149:$S149,"&gt;"&amp;$Q149)+(COUNTIF($P149:$S149,$Q149)-1)/2</f>
        <v>2</v>
      </c>
      <c r="Z149" s="0" t="n">
        <f aca="false">1+COUNTIF($P149:$S149,"&gt;"&amp;$R149)+(COUNTIF($P149:$S149,$R149)-1)/2</f>
        <v>3</v>
      </c>
      <c r="AA149" s="0" t="n">
        <f aca="false">1+COUNTIF($P149:$S149,"&gt;"&amp;$S149)+(COUNTIF($P149:$S149,$S149)-1)/2</f>
        <v>4</v>
      </c>
      <c r="AB149" s="0" t="n">
        <f aca="false">1+COUNTIF($T149:$W149,"&gt;"&amp;$T149)+(COUNTIF($T149:$W149,$T149)-1)/2</f>
        <v>2</v>
      </c>
      <c r="AC149" s="0" t="n">
        <f aca="false">1+COUNTIF($T149:$W149,"&gt;"&amp;$U149)+(COUNTIF($T149:$W149,$U149)-1)/2</f>
        <v>3</v>
      </c>
      <c r="AD149" s="0" t="n">
        <f aca="false">1+COUNTIF($T149:$W149,"&gt;"&amp;$V149)+(COUNTIF($T149:$W149,$V149)-1)/2</f>
        <v>1</v>
      </c>
      <c r="AE149" s="0" t="n">
        <f aca="false">1+COUNTIF($T149:$W149,"&gt;"&amp;$W149)+(COUNTIF($T149:$W149,$W149)-1)/2</f>
        <v>4</v>
      </c>
      <c r="AF149" s="0" t="n">
        <f aca="false">IFERROR(CORREL($P149:$S149,$T149:$W149),"")</f>
        <v>-0.0643661905275415</v>
      </c>
      <c r="AG149" s="0" t="n">
        <f aca="false">IFERROR(CORREL($X149:$AA149,$AB149:$AE149),"")</f>
        <v>0.4</v>
      </c>
      <c r="AH149" s="0" t="n">
        <f aca="false">IFERROR((SIGN($P149-$Q149)*SIGN($T149-$U149)+SIGN($P149-$R149)*SIGN($T149-$V149)+SIGN($P149-$S149)*SIGN($T149-$W149)+SIGN($Q149-$R149)*SIGN($U149-$V149)+SIGN($Q149-$S149)*SIGN($U149-$W149)+SIGN($R149-$S149)*SIGN($V149-$W149))/SQRT((6-(($P149=$Q149)*1+($P149=$R149)*1+($P149=$S149)*1+($Q149=$R149)*1+($Q149=$S149)*1+($R149=$S149)*1))*(6-(($T149=$U149)*1+($T149=$V149)*1+($T149=$W149)*1+($U149=$V149)*1+($U149=$W149)*1+($V149=$W149)*1))),"")</f>
        <v>0.333333333333333</v>
      </c>
      <c r="AI149" s="0" t="n">
        <f aca="false">MATCH(MAX($K149:$O149),$K149:$O149,0)</f>
        <v>4</v>
      </c>
      <c r="AJ149" s="0" t="n">
        <f aca="false">IF(AI149&lt;&gt;$E149,1,0)</f>
        <v>1</v>
      </c>
      <c r="AK149" s="0" t="n">
        <f aca="false">IF(AJ149=1,INDEX($F149:$J149,AI149)/MAX($P149:$S149),"")</f>
        <v>0.723880597014925</v>
      </c>
      <c r="AL149" s="0" t="n">
        <f aca="false">IF(AJ149=1,1+COUNTIF($P149:$S149,"&gt;"&amp;INDEX($F149:$J149,AI149)),"")</f>
        <v>3</v>
      </c>
      <c r="AM149" s="0" t="n">
        <f aca="false">AVERAGE($P149:$S149)/MAX($P149:$S149)</f>
        <v>0.78544776119403</v>
      </c>
      <c r="AN149" s="0" t="n">
        <f aca="false">100-INDEX($F149:$J149,$E149)</f>
        <v>56.8</v>
      </c>
    </row>
    <row r="150" customFormat="false" ht="15" hidden="false" customHeight="false" outlineLevel="0" collapsed="false">
      <c r="A150" s="0" t="s">
        <v>40</v>
      </c>
      <c r="B150" s="0" t="n">
        <v>2020</v>
      </c>
      <c r="C150" s="0" t="s">
        <v>48</v>
      </c>
      <c r="D150" s="0" t="s">
        <v>43</v>
      </c>
      <c r="E150" s="0" t="n">
        <v>2</v>
      </c>
      <c r="F150" s="0" t="n">
        <v>11.4</v>
      </c>
      <c r="G150" s="0" t="n">
        <v>44.7</v>
      </c>
      <c r="H150" s="0" t="n">
        <v>12.6</v>
      </c>
      <c r="I150" s="0" t="n">
        <v>9.2</v>
      </c>
      <c r="J150" s="0" t="n">
        <v>7.1</v>
      </c>
      <c r="K150" s="0" t="n">
        <v>16.4121127745</v>
      </c>
      <c r="L150" s="0" t="n">
        <v>14.8850180676</v>
      </c>
      <c r="M150" s="0" t="n">
        <v>51.5567374858</v>
      </c>
      <c r="N150" s="0" t="n">
        <v>11.0677424137</v>
      </c>
      <c r="O150" s="0" t="n">
        <v>6.07838925843</v>
      </c>
      <c r="P150" s="0" t="n">
        <f aca="false">INDEX($F150:$J150,IF(1&lt;$E150,1,1+1))</f>
        <v>11.4</v>
      </c>
      <c r="Q150" s="0" t="n">
        <f aca="false">INDEX($F150:$J150,IF(2&lt;$E150,2,2+1))</f>
        <v>12.6</v>
      </c>
      <c r="R150" s="0" t="n">
        <f aca="false">INDEX($F150:$J150,IF(3&lt;$E150,3,3+1))</f>
        <v>9.2</v>
      </c>
      <c r="S150" s="0" t="n">
        <f aca="false">INDEX($F150:$J150,IF(4&lt;$E150,4,4+1))</f>
        <v>7.1</v>
      </c>
      <c r="T150" s="0" t="n">
        <f aca="false">INDEX($K150:$O150,IF(1&lt;$E150,1,1+1))</f>
        <v>16.4121127745</v>
      </c>
      <c r="U150" s="0" t="n">
        <f aca="false">INDEX($K150:$O150,IF(2&lt;$E150,2,2+1))</f>
        <v>51.5567374858</v>
      </c>
      <c r="V150" s="0" t="n">
        <f aca="false">INDEX($K150:$O150,IF(3&lt;$E150,3,3+1))</f>
        <v>11.0677424137</v>
      </c>
      <c r="W150" s="0" t="n">
        <f aca="false">INDEX($K150:$O150,IF(4&lt;$E150,4,4+1))</f>
        <v>6.07838925843</v>
      </c>
      <c r="X150" s="0" t="n">
        <f aca="false">1+COUNTIF($P150:$S150,"&gt;"&amp;$P150)+(COUNTIF($P150:$S150,$P150)-1)/2</f>
        <v>2</v>
      </c>
      <c r="Y150" s="0" t="n">
        <f aca="false">1+COUNTIF($P150:$S150,"&gt;"&amp;$Q150)+(COUNTIF($P150:$S150,$Q150)-1)/2</f>
        <v>1</v>
      </c>
      <c r="Z150" s="0" t="n">
        <f aca="false">1+COUNTIF($P150:$S150,"&gt;"&amp;$R150)+(COUNTIF($P150:$S150,$R150)-1)/2</f>
        <v>3</v>
      </c>
      <c r="AA150" s="0" t="n">
        <f aca="false">1+COUNTIF($P150:$S150,"&gt;"&amp;$S150)+(COUNTIF($P150:$S150,$S150)-1)/2</f>
        <v>4</v>
      </c>
      <c r="AB150" s="0" t="n">
        <f aca="false">1+COUNTIF($T150:$W150,"&gt;"&amp;$T150)+(COUNTIF($T150:$W150,$T150)-1)/2</f>
        <v>2</v>
      </c>
      <c r="AC150" s="0" t="n">
        <f aca="false">1+COUNTIF($T150:$W150,"&gt;"&amp;$U150)+(COUNTIF($T150:$W150,$U150)-1)/2</f>
        <v>1</v>
      </c>
      <c r="AD150" s="0" t="n">
        <f aca="false">1+COUNTIF($T150:$W150,"&gt;"&amp;$V150)+(COUNTIF($T150:$W150,$V150)-1)/2</f>
        <v>3</v>
      </c>
      <c r="AE150" s="0" t="n">
        <f aca="false">1+COUNTIF($T150:$W150,"&gt;"&amp;$W150)+(COUNTIF($T150:$W150,$W150)-1)/2</f>
        <v>4</v>
      </c>
      <c r="AF150" s="0" t="n">
        <f aca="false">IFERROR(CORREL($P150:$S150,$T150:$W150),"")</f>
        <v>0.825138590272272</v>
      </c>
      <c r="AG150" s="0" t="n">
        <f aca="false">IFERROR(CORREL($X150:$AA150,$AB150:$AE150),"")</f>
        <v>1</v>
      </c>
      <c r="AH150" s="0" t="n">
        <f aca="false">IFERROR((SIGN($P150-$Q150)*SIGN($T150-$U150)+SIGN($P150-$R150)*SIGN($T150-$V150)+SIGN($P150-$S150)*SIGN($T150-$W150)+SIGN($Q150-$R150)*SIGN($U150-$V150)+SIGN($Q150-$S150)*SIGN($U150-$W150)+SIGN($R150-$S150)*SIGN($V150-$W150))/SQRT((6-(($P150=$Q150)*1+($P150=$R150)*1+($P150=$S150)*1+($Q150=$R150)*1+($Q150=$S150)*1+($R150=$S150)*1))*(6-(($T150=$U150)*1+($T150=$V150)*1+($T150=$W150)*1+($U150=$V150)*1+($U150=$W150)*1+($V150=$W150)*1))),"")</f>
        <v>1</v>
      </c>
      <c r="AI150" s="0" t="n">
        <f aca="false">MATCH(MAX($K150:$O150),$K150:$O150,0)</f>
        <v>3</v>
      </c>
      <c r="AJ150" s="0" t="n">
        <f aca="false">IF(AI150&lt;&gt;$E150,1,0)</f>
        <v>1</v>
      </c>
      <c r="AK150" s="0" t="n">
        <f aca="false">IF(AJ150=1,INDEX($F150:$J150,AI150)/MAX($P150:$S150),"")</f>
        <v>1</v>
      </c>
      <c r="AL150" s="0" t="n">
        <f aca="false">IF(AJ150=1,1+COUNTIF($P150:$S150,"&gt;"&amp;INDEX($F150:$J150,AI150)),"")</f>
        <v>1</v>
      </c>
      <c r="AM150" s="0" t="n">
        <f aca="false">AVERAGE($P150:$S150)/MAX($P150:$S150)</f>
        <v>0.799603174603175</v>
      </c>
      <c r="AN150" s="0" t="n">
        <f aca="false">100-INDEX($F150:$J150,$E150)</f>
        <v>55.3</v>
      </c>
    </row>
    <row r="151" customFormat="false" ht="15" hidden="false" customHeight="false" outlineLevel="0" collapsed="false">
      <c r="A151" s="0" t="s">
        <v>40</v>
      </c>
      <c r="B151" s="0" t="n">
        <v>2020</v>
      </c>
      <c r="C151" s="0" t="s">
        <v>48</v>
      </c>
      <c r="D151" s="0" t="s">
        <v>44</v>
      </c>
      <c r="E151" s="0" t="n">
        <v>5</v>
      </c>
      <c r="F151" s="0" t="n">
        <v>12.7</v>
      </c>
      <c r="G151" s="0" t="n">
        <v>18.5</v>
      </c>
      <c r="H151" s="0" t="n">
        <v>15.3</v>
      </c>
      <c r="I151" s="0" t="n">
        <v>14.9</v>
      </c>
      <c r="J151" s="0" t="n">
        <v>23.4</v>
      </c>
      <c r="K151" s="0" t="n">
        <v>17.514156052</v>
      </c>
      <c r="L151" s="0" t="n">
        <v>35.045312071</v>
      </c>
      <c r="M151" s="0" t="n">
        <v>3.47532901389</v>
      </c>
      <c r="N151" s="0" t="n">
        <v>25.336574248</v>
      </c>
      <c r="O151" s="0" t="n">
        <v>18.6286286151</v>
      </c>
      <c r="P151" s="0" t="n">
        <f aca="false">INDEX($F151:$J151,IF(1&lt;$E151,1,1+1))</f>
        <v>12.7</v>
      </c>
      <c r="Q151" s="0" t="n">
        <f aca="false">INDEX($F151:$J151,IF(2&lt;$E151,2,2+1))</f>
        <v>18.5</v>
      </c>
      <c r="R151" s="0" t="n">
        <f aca="false">INDEX($F151:$J151,IF(3&lt;$E151,3,3+1))</f>
        <v>15.3</v>
      </c>
      <c r="S151" s="0" t="n">
        <f aca="false">INDEX($F151:$J151,IF(4&lt;$E151,4,4+1))</f>
        <v>14.9</v>
      </c>
      <c r="T151" s="0" t="n">
        <f aca="false">INDEX($K151:$O151,IF(1&lt;$E151,1,1+1))</f>
        <v>17.514156052</v>
      </c>
      <c r="U151" s="0" t="n">
        <f aca="false">INDEX($K151:$O151,IF(2&lt;$E151,2,2+1))</f>
        <v>35.045312071</v>
      </c>
      <c r="V151" s="0" t="n">
        <f aca="false">INDEX($K151:$O151,IF(3&lt;$E151,3,3+1))</f>
        <v>3.47532901389</v>
      </c>
      <c r="W151" s="0" t="n">
        <f aca="false">INDEX($K151:$O151,IF(4&lt;$E151,4,4+1))</f>
        <v>25.336574248</v>
      </c>
      <c r="X151" s="0" t="n">
        <f aca="false">1+COUNTIF($P151:$S151,"&gt;"&amp;$P151)+(COUNTIF($P151:$S151,$P151)-1)/2</f>
        <v>4</v>
      </c>
      <c r="Y151" s="0" t="n">
        <f aca="false">1+COUNTIF($P151:$S151,"&gt;"&amp;$Q151)+(COUNTIF($P151:$S151,$Q151)-1)/2</f>
        <v>1</v>
      </c>
      <c r="Z151" s="0" t="n">
        <f aca="false">1+COUNTIF($P151:$S151,"&gt;"&amp;$R151)+(COUNTIF($P151:$S151,$R151)-1)/2</f>
        <v>2</v>
      </c>
      <c r="AA151" s="0" t="n">
        <f aca="false">1+COUNTIF($P151:$S151,"&gt;"&amp;$S151)+(COUNTIF($P151:$S151,$S151)-1)/2</f>
        <v>3</v>
      </c>
      <c r="AB151" s="0" t="n">
        <f aca="false">1+COUNTIF($T151:$W151,"&gt;"&amp;$T151)+(COUNTIF($T151:$W151,$T151)-1)/2</f>
        <v>3</v>
      </c>
      <c r="AC151" s="0" t="n">
        <f aca="false">1+COUNTIF($T151:$W151,"&gt;"&amp;$U151)+(COUNTIF($T151:$W151,$U151)-1)/2</f>
        <v>1</v>
      </c>
      <c r="AD151" s="0" t="n">
        <f aca="false">1+COUNTIF($T151:$W151,"&gt;"&amp;$V151)+(COUNTIF($T151:$W151,$V151)-1)/2</f>
        <v>4</v>
      </c>
      <c r="AE151" s="0" t="n">
        <f aca="false">1+COUNTIF($T151:$W151,"&gt;"&amp;$W151)+(COUNTIF($T151:$W151,$W151)-1)/2</f>
        <v>2</v>
      </c>
      <c r="AF151" s="0" t="n">
        <f aca="false">IFERROR(CORREL($P151:$S151,$T151:$W151),"")</f>
        <v>0.5478060562084</v>
      </c>
      <c r="AG151" s="0" t="n">
        <f aca="false">IFERROR(CORREL($X151:$AA151,$AB151:$AE151),"")</f>
        <v>0.4</v>
      </c>
      <c r="AH151" s="0" t="n">
        <f aca="false">IFERROR((SIGN($P151-$Q151)*SIGN($T151-$U151)+SIGN($P151-$R151)*SIGN($T151-$V151)+SIGN($P151-$S151)*SIGN($T151-$W151)+SIGN($Q151-$R151)*SIGN($U151-$V151)+SIGN($Q151-$S151)*SIGN($U151-$W151)+SIGN($R151-$S151)*SIGN($V151-$W151))/SQRT((6-(($P151=$Q151)*1+($P151=$R151)*1+($P151=$S151)*1+($Q151=$R151)*1+($Q151=$S151)*1+($R151=$S151)*1))*(6-(($T151=$U151)*1+($T151=$V151)*1+($T151=$W151)*1+($U151=$V151)*1+($U151=$W151)*1+($V151=$W151)*1))),"")</f>
        <v>0.333333333333333</v>
      </c>
      <c r="AI151" s="0" t="n">
        <f aca="false">MATCH(MAX($K151:$O151),$K151:$O151,0)</f>
        <v>2</v>
      </c>
      <c r="AJ151" s="0" t="n">
        <f aca="false">IF(AI151&lt;&gt;$E151,1,0)</f>
        <v>1</v>
      </c>
      <c r="AK151" s="0" t="n">
        <f aca="false">IF(AJ151=1,INDEX($F151:$J151,AI151)/MAX($P151:$S151),"")</f>
        <v>1</v>
      </c>
      <c r="AL151" s="0" t="n">
        <f aca="false">IF(AJ151=1,1+COUNTIF($P151:$S151,"&gt;"&amp;INDEX($F151:$J151,AI151)),"")</f>
        <v>1</v>
      </c>
      <c r="AM151" s="0" t="n">
        <f aca="false">AVERAGE($P151:$S151)/MAX($P151:$S151)</f>
        <v>0.82972972972973</v>
      </c>
      <c r="AN151" s="0" t="n">
        <f aca="false">100-INDEX($F151:$J151,$E151)</f>
        <v>76.6</v>
      </c>
    </row>
    <row r="152" customFormat="false" ht="15" hidden="false" customHeight="false" outlineLevel="0" collapsed="false">
      <c r="A152" s="0" t="s">
        <v>40</v>
      </c>
      <c r="B152" s="0" t="n">
        <v>2020</v>
      </c>
      <c r="C152" s="0" t="s">
        <v>48</v>
      </c>
      <c r="D152" s="0" t="s">
        <v>45</v>
      </c>
      <c r="E152" s="0" t="n">
        <v>5</v>
      </c>
      <c r="F152" s="0" t="n">
        <v>16.9</v>
      </c>
      <c r="G152" s="0" t="n">
        <v>12.3</v>
      </c>
      <c r="H152" s="0" t="n">
        <v>11.4</v>
      </c>
      <c r="I152" s="0" t="n">
        <v>14.4</v>
      </c>
      <c r="J152" s="0" t="n">
        <v>29.6</v>
      </c>
      <c r="K152" s="0" t="n">
        <v>9.47292253389</v>
      </c>
      <c r="L152" s="0" t="n">
        <v>9.67666278019</v>
      </c>
      <c r="M152" s="0" t="n">
        <v>5.79058693188</v>
      </c>
      <c r="N152" s="0" t="n">
        <v>19.6561598024</v>
      </c>
      <c r="O152" s="0" t="n">
        <v>55.4036679517</v>
      </c>
      <c r="P152" s="0" t="n">
        <f aca="false">INDEX($F152:$J152,IF(1&lt;$E152,1,1+1))</f>
        <v>16.9</v>
      </c>
      <c r="Q152" s="0" t="n">
        <f aca="false">INDEX($F152:$J152,IF(2&lt;$E152,2,2+1))</f>
        <v>12.3</v>
      </c>
      <c r="R152" s="0" t="n">
        <f aca="false">INDEX($F152:$J152,IF(3&lt;$E152,3,3+1))</f>
        <v>11.4</v>
      </c>
      <c r="S152" s="0" t="n">
        <f aca="false">INDEX($F152:$J152,IF(4&lt;$E152,4,4+1))</f>
        <v>14.4</v>
      </c>
      <c r="T152" s="0" t="n">
        <f aca="false">INDEX($K152:$O152,IF(1&lt;$E152,1,1+1))</f>
        <v>9.47292253389</v>
      </c>
      <c r="U152" s="0" t="n">
        <f aca="false">INDEX($K152:$O152,IF(2&lt;$E152,2,2+1))</f>
        <v>9.67666278019</v>
      </c>
      <c r="V152" s="0" t="n">
        <f aca="false">INDEX($K152:$O152,IF(3&lt;$E152,3,3+1))</f>
        <v>5.79058693188</v>
      </c>
      <c r="W152" s="0" t="n">
        <f aca="false">INDEX($K152:$O152,IF(4&lt;$E152,4,4+1))</f>
        <v>19.6561598024</v>
      </c>
      <c r="X152" s="0" t="n">
        <f aca="false">1+COUNTIF($P152:$S152,"&gt;"&amp;$P152)+(COUNTIF($P152:$S152,$P152)-1)/2</f>
        <v>1</v>
      </c>
      <c r="Y152" s="0" t="n">
        <f aca="false">1+COUNTIF($P152:$S152,"&gt;"&amp;$Q152)+(COUNTIF($P152:$S152,$Q152)-1)/2</f>
        <v>3</v>
      </c>
      <c r="Z152" s="0" t="n">
        <f aca="false">1+COUNTIF($P152:$S152,"&gt;"&amp;$R152)+(COUNTIF($P152:$S152,$R152)-1)/2</f>
        <v>4</v>
      </c>
      <c r="AA152" s="0" t="n">
        <f aca="false">1+COUNTIF($P152:$S152,"&gt;"&amp;$S152)+(COUNTIF($P152:$S152,$S152)-1)/2</f>
        <v>2</v>
      </c>
      <c r="AB152" s="0" t="n">
        <f aca="false">1+COUNTIF($T152:$W152,"&gt;"&amp;$T152)+(COUNTIF($T152:$W152,$T152)-1)/2</f>
        <v>3</v>
      </c>
      <c r="AC152" s="0" t="n">
        <f aca="false">1+COUNTIF($T152:$W152,"&gt;"&amp;$U152)+(COUNTIF($T152:$W152,$U152)-1)/2</f>
        <v>2</v>
      </c>
      <c r="AD152" s="0" t="n">
        <f aca="false">1+COUNTIF($T152:$W152,"&gt;"&amp;$V152)+(COUNTIF($T152:$W152,$V152)-1)/2</f>
        <v>4</v>
      </c>
      <c r="AE152" s="0" t="n">
        <f aca="false">1+COUNTIF($T152:$W152,"&gt;"&amp;$W152)+(COUNTIF($T152:$W152,$W152)-1)/2</f>
        <v>1</v>
      </c>
      <c r="AF152" s="0" t="n">
        <f aca="false">IFERROR(CORREL($P152:$S152,$T152:$W152),"")</f>
        <v>0.34306553384097</v>
      </c>
      <c r="AG152" s="0" t="n">
        <f aca="false">IFERROR(CORREL($X152:$AA152,$AB152:$AE152),"")</f>
        <v>0.4</v>
      </c>
      <c r="AH152" s="0" t="n">
        <f aca="false">IFERROR((SIGN($P152-$Q152)*SIGN($T152-$U152)+SIGN($P152-$R152)*SIGN($T152-$V152)+SIGN($P152-$S152)*SIGN($T152-$W152)+SIGN($Q152-$R152)*SIGN($U152-$V152)+SIGN($Q152-$S152)*SIGN($U152-$W152)+SIGN($R152-$S152)*SIGN($V152-$W152))/SQRT((6-(($P152=$Q152)*1+($P152=$R152)*1+($P152=$S152)*1+($Q152=$R152)*1+($Q152=$S152)*1+($R152=$S152)*1))*(6-(($T152=$U152)*1+($T152=$V152)*1+($T152=$W152)*1+($U152=$V152)*1+($U152=$W152)*1+($V152=$W152)*1))),"")</f>
        <v>0.333333333333333</v>
      </c>
      <c r="AI152" s="0" t="n">
        <f aca="false">MATCH(MAX($K152:$O152),$K152:$O152,0)</f>
        <v>5</v>
      </c>
      <c r="AJ152" s="0" t="n">
        <f aca="false">IF(AI152&lt;&gt;$E152,1,0)</f>
        <v>0</v>
      </c>
      <c r="AK152" s="0" t="str">
        <f aca="false">IF(AJ152=1,INDEX($F152:$J152,AI152)/MAX($P152:$S152),"")</f>
        <v/>
      </c>
      <c r="AL152" s="0" t="str">
        <f aca="false">IF(AJ152=1,1+COUNTIF($P152:$S152,"&gt;"&amp;INDEX($F152:$J152,AI152)),"")</f>
        <v/>
      </c>
      <c r="AM152" s="0" t="n">
        <f aca="false">AVERAGE($P152:$S152)/MAX($P152:$S152)</f>
        <v>0.813609467455621</v>
      </c>
      <c r="AN152" s="0" t="n">
        <f aca="false">100-INDEX($F152:$J152,$E152)</f>
        <v>70.4</v>
      </c>
    </row>
    <row r="153" customFormat="false" ht="15" hidden="false" customHeight="false" outlineLevel="0" collapsed="false">
      <c r="A153" s="0" t="s">
        <v>40</v>
      </c>
      <c r="B153" s="0" t="n">
        <v>2020</v>
      </c>
      <c r="C153" s="0" t="s">
        <v>49</v>
      </c>
      <c r="D153" s="0" t="s">
        <v>42</v>
      </c>
      <c r="E153" s="0" t="n">
        <v>5</v>
      </c>
      <c r="F153" s="0" t="n">
        <v>23.9</v>
      </c>
      <c r="G153" s="0" t="n">
        <v>24.3</v>
      </c>
      <c r="H153" s="0" t="n">
        <v>11</v>
      </c>
      <c r="I153" s="0" t="n">
        <v>10.5</v>
      </c>
      <c r="J153" s="0" t="n">
        <v>30.3</v>
      </c>
      <c r="K153" s="0" t="n">
        <v>50.6133266</v>
      </c>
      <c r="L153" s="0" t="n">
        <v>32.3870552667</v>
      </c>
      <c r="M153" s="0" t="n">
        <v>2.89275751494</v>
      </c>
      <c r="N153" s="0" t="n">
        <v>11.5726342563</v>
      </c>
      <c r="O153" s="0" t="n">
        <v>2.53422636209</v>
      </c>
      <c r="P153" s="0" t="n">
        <f aca="false">INDEX($F153:$J153,IF(1&lt;$E153,1,1+1))</f>
        <v>23.9</v>
      </c>
      <c r="Q153" s="0" t="n">
        <f aca="false">INDEX($F153:$J153,IF(2&lt;$E153,2,2+1))</f>
        <v>24.3</v>
      </c>
      <c r="R153" s="0" t="n">
        <f aca="false">INDEX($F153:$J153,IF(3&lt;$E153,3,3+1))</f>
        <v>11</v>
      </c>
      <c r="S153" s="0" t="n">
        <f aca="false">INDEX($F153:$J153,IF(4&lt;$E153,4,4+1))</f>
        <v>10.5</v>
      </c>
      <c r="T153" s="0" t="n">
        <f aca="false">INDEX($K153:$O153,IF(1&lt;$E153,1,1+1))</f>
        <v>50.6133266</v>
      </c>
      <c r="U153" s="0" t="n">
        <f aca="false">INDEX($K153:$O153,IF(2&lt;$E153,2,2+1))</f>
        <v>32.3870552667</v>
      </c>
      <c r="V153" s="0" t="n">
        <f aca="false">INDEX($K153:$O153,IF(3&lt;$E153,3,3+1))</f>
        <v>2.89275751494</v>
      </c>
      <c r="W153" s="0" t="n">
        <f aca="false">INDEX($K153:$O153,IF(4&lt;$E153,4,4+1))</f>
        <v>11.5726342563</v>
      </c>
      <c r="X153" s="0" t="n">
        <f aca="false">1+COUNTIF($P153:$S153,"&gt;"&amp;$P153)+(COUNTIF($P153:$S153,$P153)-1)/2</f>
        <v>2</v>
      </c>
      <c r="Y153" s="0" t="n">
        <f aca="false">1+COUNTIF($P153:$S153,"&gt;"&amp;$Q153)+(COUNTIF($P153:$S153,$Q153)-1)/2</f>
        <v>1</v>
      </c>
      <c r="Z153" s="0" t="n">
        <f aca="false">1+COUNTIF($P153:$S153,"&gt;"&amp;$R153)+(COUNTIF($P153:$S153,$R153)-1)/2</f>
        <v>3</v>
      </c>
      <c r="AA153" s="0" t="n">
        <f aca="false">1+COUNTIF($P153:$S153,"&gt;"&amp;$S153)+(COUNTIF($P153:$S153,$S153)-1)/2</f>
        <v>4</v>
      </c>
      <c r="AB153" s="0" t="n">
        <f aca="false">1+COUNTIF($T153:$W153,"&gt;"&amp;$T153)+(COUNTIF($T153:$W153,$T153)-1)/2</f>
        <v>1</v>
      </c>
      <c r="AC153" s="0" t="n">
        <f aca="false">1+COUNTIF($T153:$W153,"&gt;"&amp;$U153)+(COUNTIF($T153:$W153,$U153)-1)/2</f>
        <v>2</v>
      </c>
      <c r="AD153" s="0" t="n">
        <f aca="false">1+COUNTIF($T153:$W153,"&gt;"&amp;$V153)+(COUNTIF($T153:$W153,$V153)-1)/2</f>
        <v>4</v>
      </c>
      <c r="AE153" s="0" t="n">
        <f aca="false">1+COUNTIF($T153:$W153,"&gt;"&amp;$W153)+(COUNTIF($T153:$W153,$W153)-1)/2</f>
        <v>3</v>
      </c>
      <c r="AF153" s="0" t="n">
        <f aca="false">IFERROR(CORREL($P153:$S153,$T153:$W153),"")</f>
        <v>0.910851171087373</v>
      </c>
      <c r="AG153" s="0" t="n">
        <f aca="false">IFERROR(CORREL($X153:$AA153,$AB153:$AE153),"")</f>
        <v>0.6</v>
      </c>
      <c r="AH153" s="0" t="n">
        <f aca="false">IFERROR((SIGN($P153-$Q153)*SIGN($T153-$U153)+SIGN($P153-$R153)*SIGN($T153-$V153)+SIGN($P153-$S153)*SIGN($T153-$W153)+SIGN($Q153-$R153)*SIGN($U153-$V153)+SIGN($Q153-$S153)*SIGN($U153-$W153)+SIGN($R153-$S153)*SIGN($V153-$W153))/SQRT((6-(($P153=$Q153)*1+($P153=$R153)*1+($P153=$S153)*1+($Q153=$R153)*1+($Q153=$S153)*1+($R153=$S153)*1))*(6-(($T153=$U153)*1+($T153=$V153)*1+($T153=$W153)*1+($U153=$V153)*1+($U153=$W153)*1+($V153=$W153)*1))),"")</f>
        <v>0.333333333333333</v>
      </c>
      <c r="AI153" s="0" t="n">
        <f aca="false">MATCH(MAX($K153:$O153),$K153:$O153,0)</f>
        <v>1</v>
      </c>
      <c r="AJ153" s="0" t="n">
        <f aca="false">IF(AI153&lt;&gt;$E153,1,0)</f>
        <v>1</v>
      </c>
      <c r="AK153" s="0" t="n">
        <f aca="false">IF(AJ153=1,INDEX($F153:$J153,AI153)/MAX($P153:$S153),"")</f>
        <v>0.983539094650206</v>
      </c>
      <c r="AL153" s="0" t="n">
        <f aca="false">IF(AJ153=1,1+COUNTIF($P153:$S153,"&gt;"&amp;INDEX($F153:$J153,AI153)),"")</f>
        <v>2</v>
      </c>
      <c r="AM153" s="0" t="n">
        <f aca="false">AVERAGE($P153:$S153)/MAX($P153:$S153)</f>
        <v>0.717078189300412</v>
      </c>
      <c r="AN153" s="0" t="n">
        <f aca="false">100-INDEX($F153:$J153,$E153)</f>
        <v>69.7</v>
      </c>
    </row>
    <row r="154" customFormat="false" ht="15" hidden="false" customHeight="false" outlineLevel="0" collapsed="false">
      <c r="A154" s="0" t="s">
        <v>40</v>
      </c>
      <c r="B154" s="0" t="n">
        <v>2020</v>
      </c>
      <c r="C154" s="0" t="s">
        <v>49</v>
      </c>
      <c r="D154" s="0" t="s">
        <v>43</v>
      </c>
      <c r="E154" s="0" t="n">
        <v>2</v>
      </c>
      <c r="F154" s="0" t="n">
        <v>16.1</v>
      </c>
      <c r="G154" s="0" t="n">
        <v>29.1</v>
      </c>
      <c r="H154" s="0" t="n">
        <v>23.2</v>
      </c>
      <c r="I154" s="0" t="n">
        <v>22.1</v>
      </c>
      <c r="J154" s="0" t="n">
        <v>9.5</v>
      </c>
      <c r="K154" s="0" t="n">
        <v>3.52681290301</v>
      </c>
      <c r="L154" s="0" t="n">
        <v>18.9216375205</v>
      </c>
      <c r="M154" s="0" t="n">
        <v>47.6784372027</v>
      </c>
      <c r="N154" s="0" t="n">
        <v>18.4208157086</v>
      </c>
      <c r="O154" s="0" t="n">
        <v>11.4522966651</v>
      </c>
      <c r="P154" s="0" t="n">
        <f aca="false">INDEX($F154:$J154,IF(1&lt;$E154,1,1+1))</f>
        <v>16.1</v>
      </c>
      <c r="Q154" s="0" t="n">
        <f aca="false">INDEX($F154:$J154,IF(2&lt;$E154,2,2+1))</f>
        <v>23.2</v>
      </c>
      <c r="R154" s="0" t="n">
        <f aca="false">INDEX($F154:$J154,IF(3&lt;$E154,3,3+1))</f>
        <v>22.1</v>
      </c>
      <c r="S154" s="0" t="n">
        <f aca="false">INDEX($F154:$J154,IF(4&lt;$E154,4,4+1))</f>
        <v>9.5</v>
      </c>
      <c r="T154" s="0" t="n">
        <f aca="false">INDEX($K154:$O154,IF(1&lt;$E154,1,1+1))</f>
        <v>3.52681290301</v>
      </c>
      <c r="U154" s="0" t="n">
        <f aca="false">INDEX($K154:$O154,IF(2&lt;$E154,2,2+1))</f>
        <v>47.6784372027</v>
      </c>
      <c r="V154" s="0" t="n">
        <f aca="false">INDEX($K154:$O154,IF(3&lt;$E154,3,3+1))</f>
        <v>18.4208157086</v>
      </c>
      <c r="W154" s="0" t="n">
        <f aca="false">INDEX($K154:$O154,IF(4&lt;$E154,4,4+1))</f>
        <v>11.4522966651</v>
      </c>
      <c r="X154" s="0" t="n">
        <f aca="false">1+COUNTIF($P154:$S154,"&gt;"&amp;$P154)+(COUNTIF($P154:$S154,$P154)-1)/2</f>
        <v>3</v>
      </c>
      <c r="Y154" s="0" t="n">
        <f aca="false">1+COUNTIF($P154:$S154,"&gt;"&amp;$Q154)+(COUNTIF($P154:$S154,$Q154)-1)/2</f>
        <v>1</v>
      </c>
      <c r="Z154" s="0" t="n">
        <f aca="false">1+COUNTIF($P154:$S154,"&gt;"&amp;$R154)+(COUNTIF($P154:$S154,$R154)-1)/2</f>
        <v>2</v>
      </c>
      <c r="AA154" s="0" t="n">
        <f aca="false">1+COUNTIF($P154:$S154,"&gt;"&amp;$S154)+(COUNTIF($P154:$S154,$S154)-1)/2</f>
        <v>4</v>
      </c>
      <c r="AB154" s="0" t="n">
        <f aca="false">1+COUNTIF($T154:$W154,"&gt;"&amp;$T154)+(COUNTIF($T154:$W154,$T154)-1)/2</f>
        <v>4</v>
      </c>
      <c r="AC154" s="0" t="n">
        <f aca="false">1+COUNTIF($T154:$W154,"&gt;"&amp;$U154)+(COUNTIF($T154:$W154,$U154)-1)/2</f>
        <v>1</v>
      </c>
      <c r="AD154" s="0" t="n">
        <f aca="false">1+COUNTIF($T154:$W154,"&gt;"&amp;$V154)+(COUNTIF($T154:$W154,$V154)-1)/2</f>
        <v>2</v>
      </c>
      <c r="AE154" s="0" t="n">
        <f aca="false">1+COUNTIF($T154:$W154,"&gt;"&amp;$W154)+(COUNTIF($T154:$W154,$W154)-1)/2</f>
        <v>3</v>
      </c>
      <c r="AF154" s="0" t="n">
        <f aca="false">IFERROR(CORREL($P154:$S154,$T154:$W154),"")</f>
        <v>0.66309239195716</v>
      </c>
      <c r="AG154" s="0" t="n">
        <f aca="false">IFERROR(CORREL($X154:$AA154,$AB154:$AE154),"")</f>
        <v>0.8</v>
      </c>
      <c r="AH154" s="0" t="n">
        <f aca="false">IFERROR((SIGN($P154-$Q154)*SIGN($T154-$U154)+SIGN($P154-$R154)*SIGN($T154-$V154)+SIGN($P154-$S154)*SIGN($T154-$W154)+SIGN($Q154-$R154)*SIGN($U154-$V154)+SIGN($Q154-$S154)*SIGN($U154-$W154)+SIGN($R154-$S154)*SIGN($V154-$W154))/SQRT((6-(($P154=$Q154)*1+($P154=$R154)*1+($P154=$S154)*1+($Q154=$R154)*1+($Q154=$S154)*1+($R154=$S154)*1))*(6-(($T154=$U154)*1+($T154=$V154)*1+($T154=$W154)*1+($U154=$V154)*1+($U154=$W154)*1+($V154=$W154)*1))),"")</f>
        <v>0.666666666666667</v>
      </c>
      <c r="AI154" s="0" t="n">
        <f aca="false">MATCH(MAX($K154:$O154),$K154:$O154,0)</f>
        <v>3</v>
      </c>
      <c r="AJ154" s="0" t="n">
        <f aca="false">IF(AI154&lt;&gt;$E154,1,0)</f>
        <v>1</v>
      </c>
      <c r="AK154" s="0" t="n">
        <f aca="false">IF(AJ154=1,INDEX($F154:$J154,AI154)/MAX($P154:$S154),"")</f>
        <v>1</v>
      </c>
      <c r="AL154" s="0" t="n">
        <f aca="false">IF(AJ154=1,1+COUNTIF($P154:$S154,"&gt;"&amp;INDEX($F154:$J154,AI154)),"")</f>
        <v>1</v>
      </c>
      <c r="AM154" s="0" t="n">
        <f aca="false">AVERAGE($P154:$S154)/MAX($P154:$S154)</f>
        <v>0.764008620689655</v>
      </c>
      <c r="AN154" s="0" t="n">
        <f aca="false">100-INDEX($F154:$J154,$E154)</f>
        <v>70.9</v>
      </c>
    </row>
    <row r="155" customFormat="false" ht="15" hidden="false" customHeight="false" outlineLevel="0" collapsed="false">
      <c r="A155" s="0" t="s">
        <v>40</v>
      </c>
      <c r="B155" s="0" t="n">
        <v>2020</v>
      </c>
      <c r="C155" s="0" t="s">
        <v>49</v>
      </c>
      <c r="D155" s="0" t="s">
        <v>44</v>
      </c>
      <c r="E155" s="0" t="n">
        <v>1</v>
      </c>
      <c r="F155" s="0" t="n">
        <v>41.1</v>
      </c>
      <c r="G155" s="0" t="n">
        <v>16.1</v>
      </c>
      <c r="H155" s="0" t="n">
        <v>11.7</v>
      </c>
      <c r="I155" s="0" t="n">
        <v>20.4</v>
      </c>
      <c r="J155" s="0" t="n">
        <v>10.8</v>
      </c>
      <c r="K155" s="0" t="n">
        <v>54.1707043016</v>
      </c>
      <c r="L155" s="0" t="n">
        <v>9.79972281399</v>
      </c>
      <c r="M155" s="0" t="n">
        <v>3.34253100585</v>
      </c>
      <c r="N155" s="0" t="n">
        <v>30.814574035</v>
      </c>
      <c r="O155" s="0" t="n">
        <v>1.87246784353</v>
      </c>
      <c r="P155" s="0" t="n">
        <f aca="false">INDEX($F155:$J155,IF(1&lt;$E155,1,1+1))</f>
        <v>16.1</v>
      </c>
      <c r="Q155" s="0" t="n">
        <f aca="false">INDEX($F155:$J155,IF(2&lt;$E155,2,2+1))</f>
        <v>11.7</v>
      </c>
      <c r="R155" s="0" t="n">
        <f aca="false">INDEX($F155:$J155,IF(3&lt;$E155,3,3+1))</f>
        <v>20.4</v>
      </c>
      <c r="S155" s="0" t="n">
        <f aca="false">INDEX($F155:$J155,IF(4&lt;$E155,4,4+1))</f>
        <v>10.8</v>
      </c>
      <c r="T155" s="0" t="n">
        <f aca="false">INDEX($K155:$O155,IF(1&lt;$E155,1,1+1))</f>
        <v>9.79972281399</v>
      </c>
      <c r="U155" s="0" t="n">
        <f aca="false">INDEX($K155:$O155,IF(2&lt;$E155,2,2+1))</f>
        <v>3.34253100585</v>
      </c>
      <c r="V155" s="0" t="n">
        <f aca="false">INDEX($K155:$O155,IF(3&lt;$E155,3,3+1))</f>
        <v>30.814574035</v>
      </c>
      <c r="W155" s="0" t="n">
        <f aca="false">INDEX($K155:$O155,IF(4&lt;$E155,4,4+1))</f>
        <v>1.87246784353</v>
      </c>
      <c r="X155" s="0" t="n">
        <f aca="false">1+COUNTIF($P155:$S155,"&gt;"&amp;$P155)+(COUNTIF($P155:$S155,$P155)-1)/2</f>
        <v>2</v>
      </c>
      <c r="Y155" s="0" t="n">
        <f aca="false">1+COUNTIF($P155:$S155,"&gt;"&amp;$Q155)+(COUNTIF($P155:$S155,$Q155)-1)/2</f>
        <v>3</v>
      </c>
      <c r="Z155" s="0" t="n">
        <f aca="false">1+COUNTIF($P155:$S155,"&gt;"&amp;$R155)+(COUNTIF($P155:$S155,$R155)-1)/2</f>
        <v>1</v>
      </c>
      <c r="AA155" s="0" t="n">
        <f aca="false">1+COUNTIF($P155:$S155,"&gt;"&amp;$S155)+(COUNTIF($P155:$S155,$S155)-1)/2</f>
        <v>4</v>
      </c>
      <c r="AB155" s="0" t="n">
        <f aca="false">1+COUNTIF($T155:$W155,"&gt;"&amp;$T155)+(COUNTIF($T155:$W155,$T155)-1)/2</f>
        <v>2</v>
      </c>
      <c r="AC155" s="0" t="n">
        <f aca="false">1+COUNTIF($T155:$W155,"&gt;"&amp;$U155)+(COUNTIF($T155:$W155,$U155)-1)/2</f>
        <v>3</v>
      </c>
      <c r="AD155" s="0" t="n">
        <f aca="false">1+COUNTIF($T155:$W155,"&gt;"&amp;$V155)+(COUNTIF($T155:$W155,$V155)-1)/2</f>
        <v>1</v>
      </c>
      <c r="AE155" s="0" t="n">
        <f aca="false">1+COUNTIF($T155:$W155,"&gt;"&amp;$W155)+(COUNTIF($T155:$W155,$W155)-1)/2</f>
        <v>4</v>
      </c>
      <c r="AF155" s="0" t="n">
        <f aca="false">IFERROR(CORREL($P155:$S155,$T155:$W155),"")</f>
        <v>0.958091153303594</v>
      </c>
      <c r="AG155" s="0" t="n">
        <f aca="false">IFERROR(CORREL($X155:$AA155,$AB155:$AE155),"")</f>
        <v>1</v>
      </c>
      <c r="AH155" s="0" t="n">
        <f aca="false">IFERROR((SIGN($P155-$Q155)*SIGN($T155-$U155)+SIGN($P155-$R155)*SIGN($T155-$V155)+SIGN($P155-$S155)*SIGN($T155-$W155)+SIGN($Q155-$R155)*SIGN($U155-$V155)+SIGN($Q155-$S155)*SIGN($U155-$W155)+SIGN($R155-$S155)*SIGN($V155-$W155))/SQRT((6-(($P155=$Q155)*1+($P155=$R155)*1+($P155=$S155)*1+($Q155=$R155)*1+($Q155=$S155)*1+($R155=$S155)*1))*(6-(($T155=$U155)*1+($T155=$V155)*1+($T155=$W155)*1+($U155=$V155)*1+($U155=$W155)*1+($V155=$W155)*1))),"")</f>
        <v>1</v>
      </c>
      <c r="AI155" s="0" t="n">
        <f aca="false">MATCH(MAX($K155:$O155),$K155:$O155,0)</f>
        <v>1</v>
      </c>
      <c r="AJ155" s="0" t="n">
        <f aca="false">IF(AI155&lt;&gt;$E155,1,0)</f>
        <v>0</v>
      </c>
      <c r="AK155" s="0" t="str">
        <f aca="false">IF(AJ155=1,INDEX($F155:$J155,AI155)/MAX($P155:$S155),"")</f>
        <v/>
      </c>
      <c r="AL155" s="0" t="str">
        <f aca="false">IF(AJ155=1,1+COUNTIF($P155:$S155,"&gt;"&amp;INDEX($F155:$J155,AI155)),"")</f>
        <v/>
      </c>
      <c r="AM155" s="0" t="n">
        <f aca="false">AVERAGE($P155:$S155)/MAX($P155:$S155)</f>
        <v>0.723039215686275</v>
      </c>
      <c r="AN155" s="0" t="n">
        <f aca="false">100-INDEX($F155:$J155,$E155)</f>
        <v>58.9</v>
      </c>
    </row>
    <row r="156" customFormat="false" ht="15" hidden="false" customHeight="false" outlineLevel="0" collapsed="false">
      <c r="A156" s="0" t="s">
        <v>40</v>
      </c>
      <c r="B156" s="0" t="n">
        <v>2020</v>
      </c>
      <c r="C156" s="0" t="s">
        <v>49</v>
      </c>
      <c r="D156" s="0" t="s">
        <v>45</v>
      </c>
      <c r="E156" s="0" t="n">
        <v>4</v>
      </c>
      <c r="F156" s="0" t="n">
        <v>15.6</v>
      </c>
      <c r="G156" s="0" t="n">
        <v>18.6</v>
      </c>
      <c r="H156" s="0" t="n">
        <v>16.5</v>
      </c>
      <c r="I156" s="0" t="n">
        <v>30</v>
      </c>
      <c r="J156" s="0" t="n">
        <v>19.4</v>
      </c>
      <c r="K156" s="0" t="n">
        <v>17.5625801988</v>
      </c>
      <c r="L156" s="0" t="n">
        <v>55.7126451042</v>
      </c>
      <c r="M156" s="0" t="n">
        <v>8.34454223424</v>
      </c>
      <c r="N156" s="0" t="n">
        <v>13.8770875395</v>
      </c>
      <c r="O156" s="0" t="n">
        <v>4.50314492335</v>
      </c>
      <c r="P156" s="0" t="n">
        <f aca="false">INDEX($F156:$J156,IF(1&lt;$E156,1,1+1))</f>
        <v>15.6</v>
      </c>
      <c r="Q156" s="0" t="n">
        <f aca="false">INDEX($F156:$J156,IF(2&lt;$E156,2,2+1))</f>
        <v>18.6</v>
      </c>
      <c r="R156" s="0" t="n">
        <f aca="false">INDEX($F156:$J156,IF(3&lt;$E156,3,3+1))</f>
        <v>16.5</v>
      </c>
      <c r="S156" s="0" t="n">
        <f aca="false">INDEX($F156:$J156,IF(4&lt;$E156,4,4+1))</f>
        <v>19.4</v>
      </c>
      <c r="T156" s="0" t="n">
        <f aca="false">INDEX($K156:$O156,IF(1&lt;$E156,1,1+1))</f>
        <v>17.5625801988</v>
      </c>
      <c r="U156" s="0" t="n">
        <f aca="false">INDEX($K156:$O156,IF(2&lt;$E156,2,2+1))</f>
        <v>55.7126451042</v>
      </c>
      <c r="V156" s="0" t="n">
        <f aca="false">INDEX($K156:$O156,IF(3&lt;$E156,3,3+1))</f>
        <v>8.34454223424</v>
      </c>
      <c r="W156" s="0" t="n">
        <f aca="false">INDEX($K156:$O156,IF(4&lt;$E156,4,4+1))</f>
        <v>4.50314492335</v>
      </c>
      <c r="X156" s="0" t="n">
        <f aca="false">1+COUNTIF($P156:$S156,"&gt;"&amp;$P156)+(COUNTIF($P156:$S156,$P156)-1)/2</f>
        <v>4</v>
      </c>
      <c r="Y156" s="0" t="n">
        <f aca="false">1+COUNTIF($P156:$S156,"&gt;"&amp;$Q156)+(COUNTIF($P156:$S156,$Q156)-1)/2</f>
        <v>2</v>
      </c>
      <c r="Z156" s="0" t="n">
        <f aca="false">1+COUNTIF($P156:$S156,"&gt;"&amp;$R156)+(COUNTIF($P156:$S156,$R156)-1)/2</f>
        <v>3</v>
      </c>
      <c r="AA156" s="0" t="n">
        <f aca="false">1+COUNTIF($P156:$S156,"&gt;"&amp;$S156)+(COUNTIF($P156:$S156,$S156)-1)/2</f>
        <v>1</v>
      </c>
      <c r="AB156" s="0" t="n">
        <f aca="false">1+COUNTIF($T156:$W156,"&gt;"&amp;$T156)+(COUNTIF($T156:$W156,$T156)-1)/2</f>
        <v>2</v>
      </c>
      <c r="AC156" s="0" t="n">
        <f aca="false">1+COUNTIF($T156:$W156,"&gt;"&amp;$U156)+(COUNTIF($T156:$W156,$U156)-1)/2</f>
        <v>1</v>
      </c>
      <c r="AD156" s="0" t="n">
        <f aca="false">1+COUNTIF($T156:$W156,"&gt;"&amp;$V156)+(COUNTIF($T156:$W156,$V156)-1)/2</f>
        <v>3</v>
      </c>
      <c r="AE156" s="0" t="n">
        <f aca="false">1+COUNTIF($T156:$W156,"&gt;"&amp;$W156)+(COUNTIF($T156:$W156,$W156)-1)/2</f>
        <v>4</v>
      </c>
      <c r="AF156" s="0" t="n">
        <f aca="false">IFERROR(CORREL($P156:$S156,$T156:$W156),"")</f>
        <v>0.208380063264105</v>
      </c>
      <c r="AG156" s="0" t="n">
        <f aca="false">IFERROR(CORREL($X156:$AA156,$AB156:$AE156),"")</f>
        <v>-0.4</v>
      </c>
      <c r="AH156" s="0" t="n">
        <f aca="false">IFERROR((SIGN($P156-$Q156)*SIGN($T156-$U156)+SIGN($P156-$R156)*SIGN($T156-$V156)+SIGN($P156-$S156)*SIGN($T156-$W156)+SIGN($Q156-$R156)*SIGN($U156-$V156)+SIGN($Q156-$S156)*SIGN($U156-$W156)+SIGN($R156-$S156)*SIGN($V156-$W156))/SQRT((6-(($P156=$Q156)*1+($P156=$R156)*1+($P156=$S156)*1+($Q156=$R156)*1+($Q156=$S156)*1+($R156=$S156)*1))*(6-(($T156=$U156)*1+($T156=$V156)*1+($T156=$W156)*1+($U156=$V156)*1+($U156=$W156)*1+($V156=$W156)*1))),"")</f>
        <v>-0.333333333333333</v>
      </c>
      <c r="AI156" s="0" t="n">
        <f aca="false">MATCH(MAX($K156:$O156),$K156:$O156,0)</f>
        <v>2</v>
      </c>
      <c r="AJ156" s="0" t="n">
        <f aca="false">IF(AI156&lt;&gt;$E156,1,0)</f>
        <v>1</v>
      </c>
      <c r="AK156" s="0" t="n">
        <f aca="false">IF(AJ156=1,INDEX($F156:$J156,AI156)/MAX($P156:$S156),"")</f>
        <v>0.958762886597938</v>
      </c>
      <c r="AL156" s="0" t="n">
        <f aca="false">IF(AJ156=1,1+COUNTIF($P156:$S156,"&gt;"&amp;INDEX($F156:$J156,AI156)),"")</f>
        <v>2</v>
      </c>
      <c r="AM156" s="0" t="n">
        <f aca="false">AVERAGE($P156:$S156)/MAX($P156:$S156)</f>
        <v>0.903350515463918</v>
      </c>
      <c r="AN156" s="0" t="n">
        <f aca="false">100-INDEX($F156:$J156,$E156)</f>
        <v>70</v>
      </c>
    </row>
    <row r="157" customFormat="false" ht="15" hidden="false" customHeight="false" outlineLevel="0" collapsed="false">
      <c r="A157" s="0" t="s">
        <v>40</v>
      </c>
      <c r="B157" s="0" t="n">
        <v>2020</v>
      </c>
      <c r="C157" s="0" t="s">
        <v>50</v>
      </c>
      <c r="D157" s="0" t="s">
        <v>42</v>
      </c>
      <c r="E157" s="0" t="n">
        <v>1</v>
      </c>
      <c r="F157" s="0" t="n">
        <v>30.5</v>
      </c>
      <c r="G157" s="0" t="n">
        <v>14.2</v>
      </c>
      <c r="H157" s="0" t="n">
        <v>32.1</v>
      </c>
      <c r="I157" s="0" t="n">
        <v>11.3</v>
      </c>
      <c r="J157" s="0" t="n">
        <v>11.6</v>
      </c>
      <c r="K157" s="0" t="n">
        <v>49.7868206842</v>
      </c>
      <c r="L157" s="0" t="n">
        <v>25.3127436526</v>
      </c>
      <c r="M157" s="0" t="n">
        <v>18.7483533402</v>
      </c>
      <c r="N157" s="0" t="n">
        <v>2.22436259924</v>
      </c>
      <c r="O157" s="0" t="n">
        <v>3.92771972381</v>
      </c>
      <c r="P157" s="0" t="n">
        <f aca="false">INDEX($F157:$J157,IF(1&lt;$E157,1,1+1))</f>
        <v>14.2</v>
      </c>
      <c r="Q157" s="0" t="n">
        <f aca="false">INDEX($F157:$J157,IF(2&lt;$E157,2,2+1))</f>
        <v>32.1</v>
      </c>
      <c r="R157" s="0" t="n">
        <f aca="false">INDEX($F157:$J157,IF(3&lt;$E157,3,3+1))</f>
        <v>11.3</v>
      </c>
      <c r="S157" s="0" t="n">
        <f aca="false">INDEX($F157:$J157,IF(4&lt;$E157,4,4+1))</f>
        <v>11.6</v>
      </c>
      <c r="T157" s="0" t="n">
        <f aca="false">INDEX($K157:$O157,IF(1&lt;$E157,1,1+1))</f>
        <v>25.3127436526</v>
      </c>
      <c r="U157" s="0" t="n">
        <f aca="false">INDEX($K157:$O157,IF(2&lt;$E157,2,2+1))</f>
        <v>18.7483533402</v>
      </c>
      <c r="V157" s="0" t="n">
        <f aca="false">INDEX($K157:$O157,IF(3&lt;$E157,3,3+1))</f>
        <v>2.22436259924</v>
      </c>
      <c r="W157" s="0" t="n">
        <f aca="false">INDEX($K157:$O157,IF(4&lt;$E157,4,4+1))</f>
        <v>3.92771972381</v>
      </c>
      <c r="X157" s="0" t="n">
        <f aca="false">1+COUNTIF($P157:$S157,"&gt;"&amp;$P157)+(COUNTIF($P157:$S157,$P157)-1)/2</f>
        <v>2</v>
      </c>
      <c r="Y157" s="0" t="n">
        <f aca="false">1+COUNTIF($P157:$S157,"&gt;"&amp;$Q157)+(COUNTIF($P157:$S157,$Q157)-1)/2</f>
        <v>1</v>
      </c>
      <c r="Z157" s="0" t="n">
        <f aca="false">1+COUNTIF($P157:$S157,"&gt;"&amp;$R157)+(COUNTIF($P157:$S157,$R157)-1)/2</f>
        <v>4</v>
      </c>
      <c r="AA157" s="0" t="n">
        <f aca="false">1+COUNTIF($P157:$S157,"&gt;"&amp;$S157)+(COUNTIF($P157:$S157,$S157)-1)/2</f>
        <v>3</v>
      </c>
      <c r="AB157" s="0" t="n">
        <f aca="false">1+COUNTIF($T157:$W157,"&gt;"&amp;$T157)+(COUNTIF($T157:$W157,$T157)-1)/2</f>
        <v>1</v>
      </c>
      <c r="AC157" s="0" t="n">
        <f aca="false">1+COUNTIF($T157:$W157,"&gt;"&amp;$U157)+(COUNTIF($T157:$W157,$U157)-1)/2</f>
        <v>2</v>
      </c>
      <c r="AD157" s="0" t="n">
        <f aca="false">1+COUNTIF($T157:$W157,"&gt;"&amp;$V157)+(COUNTIF($T157:$W157,$V157)-1)/2</f>
        <v>4</v>
      </c>
      <c r="AE157" s="0" t="n">
        <f aca="false">1+COUNTIF($T157:$W157,"&gt;"&amp;$W157)+(COUNTIF($T157:$W157,$W157)-1)/2</f>
        <v>3</v>
      </c>
      <c r="AF157" s="0" t="n">
        <f aca="false">IFERROR(CORREL($P157:$S157,$T157:$W157),"")</f>
        <v>0.484446796394191</v>
      </c>
      <c r="AG157" s="0" t="n">
        <f aca="false">IFERROR(CORREL($X157:$AA157,$AB157:$AE157),"")</f>
        <v>0.8</v>
      </c>
      <c r="AH157" s="0" t="n">
        <f aca="false">IFERROR((SIGN($P157-$Q157)*SIGN($T157-$U157)+SIGN($P157-$R157)*SIGN($T157-$V157)+SIGN($P157-$S157)*SIGN($T157-$W157)+SIGN($Q157-$R157)*SIGN($U157-$V157)+SIGN($Q157-$S157)*SIGN($U157-$W157)+SIGN($R157-$S157)*SIGN($V157-$W157))/SQRT((6-(($P157=$Q157)*1+($P157=$R157)*1+($P157=$S157)*1+($Q157=$R157)*1+($Q157=$S157)*1+($R157=$S157)*1))*(6-(($T157=$U157)*1+($T157=$V157)*1+($T157=$W157)*1+($U157=$V157)*1+($U157=$W157)*1+($V157=$W157)*1))),"")</f>
        <v>0.666666666666667</v>
      </c>
      <c r="AI157" s="0" t="n">
        <f aca="false">MATCH(MAX($K157:$O157),$K157:$O157,0)</f>
        <v>1</v>
      </c>
      <c r="AJ157" s="0" t="n">
        <f aca="false">IF(AI157&lt;&gt;$E157,1,0)</f>
        <v>0</v>
      </c>
      <c r="AK157" s="0" t="str">
        <f aca="false">IF(AJ157=1,INDEX($F157:$J157,AI157)/MAX($P157:$S157),"")</f>
        <v/>
      </c>
      <c r="AL157" s="0" t="str">
        <f aca="false">IF(AJ157=1,1+COUNTIF($P157:$S157,"&gt;"&amp;INDEX($F157:$J157,AI157)),"")</f>
        <v/>
      </c>
      <c r="AM157" s="0" t="n">
        <f aca="false">AVERAGE($P157:$S157)/MAX($P157:$S157)</f>
        <v>0.538940809968847</v>
      </c>
      <c r="AN157" s="0" t="n">
        <f aca="false">100-INDEX($F157:$J157,$E157)</f>
        <v>69.5</v>
      </c>
    </row>
    <row r="158" customFormat="false" ht="15" hidden="false" customHeight="false" outlineLevel="0" collapsed="false">
      <c r="A158" s="0" t="s">
        <v>40</v>
      </c>
      <c r="B158" s="0" t="n">
        <v>2020</v>
      </c>
      <c r="C158" s="0" t="s">
        <v>50</v>
      </c>
      <c r="D158" s="0" t="s">
        <v>43</v>
      </c>
      <c r="E158" s="0" t="n">
        <v>3</v>
      </c>
      <c r="F158" s="0" t="n">
        <v>19.1</v>
      </c>
      <c r="G158" s="0" t="n">
        <v>14.3</v>
      </c>
      <c r="H158" s="0" t="n">
        <v>34.3</v>
      </c>
      <c r="I158" s="0" t="n">
        <v>19</v>
      </c>
      <c r="J158" s="0" t="n">
        <v>12.9</v>
      </c>
      <c r="K158" s="0" t="n">
        <v>14.0508171873</v>
      </c>
      <c r="L158" s="0" t="n">
        <v>14.2094827527</v>
      </c>
      <c r="M158" s="0" t="n">
        <v>40.2155663984</v>
      </c>
      <c r="N158" s="0" t="n">
        <v>8.3188386433</v>
      </c>
      <c r="O158" s="0" t="n">
        <v>23.2052950183</v>
      </c>
      <c r="P158" s="0" t="n">
        <f aca="false">INDEX($F158:$J158,IF(1&lt;$E158,1,1+1))</f>
        <v>19.1</v>
      </c>
      <c r="Q158" s="0" t="n">
        <f aca="false">INDEX($F158:$J158,IF(2&lt;$E158,2,2+1))</f>
        <v>14.3</v>
      </c>
      <c r="R158" s="0" t="n">
        <f aca="false">INDEX($F158:$J158,IF(3&lt;$E158,3,3+1))</f>
        <v>19</v>
      </c>
      <c r="S158" s="0" t="n">
        <f aca="false">INDEX($F158:$J158,IF(4&lt;$E158,4,4+1))</f>
        <v>12.9</v>
      </c>
      <c r="T158" s="0" t="n">
        <f aca="false">INDEX($K158:$O158,IF(1&lt;$E158,1,1+1))</f>
        <v>14.0508171873</v>
      </c>
      <c r="U158" s="0" t="n">
        <f aca="false">INDEX($K158:$O158,IF(2&lt;$E158,2,2+1))</f>
        <v>14.2094827527</v>
      </c>
      <c r="V158" s="0" t="n">
        <f aca="false">INDEX($K158:$O158,IF(3&lt;$E158,3,3+1))</f>
        <v>8.3188386433</v>
      </c>
      <c r="W158" s="0" t="n">
        <f aca="false">INDEX($K158:$O158,IF(4&lt;$E158,4,4+1))</f>
        <v>23.2052950183</v>
      </c>
      <c r="X158" s="0" t="n">
        <f aca="false">1+COUNTIF($P158:$S158,"&gt;"&amp;$P158)+(COUNTIF($P158:$S158,$P158)-1)/2</f>
        <v>1</v>
      </c>
      <c r="Y158" s="0" t="n">
        <f aca="false">1+COUNTIF($P158:$S158,"&gt;"&amp;$Q158)+(COUNTIF($P158:$S158,$Q158)-1)/2</f>
        <v>3</v>
      </c>
      <c r="Z158" s="0" t="n">
        <f aca="false">1+COUNTIF($P158:$S158,"&gt;"&amp;$R158)+(COUNTIF($P158:$S158,$R158)-1)/2</f>
        <v>2</v>
      </c>
      <c r="AA158" s="0" t="n">
        <f aca="false">1+COUNTIF($P158:$S158,"&gt;"&amp;$S158)+(COUNTIF($P158:$S158,$S158)-1)/2</f>
        <v>4</v>
      </c>
      <c r="AB158" s="0" t="n">
        <f aca="false">1+COUNTIF($T158:$W158,"&gt;"&amp;$T158)+(COUNTIF($T158:$W158,$T158)-1)/2</f>
        <v>3</v>
      </c>
      <c r="AC158" s="0" t="n">
        <f aca="false">1+COUNTIF($T158:$W158,"&gt;"&amp;$U158)+(COUNTIF($T158:$W158,$U158)-1)/2</f>
        <v>2</v>
      </c>
      <c r="AD158" s="0" t="n">
        <f aca="false">1+COUNTIF($T158:$W158,"&gt;"&amp;$V158)+(COUNTIF($T158:$W158,$V158)-1)/2</f>
        <v>4</v>
      </c>
      <c r="AE158" s="0" t="n">
        <f aca="false">1+COUNTIF($T158:$W158,"&gt;"&amp;$W158)+(COUNTIF($T158:$W158,$W158)-1)/2</f>
        <v>1</v>
      </c>
      <c r="AF158" s="0" t="n">
        <f aca="false">IFERROR(CORREL($P158:$S158,$T158:$W158),"")</f>
        <v>-0.796594224001177</v>
      </c>
      <c r="AG158" s="0" t="n">
        <f aca="false">IFERROR(CORREL($X158:$AA158,$AB158:$AE158),"")</f>
        <v>-0.8</v>
      </c>
      <c r="AH158" s="0" t="n">
        <f aca="false">IFERROR((SIGN($P158-$Q158)*SIGN($T158-$U158)+SIGN($P158-$R158)*SIGN($T158-$V158)+SIGN($P158-$S158)*SIGN($T158-$W158)+SIGN($Q158-$R158)*SIGN($U158-$V158)+SIGN($Q158-$S158)*SIGN($U158-$W158)+SIGN($R158-$S158)*SIGN($V158-$W158))/SQRT((6-(($P158=$Q158)*1+($P158=$R158)*1+($P158=$S158)*1+($Q158=$R158)*1+($Q158=$S158)*1+($R158=$S158)*1))*(6-(($T158=$U158)*1+($T158=$V158)*1+($T158=$W158)*1+($U158=$V158)*1+($U158=$W158)*1+($V158=$W158)*1))),"")</f>
        <v>-0.666666666666667</v>
      </c>
      <c r="AI158" s="0" t="n">
        <f aca="false">MATCH(MAX($K158:$O158),$K158:$O158,0)</f>
        <v>3</v>
      </c>
      <c r="AJ158" s="0" t="n">
        <f aca="false">IF(AI158&lt;&gt;$E158,1,0)</f>
        <v>0</v>
      </c>
      <c r="AK158" s="0" t="str">
        <f aca="false">IF(AJ158=1,INDEX($F158:$J158,AI158)/MAX($P158:$S158),"")</f>
        <v/>
      </c>
      <c r="AL158" s="0" t="str">
        <f aca="false">IF(AJ158=1,1+COUNTIF($P158:$S158,"&gt;"&amp;INDEX($F158:$J158,AI158)),"")</f>
        <v/>
      </c>
      <c r="AM158" s="0" t="n">
        <f aca="false">AVERAGE($P158:$S158)/MAX($P158:$S158)</f>
        <v>0.854712041884817</v>
      </c>
      <c r="AN158" s="0" t="n">
        <f aca="false">100-INDEX($F158:$J158,$E158)</f>
        <v>65.7</v>
      </c>
    </row>
    <row r="159" customFormat="false" ht="15" hidden="false" customHeight="false" outlineLevel="0" collapsed="false">
      <c r="A159" s="0" t="s">
        <v>40</v>
      </c>
      <c r="B159" s="0" t="n">
        <v>2020</v>
      </c>
      <c r="C159" s="0" t="s">
        <v>50</v>
      </c>
      <c r="D159" s="0" t="s">
        <v>44</v>
      </c>
      <c r="E159" s="0" t="n">
        <v>3</v>
      </c>
      <c r="F159" s="0" t="n">
        <v>13.1</v>
      </c>
      <c r="G159" s="0" t="n">
        <v>14</v>
      </c>
      <c r="H159" s="0" t="n">
        <v>38.9</v>
      </c>
      <c r="I159" s="0" t="n">
        <v>19.9</v>
      </c>
      <c r="J159" s="0" t="n">
        <v>13.7</v>
      </c>
      <c r="K159" s="0" t="n">
        <v>1.93199841091</v>
      </c>
      <c r="L159" s="0" t="n">
        <v>18.5377456783</v>
      </c>
      <c r="M159" s="0" t="n">
        <v>30.0750224151</v>
      </c>
      <c r="N159" s="0" t="n">
        <v>20.2492126481</v>
      </c>
      <c r="O159" s="0" t="n">
        <v>29.2060208476</v>
      </c>
      <c r="P159" s="0" t="n">
        <f aca="false">INDEX($F159:$J159,IF(1&lt;$E159,1,1+1))</f>
        <v>13.1</v>
      </c>
      <c r="Q159" s="0" t="n">
        <f aca="false">INDEX($F159:$J159,IF(2&lt;$E159,2,2+1))</f>
        <v>14</v>
      </c>
      <c r="R159" s="0" t="n">
        <f aca="false">INDEX($F159:$J159,IF(3&lt;$E159,3,3+1))</f>
        <v>19.9</v>
      </c>
      <c r="S159" s="0" t="n">
        <f aca="false">INDEX($F159:$J159,IF(4&lt;$E159,4,4+1))</f>
        <v>13.7</v>
      </c>
      <c r="T159" s="0" t="n">
        <f aca="false">INDEX($K159:$O159,IF(1&lt;$E159,1,1+1))</f>
        <v>1.93199841091</v>
      </c>
      <c r="U159" s="0" t="n">
        <f aca="false">INDEX($K159:$O159,IF(2&lt;$E159,2,2+1))</f>
        <v>18.5377456783</v>
      </c>
      <c r="V159" s="0" t="n">
        <f aca="false">INDEX($K159:$O159,IF(3&lt;$E159,3,3+1))</f>
        <v>20.2492126481</v>
      </c>
      <c r="W159" s="0" t="n">
        <f aca="false">INDEX($K159:$O159,IF(4&lt;$E159,4,4+1))</f>
        <v>29.2060208476</v>
      </c>
      <c r="X159" s="0" t="n">
        <f aca="false">1+COUNTIF($P159:$S159,"&gt;"&amp;$P159)+(COUNTIF($P159:$S159,$P159)-1)/2</f>
        <v>4</v>
      </c>
      <c r="Y159" s="0" t="n">
        <f aca="false">1+COUNTIF($P159:$S159,"&gt;"&amp;$Q159)+(COUNTIF($P159:$S159,$Q159)-1)/2</f>
        <v>2</v>
      </c>
      <c r="Z159" s="0" t="n">
        <f aca="false">1+COUNTIF($P159:$S159,"&gt;"&amp;$R159)+(COUNTIF($P159:$S159,$R159)-1)/2</f>
        <v>1</v>
      </c>
      <c r="AA159" s="0" t="n">
        <f aca="false">1+COUNTIF($P159:$S159,"&gt;"&amp;$S159)+(COUNTIF($P159:$S159,$S159)-1)/2</f>
        <v>3</v>
      </c>
      <c r="AB159" s="0" t="n">
        <f aca="false">1+COUNTIF($T159:$W159,"&gt;"&amp;$T159)+(COUNTIF($T159:$W159,$T159)-1)/2</f>
        <v>4</v>
      </c>
      <c r="AC159" s="0" t="n">
        <f aca="false">1+COUNTIF($T159:$W159,"&gt;"&amp;$U159)+(COUNTIF($T159:$W159,$U159)-1)/2</f>
        <v>3</v>
      </c>
      <c r="AD159" s="0" t="n">
        <f aca="false">1+COUNTIF($T159:$W159,"&gt;"&amp;$V159)+(COUNTIF($T159:$W159,$V159)-1)/2</f>
        <v>2</v>
      </c>
      <c r="AE159" s="0" t="n">
        <f aca="false">1+COUNTIF($T159:$W159,"&gt;"&amp;$W159)+(COUNTIF($T159:$W159,$W159)-1)/2</f>
        <v>1</v>
      </c>
      <c r="AF159" s="0" t="n">
        <f aca="false">IFERROR(CORREL($P159:$S159,$T159:$W159),"")</f>
        <v>0.24769549694942</v>
      </c>
      <c r="AG159" s="0" t="n">
        <f aca="false">IFERROR(CORREL($X159:$AA159,$AB159:$AE159),"")</f>
        <v>0.4</v>
      </c>
      <c r="AH159" s="0" t="n">
        <f aca="false">IFERROR((SIGN($P159-$Q159)*SIGN($T159-$U159)+SIGN($P159-$R159)*SIGN($T159-$V159)+SIGN($P159-$S159)*SIGN($T159-$W159)+SIGN($Q159-$R159)*SIGN($U159-$V159)+SIGN($Q159-$S159)*SIGN($U159-$W159)+SIGN($R159-$S159)*SIGN($V159-$W159))/SQRT((6-(($P159=$Q159)*1+($P159=$R159)*1+($P159=$S159)*1+($Q159=$R159)*1+($Q159=$S159)*1+($R159=$S159)*1))*(6-(($T159=$U159)*1+($T159=$V159)*1+($T159=$W159)*1+($U159=$V159)*1+($U159=$W159)*1+($V159=$W159)*1))),"")</f>
        <v>0.333333333333333</v>
      </c>
      <c r="AI159" s="0" t="n">
        <f aca="false">MATCH(MAX($K159:$O159),$K159:$O159,0)</f>
        <v>3</v>
      </c>
      <c r="AJ159" s="0" t="n">
        <f aca="false">IF(AI159&lt;&gt;$E159,1,0)</f>
        <v>0</v>
      </c>
      <c r="AK159" s="0" t="str">
        <f aca="false">IF(AJ159=1,INDEX($F159:$J159,AI159)/MAX($P159:$S159),"")</f>
        <v/>
      </c>
      <c r="AL159" s="0" t="str">
        <f aca="false">IF(AJ159=1,1+COUNTIF($P159:$S159,"&gt;"&amp;INDEX($F159:$J159,AI159)),"")</f>
        <v/>
      </c>
      <c r="AM159" s="0" t="n">
        <f aca="false">AVERAGE($P159:$S159)/MAX($P159:$S159)</f>
        <v>0.762562814070352</v>
      </c>
      <c r="AN159" s="0" t="n">
        <f aca="false">100-INDEX($F159:$J159,$E159)</f>
        <v>61.1</v>
      </c>
    </row>
    <row r="160" customFormat="false" ht="15" hidden="false" customHeight="false" outlineLevel="0" collapsed="false">
      <c r="A160" s="0" t="s">
        <v>40</v>
      </c>
      <c r="B160" s="0" t="n">
        <v>2020</v>
      </c>
      <c r="C160" s="0" t="s">
        <v>50</v>
      </c>
      <c r="D160" s="0" t="s">
        <v>45</v>
      </c>
      <c r="E160" s="0" t="n">
        <v>5</v>
      </c>
      <c r="F160" s="0" t="n">
        <v>15.8</v>
      </c>
      <c r="G160" s="0" t="n">
        <v>18.3</v>
      </c>
      <c r="H160" s="0" t="n">
        <v>15.5</v>
      </c>
      <c r="I160" s="0" t="n">
        <v>17.2</v>
      </c>
      <c r="J160" s="0" t="n">
        <v>32.7</v>
      </c>
      <c r="K160" s="0" t="n">
        <v>25.7657899593</v>
      </c>
      <c r="L160" s="0" t="n">
        <v>9.15452429563</v>
      </c>
      <c r="M160" s="0" t="n">
        <v>33.1120613128</v>
      </c>
      <c r="N160" s="0" t="n">
        <v>10.7456803269</v>
      </c>
      <c r="O160" s="0" t="n">
        <v>21.2219441053</v>
      </c>
      <c r="P160" s="0" t="n">
        <f aca="false">INDEX($F160:$J160,IF(1&lt;$E160,1,1+1))</f>
        <v>15.8</v>
      </c>
      <c r="Q160" s="0" t="n">
        <f aca="false">INDEX($F160:$J160,IF(2&lt;$E160,2,2+1))</f>
        <v>18.3</v>
      </c>
      <c r="R160" s="0" t="n">
        <f aca="false">INDEX($F160:$J160,IF(3&lt;$E160,3,3+1))</f>
        <v>15.5</v>
      </c>
      <c r="S160" s="0" t="n">
        <f aca="false">INDEX($F160:$J160,IF(4&lt;$E160,4,4+1))</f>
        <v>17.2</v>
      </c>
      <c r="T160" s="0" t="n">
        <f aca="false">INDEX($K160:$O160,IF(1&lt;$E160,1,1+1))</f>
        <v>25.7657899593</v>
      </c>
      <c r="U160" s="0" t="n">
        <f aca="false">INDEX($K160:$O160,IF(2&lt;$E160,2,2+1))</f>
        <v>9.15452429563</v>
      </c>
      <c r="V160" s="0" t="n">
        <f aca="false">INDEX($K160:$O160,IF(3&lt;$E160,3,3+1))</f>
        <v>33.1120613128</v>
      </c>
      <c r="W160" s="0" t="n">
        <f aca="false">INDEX($K160:$O160,IF(4&lt;$E160,4,4+1))</f>
        <v>10.7456803269</v>
      </c>
      <c r="X160" s="0" t="n">
        <f aca="false">1+COUNTIF($P160:$S160,"&gt;"&amp;$P160)+(COUNTIF($P160:$S160,$P160)-1)/2</f>
        <v>3</v>
      </c>
      <c r="Y160" s="0" t="n">
        <f aca="false">1+COUNTIF($P160:$S160,"&gt;"&amp;$Q160)+(COUNTIF($P160:$S160,$Q160)-1)/2</f>
        <v>1</v>
      </c>
      <c r="Z160" s="0" t="n">
        <f aca="false">1+COUNTIF($P160:$S160,"&gt;"&amp;$R160)+(COUNTIF($P160:$S160,$R160)-1)/2</f>
        <v>4</v>
      </c>
      <c r="AA160" s="0" t="n">
        <f aca="false">1+COUNTIF($P160:$S160,"&gt;"&amp;$S160)+(COUNTIF($P160:$S160,$S160)-1)/2</f>
        <v>2</v>
      </c>
      <c r="AB160" s="0" t="n">
        <f aca="false">1+COUNTIF($T160:$W160,"&gt;"&amp;$T160)+(COUNTIF($T160:$W160,$T160)-1)/2</f>
        <v>2</v>
      </c>
      <c r="AC160" s="0" t="n">
        <f aca="false">1+COUNTIF($T160:$W160,"&gt;"&amp;$U160)+(COUNTIF($T160:$W160,$U160)-1)/2</f>
        <v>4</v>
      </c>
      <c r="AD160" s="0" t="n">
        <f aca="false">1+COUNTIF($T160:$W160,"&gt;"&amp;$V160)+(COUNTIF($T160:$W160,$V160)-1)/2</f>
        <v>1</v>
      </c>
      <c r="AE160" s="0" t="n">
        <f aca="false">1+COUNTIF($T160:$W160,"&gt;"&amp;$W160)+(COUNTIF($T160:$W160,$W160)-1)/2</f>
        <v>3</v>
      </c>
      <c r="AF160" s="0" t="n">
        <f aca="false">IFERROR(CORREL($P160:$S160,$T160:$W160),"")</f>
        <v>-0.944179147090985</v>
      </c>
      <c r="AG160" s="0" t="n">
        <f aca="false">IFERROR(CORREL($X160:$AA160,$AB160:$AE160),"")</f>
        <v>-1</v>
      </c>
      <c r="AH160" s="0" t="n">
        <f aca="false">IFERROR((SIGN($P160-$Q160)*SIGN($T160-$U160)+SIGN($P160-$R160)*SIGN($T160-$V160)+SIGN($P160-$S160)*SIGN($T160-$W160)+SIGN($Q160-$R160)*SIGN($U160-$V160)+SIGN($Q160-$S160)*SIGN($U160-$W160)+SIGN($R160-$S160)*SIGN($V160-$W160))/SQRT((6-(($P160=$Q160)*1+($P160=$R160)*1+($P160=$S160)*1+($Q160=$R160)*1+($Q160=$S160)*1+($R160=$S160)*1))*(6-(($T160=$U160)*1+($T160=$V160)*1+($T160=$W160)*1+($U160=$V160)*1+($U160=$W160)*1+($V160=$W160)*1))),"")</f>
        <v>-1</v>
      </c>
      <c r="AI160" s="0" t="n">
        <f aca="false">MATCH(MAX($K160:$O160),$K160:$O160,0)</f>
        <v>3</v>
      </c>
      <c r="AJ160" s="0" t="n">
        <f aca="false">IF(AI160&lt;&gt;$E160,1,0)</f>
        <v>1</v>
      </c>
      <c r="AK160" s="0" t="n">
        <f aca="false">IF(AJ160=1,INDEX($F160:$J160,AI160)/MAX($P160:$S160),"")</f>
        <v>0.846994535519126</v>
      </c>
      <c r="AL160" s="0" t="n">
        <f aca="false">IF(AJ160=1,1+COUNTIF($P160:$S160,"&gt;"&amp;INDEX($F160:$J160,AI160)),"")</f>
        <v>4</v>
      </c>
      <c r="AM160" s="0" t="n">
        <f aca="false">AVERAGE($P160:$S160)/MAX($P160:$S160)</f>
        <v>0.912568306010929</v>
      </c>
      <c r="AN160" s="0" t="n">
        <f aca="false">100-INDEX($F160:$J160,$E160)</f>
        <v>67.3</v>
      </c>
    </row>
    <row r="161" customFormat="false" ht="15" hidden="false" customHeight="false" outlineLevel="0" collapsed="false">
      <c r="A161" s="0" t="s">
        <v>40</v>
      </c>
      <c r="B161" s="0" t="n">
        <v>2020</v>
      </c>
      <c r="C161" s="0" t="s">
        <v>51</v>
      </c>
      <c r="D161" s="0" t="s">
        <v>42</v>
      </c>
      <c r="E161" s="0" t="n">
        <v>1</v>
      </c>
      <c r="F161" s="0" t="n">
        <v>25.8</v>
      </c>
      <c r="G161" s="0" t="n">
        <v>17</v>
      </c>
      <c r="H161" s="0" t="n">
        <v>15.3</v>
      </c>
      <c r="I161" s="0" t="n">
        <v>20.2</v>
      </c>
      <c r="J161" s="0" t="n">
        <v>21.3</v>
      </c>
      <c r="K161" s="0" t="n">
        <v>16.5030533974</v>
      </c>
      <c r="L161" s="0" t="n">
        <v>62.581358511</v>
      </c>
      <c r="M161" s="0" t="n">
        <v>1.03058326567</v>
      </c>
      <c r="N161" s="0" t="n">
        <v>0.815954760752</v>
      </c>
      <c r="O161" s="0" t="n">
        <v>19.0690500652</v>
      </c>
      <c r="P161" s="0" t="n">
        <f aca="false">INDEX($F161:$J161,IF(1&lt;$E161,1,1+1))</f>
        <v>17</v>
      </c>
      <c r="Q161" s="0" t="n">
        <f aca="false">INDEX($F161:$J161,IF(2&lt;$E161,2,2+1))</f>
        <v>15.3</v>
      </c>
      <c r="R161" s="0" t="n">
        <f aca="false">INDEX($F161:$J161,IF(3&lt;$E161,3,3+1))</f>
        <v>20.2</v>
      </c>
      <c r="S161" s="0" t="n">
        <f aca="false">INDEX($F161:$J161,IF(4&lt;$E161,4,4+1))</f>
        <v>21.3</v>
      </c>
      <c r="T161" s="0" t="n">
        <f aca="false">INDEX($K161:$O161,IF(1&lt;$E161,1,1+1))</f>
        <v>62.581358511</v>
      </c>
      <c r="U161" s="0" t="n">
        <f aca="false">INDEX($K161:$O161,IF(2&lt;$E161,2,2+1))</f>
        <v>1.03058326567</v>
      </c>
      <c r="V161" s="0" t="n">
        <f aca="false">INDEX($K161:$O161,IF(3&lt;$E161,3,3+1))</f>
        <v>0.815954760752</v>
      </c>
      <c r="W161" s="0" t="n">
        <f aca="false">INDEX($K161:$O161,IF(4&lt;$E161,4,4+1))</f>
        <v>19.0690500652</v>
      </c>
      <c r="X161" s="0" t="n">
        <f aca="false">1+COUNTIF($P161:$S161,"&gt;"&amp;$P161)+(COUNTIF($P161:$S161,$P161)-1)/2</f>
        <v>3</v>
      </c>
      <c r="Y161" s="0" t="n">
        <f aca="false">1+COUNTIF($P161:$S161,"&gt;"&amp;$Q161)+(COUNTIF($P161:$S161,$Q161)-1)/2</f>
        <v>4</v>
      </c>
      <c r="Z161" s="0" t="n">
        <f aca="false">1+COUNTIF($P161:$S161,"&gt;"&amp;$R161)+(COUNTIF($P161:$S161,$R161)-1)/2</f>
        <v>2</v>
      </c>
      <c r="AA161" s="0" t="n">
        <f aca="false">1+COUNTIF($P161:$S161,"&gt;"&amp;$S161)+(COUNTIF($P161:$S161,$S161)-1)/2</f>
        <v>1</v>
      </c>
      <c r="AB161" s="0" t="n">
        <f aca="false">1+COUNTIF($T161:$W161,"&gt;"&amp;$T161)+(COUNTIF($T161:$W161,$T161)-1)/2</f>
        <v>1</v>
      </c>
      <c r="AC161" s="0" t="n">
        <f aca="false">1+COUNTIF($T161:$W161,"&gt;"&amp;$U161)+(COUNTIF($T161:$W161,$U161)-1)/2</f>
        <v>3</v>
      </c>
      <c r="AD161" s="0" t="n">
        <f aca="false">1+COUNTIF($T161:$W161,"&gt;"&amp;$V161)+(COUNTIF($T161:$W161,$V161)-1)/2</f>
        <v>4</v>
      </c>
      <c r="AE161" s="0" t="n">
        <f aca="false">1+COUNTIF($T161:$W161,"&gt;"&amp;$W161)+(COUNTIF($T161:$W161,$W161)-1)/2</f>
        <v>2</v>
      </c>
      <c r="AF161" s="0" t="n">
        <f aca="false">IFERROR(CORREL($P161:$S161,$T161:$W161),"")</f>
        <v>-0.157424864439782</v>
      </c>
      <c r="AG161" s="0" t="n">
        <f aca="false">IFERROR(CORREL($X161:$AA161,$AB161:$AE161),"")</f>
        <v>0</v>
      </c>
      <c r="AH161" s="0" t="n">
        <f aca="false">IFERROR((SIGN($P161-$Q161)*SIGN($T161-$U161)+SIGN($P161-$R161)*SIGN($T161-$V161)+SIGN($P161-$S161)*SIGN($T161-$W161)+SIGN($Q161-$R161)*SIGN($U161-$V161)+SIGN($Q161-$S161)*SIGN($U161-$W161)+SIGN($R161-$S161)*SIGN($V161-$W161))/SQRT((6-(($P161=$Q161)*1+($P161=$R161)*1+($P161=$S161)*1+($Q161=$R161)*1+($Q161=$S161)*1+($R161=$S161)*1))*(6-(($T161=$U161)*1+($T161=$V161)*1+($T161=$W161)*1+($U161=$V161)*1+($U161=$W161)*1+($V161=$W161)*1))),"")</f>
        <v>0</v>
      </c>
      <c r="AI161" s="0" t="n">
        <f aca="false">MATCH(MAX($K161:$O161),$K161:$O161,0)</f>
        <v>2</v>
      </c>
      <c r="AJ161" s="0" t="n">
        <f aca="false">IF(AI161&lt;&gt;$E161,1,0)</f>
        <v>1</v>
      </c>
      <c r="AK161" s="0" t="n">
        <f aca="false">IF(AJ161=1,INDEX($F161:$J161,AI161)/MAX($P161:$S161),"")</f>
        <v>0.7981220657277</v>
      </c>
      <c r="AL161" s="0" t="n">
        <f aca="false">IF(AJ161=1,1+COUNTIF($P161:$S161,"&gt;"&amp;INDEX($F161:$J161,AI161)),"")</f>
        <v>3</v>
      </c>
      <c r="AM161" s="0" t="n">
        <f aca="false">AVERAGE($P161:$S161)/MAX($P161:$S161)</f>
        <v>0.866197183098592</v>
      </c>
      <c r="AN161" s="0" t="n">
        <f aca="false">100-INDEX($F161:$J161,$E161)</f>
        <v>74.2</v>
      </c>
    </row>
    <row r="162" customFormat="false" ht="15" hidden="false" customHeight="false" outlineLevel="0" collapsed="false">
      <c r="A162" s="0" t="s">
        <v>40</v>
      </c>
      <c r="B162" s="0" t="n">
        <v>2020</v>
      </c>
      <c r="C162" s="0" t="s">
        <v>51</v>
      </c>
      <c r="D162" s="0" t="s">
        <v>43</v>
      </c>
      <c r="E162" s="0" t="n">
        <v>3</v>
      </c>
      <c r="F162" s="0" t="n">
        <v>15.5</v>
      </c>
      <c r="G162" s="0" t="n">
        <v>30.5</v>
      </c>
      <c r="H162" s="0" t="n">
        <v>26.3</v>
      </c>
      <c r="I162" s="0" t="n">
        <v>16.9</v>
      </c>
      <c r="J162" s="0" t="n">
        <v>10.3</v>
      </c>
      <c r="K162" s="0" t="n">
        <v>3.81053531664</v>
      </c>
      <c r="L162" s="0" t="n">
        <v>63.0617668486</v>
      </c>
      <c r="M162" s="0" t="n">
        <v>12.1601884907</v>
      </c>
      <c r="N162" s="0" t="n">
        <v>17.0204076584</v>
      </c>
      <c r="O162" s="0" t="n">
        <v>3.94710168556</v>
      </c>
      <c r="P162" s="0" t="n">
        <f aca="false">INDEX($F162:$J162,IF(1&lt;$E162,1,1+1))</f>
        <v>15.5</v>
      </c>
      <c r="Q162" s="0" t="n">
        <f aca="false">INDEX($F162:$J162,IF(2&lt;$E162,2,2+1))</f>
        <v>30.5</v>
      </c>
      <c r="R162" s="0" t="n">
        <f aca="false">INDEX($F162:$J162,IF(3&lt;$E162,3,3+1))</f>
        <v>16.9</v>
      </c>
      <c r="S162" s="0" t="n">
        <f aca="false">INDEX($F162:$J162,IF(4&lt;$E162,4,4+1))</f>
        <v>10.3</v>
      </c>
      <c r="T162" s="0" t="n">
        <f aca="false">INDEX($K162:$O162,IF(1&lt;$E162,1,1+1))</f>
        <v>3.81053531664</v>
      </c>
      <c r="U162" s="0" t="n">
        <f aca="false">INDEX($K162:$O162,IF(2&lt;$E162,2,2+1))</f>
        <v>63.0617668486</v>
      </c>
      <c r="V162" s="0" t="n">
        <f aca="false">INDEX($K162:$O162,IF(3&lt;$E162,3,3+1))</f>
        <v>17.0204076584</v>
      </c>
      <c r="W162" s="0" t="n">
        <f aca="false">INDEX($K162:$O162,IF(4&lt;$E162,4,4+1))</f>
        <v>3.94710168556</v>
      </c>
      <c r="X162" s="0" t="n">
        <f aca="false">1+COUNTIF($P162:$S162,"&gt;"&amp;$P162)+(COUNTIF($P162:$S162,$P162)-1)/2</f>
        <v>3</v>
      </c>
      <c r="Y162" s="0" t="n">
        <f aca="false">1+COUNTIF($P162:$S162,"&gt;"&amp;$Q162)+(COUNTIF($P162:$S162,$Q162)-1)/2</f>
        <v>1</v>
      </c>
      <c r="Z162" s="0" t="n">
        <f aca="false">1+COUNTIF($P162:$S162,"&gt;"&amp;$R162)+(COUNTIF($P162:$S162,$R162)-1)/2</f>
        <v>2</v>
      </c>
      <c r="AA162" s="0" t="n">
        <f aca="false">1+COUNTIF($P162:$S162,"&gt;"&amp;$S162)+(COUNTIF($P162:$S162,$S162)-1)/2</f>
        <v>4</v>
      </c>
      <c r="AB162" s="0" t="n">
        <f aca="false">1+COUNTIF($T162:$W162,"&gt;"&amp;$T162)+(COUNTIF($T162:$W162,$T162)-1)/2</f>
        <v>4</v>
      </c>
      <c r="AC162" s="0" t="n">
        <f aca="false">1+COUNTIF($T162:$W162,"&gt;"&amp;$U162)+(COUNTIF($T162:$W162,$U162)-1)/2</f>
        <v>1</v>
      </c>
      <c r="AD162" s="0" t="n">
        <f aca="false">1+COUNTIF($T162:$W162,"&gt;"&amp;$V162)+(COUNTIF($T162:$W162,$V162)-1)/2</f>
        <v>2</v>
      </c>
      <c r="AE162" s="0" t="n">
        <f aca="false">1+COUNTIF($T162:$W162,"&gt;"&amp;$W162)+(COUNTIF($T162:$W162,$W162)-1)/2</f>
        <v>3</v>
      </c>
      <c r="AF162" s="0" t="n">
        <f aca="false">IFERROR(CORREL($P162:$S162,$T162:$W162),"")</f>
        <v>0.968656131660471</v>
      </c>
      <c r="AG162" s="0" t="n">
        <f aca="false">IFERROR(CORREL($X162:$AA162,$AB162:$AE162),"")</f>
        <v>0.8</v>
      </c>
      <c r="AH162" s="0" t="n">
        <f aca="false">IFERROR((SIGN($P162-$Q162)*SIGN($T162-$U162)+SIGN($P162-$R162)*SIGN($T162-$V162)+SIGN($P162-$S162)*SIGN($T162-$W162)+SIGN($Q162-$R162)*SIGN($U162-$V162)+SIGN($Q162-$S162)*SIGN($U162-$W162)+SIGN($R162-$S162)*SIGN($V162-$W162))/SQRT((6-(($P162=$Q162)*1+($P162=$R162)*1+($P162=$S162)*1+($Q162=$R162)*1+($Q162=$S162)*1+($R162=$S162)*1))*(6-(($T162=$U162)*1+($T162=$V162)*1+($T162=$W162)*1+($U162=$V162)*1+($U162=$W162)*1+($V162=$W162)*1))),"")</f>
        <v>0.666666666666667</v>
      </c>
      <c r="AI162" s="0" t="n">
        <f aca="false">MATCH(MAX($K162:$O162),$K162:$O162,0)</f>
        <v>2</v>
      </c>
      <c r="AJ162" s="0" t="n">
        <f aca="false">IF(AI162&lt;&gt;$E162,1,0)</f>
        <v>1</v>
      </c>
      <c r="AK162" s="0" t="n">
        <f aca="false">IF(AJ162=1,INDEX($F162:$J162,AI162)/MAX($P162:$S162),"")</f>
        <v>1</v>
      </c>
      <c r="AL162" s="0" t="n">
        <f aca="false">IF(AJ162=1,1+COUNTIF($P162:$S162,"&gt;"&amp;INDEX($F162:$J162,AI162)),"")</f>
        <v>1</v>
      </c>
      <c r="AM162" s="0" t="n">
        <f aca="false">AVERAGE($P162:$S162)/MAX($P162:$S162)</f>
        <v>0.6</v>
      </c>
      <c r="AN162" s="0" t="n">
        <f aca="false">100-INDEX($F162:$J162,$E162)</f>
        <v>73.7</v>
      </c>
    </row>
    <row r="163" customFormat="false" ht="15" hidden="false" customHeight="false" outlineLevel="0" collapsed="false">
      <c r="A163" s="0" t="s">
        <v>40</v>
      </c>
      <c r="B163" s="0" t="n">
        <v>2020</v>
      </c>
      <c r="C163" s="0" t="s">
        <v>51</v>
      </c>
      <c r="D163" s="0" t="s">
        <v>44</v>
      </c>
      <c r="E163" s="0" t="n">
        <v>5</v>
      </c>
      <c r="F163" s="0" t="n">
        <v>19.8</v>
      </c>
      <c r="G163" s="0" t="n">
        <v>14.9</v>
      </c>
      <c r="H163" s="0" t="n">
        <v>17.9</v>
      </c>
      <c r="I163" s="0" t="n">
        <v>16</v>
      </c>
      <c r="J163" s="0" t="n">
        <v>30.9</v>
      </c>
      <c r="K163" s="0" t="n">
        <v>27.9075996693</v>
      </c>
      <c r="L163" s="0" t="n">
        <v>28.8217521548</v>
      </c>
      <c r="M163" s="0" t="n">
        <v>28.181688317</v>
      </c>
      <c r="N163" s="0" t="n">
        <v>6.96047681417</v>
      </c>
      <c r="O163" s="0" t="n">
        <v>8.12848304478</v>
      </c>
      <c r="P163" s="0" t="n">
        <f aca="false">INDEX($F163:$J163,IF(1&lt;$E163,1,1+1))</f>
        <v>19.8</v>
      </c>
      <c r="Q163" s="0" t="n">
        <f aca="false">INDEX($F163:$J163,IF(2&lt;$E163,2,2+1))</f>
        <v>14.9</v>
      </c>
      <c r="R163" s="0" t="n">
        <f aca="false">INDEX($F163:$J163,IF(3&lt;$E163,3,3+1))</f>
        <v>17.9</v>
      </c>
      <c r="S163" s="0" t="n">
        <f aca="false">INDEX($F163:$J163,IF(4&lt;$E163,4,4+1))</f>
        <v>16</v>
      </c>
      <c r="T163" s="0" t="n">
        <f aca="false">INDEX($K163:$O163,IF(1&lt;$E163,1,1+1))</f>
        <v>27.9075996693</v>
      </c>
      <c r="U163" s="0" t="n">
        <f aca="false">INDEX($K163:$O163,IF(2&lt;$E163,2,2+1))</f>
        <v>28.8217521548</v>
      </c>
      <c r="V163" s="0" t="n">
        <f aca="false">INDEX($K163:$O163,IF(3&lt;$E163,3,3+1))</f>
        <v>28.181688317</v>
      </c>
      <c r="W163" s="0" t="n">
        <f aca="false">INDEX($K163:$O163,IF(4&lt;$E163,4,4+1))</f>
        <v>6.96047681417</v>
      </c>
      <c r="X163" s="0" t="n">
        <f aca="false">1+COUNTIF($P163:$S163,"&gt;"&amp;$P163)+(COUNTIF($P163:$S163,$P163)-1)/2</f>
        <v>1</v>
      </c>
      <c r="Y163" s="0" t="n">
        <f aca="false">1+COUNTIF($P163:$S163,"&gt;"&amp;$Q163)+(COUNTIF($P163:$S163,$Q163)-1)/2</f>
        <v>4</v>
      </c>
      <c r="Z163" s="0" t="n">
        <f aca="false">1+COUNTIF($P163:$S163,"&gt;"&amp;$R163)+(COUNTIF($P163:$S163,$R163)-1)/2</f>
        <v>2</v>
      </c>
      <c r="AA163" s="0" t="n">
        <f aca="false">1+COUNTIF($P163:$S163,"&gt;"&amp;$S163)+(COUNTIF($P163:$S163,$S163)-1)/2</f>
        <v>3</v>
      </c>
      <c r="AB163" s="0" t="n">
        <f aca="false">1+COUNTIF($T163:$W163,"&gt;"&amp;$T163)+(COUNTIF($T163:$W163,$T163)-1)/2</f>
        <v>3</v>
      </c>
      <c r="AC163" s="0" t="n">
        <f aca="false">1+COUNTIF($T163:$W163,"&gt;"&amp;$U163)+(COUNTIF($T163:$W163,$U163)-1)/2</f>
        <v>1</v>
      </c>
      <c r="AD163" s="0" t="n">
        <f aca="false">1+COUNTIF($T163:$W163,"&gt;"&amp;$V163)+(COUNTIF($T163:$W163,$V163)-1)/2</f>
        <v>2</v>
      </c>
      <c r="AE163" s="0" t="n">
        <f aca="false">1+COUNTIF($T163:$W163,"&gt;"&amp;$W163)+(COUNTIF($T163:$W163,$W163)-1)/2</f>
        <v>4</v>
      </c>
      <c r="AF163" s="0" t="n">
        <f aca="false">IFERROR(CORREL($P163:$S163,$T163:$W163),"")</f>
        <v>0.321681470672315</v>
      </c>
      <c r="AG163" s="0" t="n">
        <f aca="false">IFERROR(CORREL($X163:$AA163,$AB163:$AE163),"")</f>
        <v>-0.4</v>
      </c>
      <c r="AH163" s="0" t="n">
        <f aca="false">IFERROR((SIGN($P163-$Q163)*SIGN($T163-$U163)+SIGN($P163-$R163)*SIGN($T163-$V163)+SIGN($P163-$S163)*SIGN($T163-$W163)+SIGN($Q163-$R163)*SIGN($U163-$V163)+SIGN($Q163-$S163)*SIGN($U163-$W163)+SIGN($R163-$S163)*SIGN($V163-$W163))/SQRT((6-(($P163=$Q163)*1+($P163=$R163)*1+($P163=$S163)*1+($Q163=$R163)*1+($Q163=$S163)*1+($R163=$S163)*1))*(6-(($T163=$U163)*1+($T163=$V163)*1+($T163=$W163)*1+($U163=$V163)*1+($U163=$W163)*1+($V163=$W163)*1))),"")</f>
        <v>-0.333333333333333</v>
      </c>
      <c r="AI163" s="0" t="n">
        <f aca="false">MATCH(MAX($K163:$O163),$K163:$O163,0)</f>
        <v>2</v>
      </c>
      <c r="AJ163" s="0" t="n">
        <f aca="false">IF(AI163&lt;&gt;$E163,1,0)</f>
        <v>1</v>
      </c>
      <c r="AK163" s="0" t="n">
        <f aca="false">IF(AJ163=1,INDEX($F163:$J163,AI163)/MAX($P163:$S163),"")</f>
        <v>0.752525252525253</v>
      </c>
      <c r="AL163" s="0" t="n">
        <f aca="false">IF(AJ163=1,1+COUNTIF($P163:$S163,"&gt;"&amp;INDEX($F163:$J163,AI163)),"")</f>
        <v>4</v>
      </c>
      <c r="AM163" s="0" t="n">
        <f aca="false">AVERAGE($P163:$S163)/MAX($P163:$S163)</f>
        <v>0.866161616161616</v>
      </c>
      <c r="AN163" s="0" t="n">
        <f aca="false">100-INDEX($F163:$J163,$E163)</f>
        <v>69.1</v>
      </c>
    </row>
    <row r="164" customFormat="false" ht="15" hidden="false" customHeight="false" outlineLevel="0" collapsed="false">
      <c r="A164" s="0" t="s">
        <v>40</v>
      </c>
      <c r="B164" s="0" t="n">
        <v>2020</v>
      </c>
      <c r="C164" s="0" t="s">
        <v>51</v>
      </c>
      <c r="D164" s="0" t="s">
        <v>45</v>
      </c>
      <c r="E164" s="0" t="n">
        <v>2</v>
      </c>
      <c r="F164" s="0" t="n">
        <v>17.2</v>
      </c>
      <c r="G164" s="0" t="n">
        <v>36.1</v>
      </c>
      <c r="H164" s="0" t="n">
        <v>15.6</v>
      </c>
      <c r="I164" s="0" t="n">
        <v>19.1</v>
      </c>
      <c r="J164" s="0" t="n">
        <v>11.5</v>
      </c>
      <c r="K164" s="0" t="n">
        <v>9.37497266096</v>
      </c>
      <c r="L164" s="0" t="n">
        <v>22.6778895821</v>
      </c>
      <c r="M164" s="0" t="n">
        <v>15.7209280725</v>
      </c>
      <c r="N164" s="0" t="n">
        <v>26.4008867681</v>
      </c>
      <c r="O164" s="0" t="n">
        <v>25.8253229163</v>
      </c>
      <c r="P164" s="0" t="n">
        <f aca="false">INDEX($F164:$J164,IF(1&lt;$E164,1,1+1))</f>
        <v>17.2</v>
      </c>
      <c r="Q164" s="0" t="n">
        <f aca="false">INDEX($F164:$J164,IF(2&lt;$E164,2,2+1))</f>
        <v>15.6</v>
      </c>
      <c r="R164" s="0" t="n">
        <f aca="false">INDEX($F164:$J164,IF(3&lt;$E164,3,3+1))</f>
        <v>19.1</v>
      </c>
      <c r="S164" s="0" t="n">
        <f aca="false">INDEX($F164:$J164,IF(4&lt;$E164,4,4+1))</f>
        <v>11.5</v>
      </c>
      <c r="T164" s="0" t="n">
        <f aca="false">INDEX($K164:$O164,IF(1&lt;$E164,1,1+1))</f>
        <v>9.37497266096</v>
      </c>
      <c r="U164" s="0" t="n">
        <f aca="false">INDEX($K164:$O164,IF(2&lt;$E164,2,2+1))</f>
        <v>15.7209280725</v>
      </c>
      <c r="V164" s="0" t="n">
        <f aca="false">INDEX($K164:$O164,IF(3&lt;$E164,3,3+1))</f>
        <v>26.4008867681</v>
      </c>
      <c r="W164" s="0" t="n">
        <f aca="false">INDEX($K164:$O164,IF(4&lt;$E164,4,4+1))</f>
        <v>25.8253229163</v>
      </c>
      <c r="X164" s="0" t="n">
        <f aca="false">1+COUNTIF($P164:$S164,"&gt;"&amp;$P164)+(COUNTIF($P164:$S164,$P164)-1)/2</f>
        <v>2</v>
      </c>
      <c r="Y164" s="0" t="n">
        <f aca="false">1+COUNTIF($P164:$S164,"&gt;"&amp;$Q164)+(COUNTIF($P164:$S164,$Q164)-1)/2</f>
        <v>3</v>
      </c>
      <c r="Z164" s="0" t="n">
        <f aca="false">1+COUNTIF($P164:$S164,"&gt;"&amp;$R164)+(COUNTIF($P164:$S164,$R164)-1)/2</f>
        <v>1</v>
      </c>
      <c r="AA164" s="0" t="n">
        <f aca="false">1+COUNTIF($P164:$S164,"&gt;"&amp;$S164)+(COUNTIF($P164:$S164,$S164)-1)/2</f>
        <v>4</v>
      </c>
      <c r="AB164" s="0" t="n">
        <f aca="false">1+COUNTIF($T164:$W164,"&gt;"&amp;$T164)+(COUNTIF($T164:$W164,$T164)-1)/2</f>
        <v>4</v>
      </c>
      <c r="AC164" s="0" t="n">
        <f aca="false">1+COUNTIF($T164:$W164,"&gt;"&amp;$U164)+(COUNTIF($T164:$W164,$U164)-1)/2</f>
        <v>3</v>
      </c>
      <c r="AD164" s="0" t="n">
        <f aca="false">1+COUNTIF($T164:$W164,"&gt;"&amp;$V164)+(COUNTIF($T164:$W164,$V164)-1)/2</f>
        <v>1</v>
      </c>
      <c r="AE164" s="0" t="n">
        <f aca="false">1+COUNTIF($T164:$W164,"&gt;"&amp;$W164)+(COUNTIF($T164:$W164,$W164)-1)/2</f>
        <v>2</v>
      </c>
      <c r="AF164" s="0" t="n">
        <f aca="false">IFERROR(CORREL($P164:$S164,$T164:$W164),"")</f>
        <v>-0.222478692926556</v>
      </c>
      <c r="AG164" s="0" t="n">
        <f aca="false">IFERROR(CORREL($X164:$AA164,$AB164:$AE164),"")</f>
        <v>0.2</v>
      </c>
      <c r="AH164" s="0" t="n">
        <f aca="false">IFERROR((SIGN($P164-$Q164)*SIGN($T164-$U164)+SIGN($P164-$R164)*SIGN($T164-$V164)+SIGN($P164-$S164)*SIGN($T164-$W164)+SIGN($Q164-$R164)*SIGN($U164-$V164)+SIGN($Q164-$S164)*SIGN($U164-$W164)+SIGN($R164-$S164)*SIGN($V164-$W164))/SQRT((6-(($P164=$Q164)*1+($P164=$R164)*1+($P164=$S164)*1+($Q164=$R164)*1+($Q164=$S164)*1+($R164=$S164)*1))*(6-(($T164=$U164)*1+($T164=$V164)*1+($T164=$W164)*1+($U164=$V164)*1+($U164=$W164)*1+($V164=$W164)*1))),"")</f>
        <v>0</v>
      </c>
      <c r="AI164" s="0" t="n">
        <f aca="false">MATCH(MAX($K164:$O164),$K164:$O164,0)</f>
        <v>4</v>
      </c>
      <c r="AJ164" s="0" t="n">
        <f aca="false">IF(AI164&lt;&gt;$E164,1,0)</f>
        <v>1</v>
      </c>
      <c r="AK164" s="0" t="n">
        <f aca="false">IF(AJ164=1,INDEX($F164:$J164,AI164)/MAX($P164:$S164),"")</f>
        <v>1</v>
      </c>
      <c r="AL164" s="0" t="n">
        <f aca="false">IF(AJ164=1,1+COUNTIF($P164:$S164,"&gt;"&amp;INDEX($F164:$J164,AI164)),"")</f>
        <v>1</v>
      </c>
      <c r="AM164" s="0" t="n">
        <f aca="false">AVERAGE($P164:$S164)/MAX($P164:$S164)</f>
        <v>0.829842931937173</v>
      </c>
      <c r="AN164" s="0" t="n">
        <f aca="false">100-INDEX($F164:$J164,$E164)</f>
        <v>63.9</v>
      </c>
    </row>
    <row r="165" customFormat="false" ht="15" hidden="false" customHeight="false" outlineLevel="0" collapsed="false">
      <c r="A165" s="0" t="s">
        <v>40</v>
      </c>
      <c r="B165" s="0" t="n">
        <v>2020</v>
      </c>
      <c r="C165" s="0" t="s">
        <v>52</v>
      </c>
      <c r="D165" s="0" t="s">
        <v>42</v>
      </c>
      <c r="E165" s="0" t="n">
        <v>1</v>
      </c>
      <c r="F165" s="0" t="n">
        <v>38.4</v>
      </c>
      <c r="G165" s="0" t="n">
        <v>18.1</v>
      </c>
      <c r="H165" s="0" t="n">
        <v>22</v>
      </c>
      <c r="I165" s="0" t="n">
        <v>11.5</v>
      </c>
      <c r="J165" s="0" t="n">
        <v>9.9</v>
      </c>
      <c r="K165" s="0" t="n">
        <v>66.8615852662</v>
      </c>
      <c r="L165" s="0" t="n">
        <v>0.609925803144</v>
      </c>
      <c r="M165" s="0" t="n">
        <v>17.7310449449</v>
      </c>
      <c r="N165" s="0" t="n">
        <v>7.7029211428</v>
      </c>
      <c r="O165" s="0" t="n">
        <v>7.09452284301</v>
      </c>
      <c r="P165" s="0" t="n">
        <f aca="false">INDEX($F165:$J165,IF(1&lt;$E165,1,1+1))</f>
        <v>18.1</v>
      </c>
      <c r="Q165" s="0" t="n">
        <f aca="false">INDEX($F165:$J165,IF(2&lt;$E165,2,2+1))</f>
        <v>22</v>
      </c>
      <c r="R165" s="0" t="n">
        <f aca="false">INDEX($F165:$J165,IF(3&lt;$E165,3,3+1))</f>
        <v>11.5</v>
      </c>
      <c r="S165" s="0" t="n">
        <f aca="false">INDEX($F165:$J165,IF(4&lt;$E165,4,4+1))</f>
        <v>9.9</v>
      </c>
      <c r="T165" s="0" t="n">
        <f aca="false">INDEX($K165:$O165,IF(1&lt;$E165,1,1+1))</f>
        <v>0.609925803144</v>
      </c>
      <c r="U165" s="0" t="n">
        <f aca="false">INDEX($K165:$O165,IF(2&lt;$E165,2,2+1))</f>
        <v>17.7310449449</v>
      </c>
      <c r="V165" s="0" t="n">
        <f aca="false">INDEX($K165:$O165,IF(3&lt;$E165,3,3+1))</f>
        <v>7.7029211428</v>
      </c>
      <c r="W165" s="0" t="n">
        <f aca="false">INDEX($K165:$O165,IF(4&lt;$E165,4,4+1))</f>
        <v>7.09452284301</v>
      </c>
      <c r="X165" s="0" t="n">
        <f aca="false">1+COUNTIF($P165:$S165,"&gt;"&amp;$P165)+(COUNTIF($P165:$S165,$P165)-1)/2</f>
        <v>2</v>
      </c>
      <c r="Y165" s="0" t="n">
        <f aca="false">1+COUNTIF($P165:$S165,"&gt;"&amp;$Q165)+(COUNTIF($P165:$S165,$Q165)-1)/2</f>
        <v>1</v>
      </c>
      <c r="Z165" s="0" t="n">
        <f aca="false">1+COUNTIF($P165:$S165,"&gt;"&amp;$R165)+(COUNTIF($P165:$S165,$R165)-1)/2</f>
        <v>3</v>
      </c>
      <c r="AA165" s="0" t="n">
        <f aca="false">1+COUNTIF($P165:$S165,"&gt;"&amp;$S165)+(COUNTIF($P165:$S165,$S165)-1)/2</f>
        <v>4</v>
      </c>
      <c r="AB165" s="0" t="n">
        <f aca="false">1+COUNTIF($T165:$W165,"&gt;"&amp;$T165)+(COUNTIF($T165:$W165,$T165)-1)/2</f>
        <v>4</v>
      </c>
      <c r="AC165" s="0" t="n">
        <f aca="false">1+COUNTIF($T165:$W165,"&gt;"&amp;$U165)+(COUNTIF($T165:$W165,$U165)-1)/2</f>
        <v>1</v>
      </c>
      <c r="AD165" s="0" t="n">
        <f aca="false">1+COUNTIF($T165:$W165,"&gt;"&amp;$V165)+(COUNTIF($T165:$W165,$V165)-1)/2</f>
        <v>2</v>
      </c>
      <c r="AE165" s="0" t="n">
        <f aca="false">1+COUNTIF($T165:$W165,"&gt;"&amp;$W165)+(COUNTIF($T165:$W165,$W165)-1)/2</f>
        <v>3</v>
      </c>
      <c r="AF165" s="0" t="n">
        <f aca="false">IFERROR(CORREL($P165:$S165,$T165:$W165),"")</f>
        <v>0.419805654089387</v>
      </c>
      <c r="AG165" s="0" t="n">
        <f aca="false">IFERROR(CORREL($X165:$AA165,$AB165:$AE165),"")</f>
        <v>0.4</v>
      </c>
      <c r="AH165" s="0" t="n">
        <f aca="false">IFERROR((SIGN($P165-$Q165)*SIGN($T165-$U165)+SIGN($P165-$R165)*SIGN($T165-$V165)+SIGN($P165-$S165)*SIGN($T165-$W165)+SIGN($Q165-$R165)*SIGN($U165-$V165)+SIGN($Q165-$S165)*SIGN($U165-$W165)+SIGN($R165-$S165)*SIGN($V165-$W165))/SQRT((6-(($P165=$Q165)*1+($P165=$R165)*1+($P165=$S165)*1+($Q165=$R165)*1+($Q165=$S165)*1+($R165=$S165)*1))*(6-(($T165=$U165)*1+($T165=$V165)*1+($T165=$W165)*1+($U165=$V165)*1+($U165=$W165)*1+($V165=$W165)*1))),"")</f>
        <v>0.333333333333333</v>
      </c>
      <c r="AI165" s="0" t="n">
        <f aca="false">MATCH(MAX($K165:$O165),$K165:$O165,0)</f>
        <v>1</v>
      </c>
      <c r="AJ165" s="0" t="n">
        <f aca="false">IF(AI165&lt;&gt;$E165,1,0)</f>
        <v>0</v>
      </c>
      <c r="AK165" s="0" t="str">
        <f aca="false">IF(AJ165=1,INDEX($F165:$J165,AI165)/MAX($P165:$S165),"")</f>
        <v/>
      </c>
      <c r="AL165" s="0" t="str">
        <f aca="false">IF(AJ165=1,1+COUNTIF($P165:$S165,"&gt;"&amp;INDEX($F165:$J165,AI165)),"")</f>
        <v/>
      </c>
      <c r="AM165" s="0" t="n">
        <f aca="false">AVERAGE($P165:$S165)/MAX($P165:$S165)</f>
        <v>0.698863636363636</v>
      </c>
      <c r="AN165" s="0" t="n">
        <f aca="false">100-INDEX($F165:$J165,$E165)</f>
        <v>61.6</v>
      </c>
    </row>
    <row r="166" customFormat="false" ht="15" hidden="false" customHeight="false" outlineLevel="0" collapsed="false">
      <c r="A166" s="0" t="s">
        <v>40</v>
      </c>
      <c r="B166" s="0" t="n">
        <v>2020</v>
      </c>
      <c r="C166" s="0" t="s">
        <v>52</v>
      </c>
      <c r="D166" s="0" t="s">
        <v>43</v>
      </c>
      <c r="E166" s="0" t="n">
        <v>2</v>
      </c>
      <c r="F166" s="0" t="n">
        <v>9.6</v>
      </c>
      <c r="G166" s="0" t="n">
        <v>36.6</v>
      </c>
      <c r="H166" s="0" t="n">
        <v>11.1</v>
      </c>
      <c r="I166" s="0" t="n">
        <v>18.1</v>
      </c>
      <c r="J166" s="0" t="n">
        <v>24.6</v>
      </c>
      <c r="K166" s="0" t="n">
        <v>6.86315405508</v>
      </c>
      <c r="L166" s="0" t="n">
        <v>26.06915181</v>
      </c>
      <c r="M166" s="0" t="n">
        <v>44.8448913072</v>
      </c>
      <c r="N166" s="0" t="n">
        <v>10.8676773853</v>
      </c>
      <c r="O166" s="0" t="n">
        <v>11.3551254424</v>
      </c>
      <c r="P166" s="0" t="n">
        <f aca="false">INDEX($F166:$J166,IF(1&lt;$E166,1,1+1))</f>
        <v>9.6</v>
      </c>
      <c r="Q166" s="0" t="n">
        <f aca="false">INDEX($F166:$J166,IF(2&lt;$E166,2,2+1))</f>
        <v>11.1</v>
      </c>
      <c r="R166" s="0" t="n">
        <f aca="false">INDEX($F166:$J166,IF(3&lt;$E166,3,3+1))</f>
        <v>18.1</v>
      </c>
      <c r="S166" s="0" t="n">
        <f aca="false">INDEX($F166:$J166,IF(4&lt;$E166,4,4+1))</f>
        <v>24.6</v>
      </c>
      <c r="T166" s="0" t="n">
        <f aca="false">INDEX($K166:$O166,IF(1&lt;$E166,1,1+1))</f>
        <v>6.86315405508</v>
      </c>
      <c r="U166" s="0" t="n">
        <f aca="false">INDEX($K166:$O166,IF(2&lt;$E166,2,2+1))</f>
        <v>44.8448913072</v>
      </c>
      <c r="V166" s="0" t="n">
        <f aca="false">INDEX($K166:$O166,IF(3&lt;$E166,3,3+1))</f>
        <v>10.8676773853</v>
      </c>
      <c r="W166" s="0" t="n">
        <f aca="false">INDEX($K166:$O166,IF(4&lt;$E166,4,4+1))</f>
        <v>11.3551254424</v>
      </c>
      <c r="X166" s="0" t="n">
        <f aca="false">1+COUNTIF($P166:$S166,"&gt;"&amp;$P166)+(COUNTIF($P166:$S166,$P166)-1)/2</f>
        <v>4</v>
      </c>
      <c r="Y166" s="0" t="n">
        <f aca="false">1+COUNTIF($P166:$S166,"&gt;"&amp;$Q166)+(COUNTIF($P166:$S166,$Q166)-1)/2</f>
        <v>3</v>
      </c>
      <c r="Z166" s="0" t="n">
        <f aca="false">1+COUNTIF($P166:$S166,"&gt;"&amp;$R166)+(COUNTIF($P166:$S166,$R166)-1)/2</f>
        <v>2</v>
      </c>
      <c r="AA166" s="0" t="n">
        <f aca="false">1+COUNTIF($P166:$S166,"&gt;"&amp;$S166)+(COUNTIF($P166:$S166,$S166)-1)/2</f>
        <v>1</v>
      </c>
      <c r="AB166" s="0" t="n">
        <f aca="false">1+COUNTIF($T166:$W166,"&gt;"&amp;$T166)+(COUNTIF($T166:$W166,$T166)-1)/2</f>
        <v>4</v>
      </c>
      <c r="AC166" s="0" t="n">
        <f aca="false">1+COUNTIF($T166:$W166,"&gt;"&amp;$U166)+(COUNTIF($T166:$W166,$U166)-1)/2</f>
        <v>1</v>
      </c>
      <c r="AD166" s="0" t="n">
        <f aca="false">1+COUNTIF($T166:$W166,"&gt;"&amp;$V166)+(COUNTIF($T166:$W166,$V166)-1)/2</f>
        <v>3</v>
      </c>
      <c r="AE166" s="0" t="n">
        <f aca="false">1+COUNTIF($T166:$W166,"&gt;"&amp;$W166)+(COUNTIF($T166:$W166,$W166)-1)/2</f>
        <v>2</v>
      </c>
      <c r="AF166" s="0" t="n">
        <f aca="false">IFERROR(CORREL($P166:$S166,$T166:$W166),"")</f>
        <v>-0.360222158624235</v>
      </c>
      <c r="AG166" s="0" t="n">
        <f aca="false">IFERROR(CORREL($X166:$AA166,$AB166:$AE166),"")</f>
        <v>0.4</v>
      </c>
      <c r="AH166" s="0" t="n">
        <f aca="false">IFERROR((SIGN($P166-$Q166)*SIGN($T166-$U166)+SIGN($P166-$R166)*SIGN($T166-$V166)+SIGN($P166-$S166)*SIGN($T166-$W166)+SIGN($Q166-$R166)*SIGN($U166-$V166)+SIGN($Q166-$S166)*SIGN($U166-$W166)+SIGN($R166-$S166)*SIGN($V166-$W166))/SQRT((6-(($P166=$Q166)*1+($P166=$R166)*1+($P166=$S166)*1+($Q166=$R166)*1+($Q166=$S166)*1+($R166=$S166)*1))*(6-(($T166=$U166)*1+($T166=$V166)*1+($T166=$W166)*1+($U166=$V166)*1+($U166=$W166)*1+($V166=$W166)*1))),"")</f>
        <v>0.333333333333333</v>
      </c>
      <c r="AI166" s="0" t="n">
        <f aca="false">MATCH(MAX($K166:$O166),$K166:$O166,0)</f>
        <v>3</v>
      </c>
      <c r="AJ166" s="0" t="n">
        <f aca="false">IF(AI166&lt;&gt;$E166,1,0)</f>
        <v>1</v>
      </c>
      <c r="AK166" s="0" t="n">
        <f aca="false">IF(AJ166=1,INDEX($F166:$J166,AI166)/MAX($P166:$S166),"")</f>
        <v>0.451219512195122</v>
      </c>
      <c r="AL166" s="0" t="n">
        <f aca="false">IF(AJ166=1,1+COUNTIF($P166:$S166,"&gt;"&amp;INDEX($F166:$J166,AI166)),"")</f>
        <v>3</v>
      </c>
      <c r="AM166" s="0" t="n">
        <f aca="false">AVERAGE($P166:$S166)/MAX($P166:$S166)</f>
        <v>0.644308943089431</v>
      </c>
      <c r="AN166" s="0" t="n">
        <f aca="false">100-INDEX($F166:$J166,$E166)</f>
        <v>63.4</v>
      </c>
    </row>
    <row r="167" customFormat="false" ht="15" hidden="false" customHeight="false" outlineLevel="0" collapsed="false">
      <c r="A167" s="0" t="s">
        <v>40</v>
      </c>
      <c r="B167" s="0" t="n">
        <v>2020</v>
      </c>
      <c r="C167" s="0" t="s">
        <v>52</v>
      </c>
      <c r="D167" s="0" t="s">
        <v>44</v>
      </c>
      <c r="E167" s="0" t="n">
        <v>1</v>
      </c>
      <c r="F167" s="0" t="n">
        <v>34.4</v>
      </c>
      <c r="G167" s="0" t="n">
        <v>10.1</v>
      </c>
      <c r="H167" s="0" t="n">
        <v>16</v>
      </c>
      <c r="I167" s="0" t="n">
        <v>29.8</v>
      </c>
      <c r="J167" s="0" t="n">
        <v>9.7</v>
      </c>
      <c r="K167" s="0" t="n">
        <v>68.8437686068</v>
      </c>
      <c r="L167" s="0" t="n">
        <v>2.6783679503</v>
      </c>
      <c r="M167" s="0" t="n">
        <v>1.05500816883</v>
      </c>
      <c r="N167" s="0" t="n">
        <v>15.4544903092</v>
      </c>
      <c r="O167" s="0" t="n">
        <v>11.9683649649</v>
      </c>
      <c r="P167" s="0" t="n">
        <f aca="false">INDEX($F167:$J167,IF(1&lt;$E167,1,1+1))</f>
        <v>10.1</v>
      </c>
      <c r="Q167" s="0" t="n">
        <f aca="false">INDEX($F167:$J167,IF(2&lt;$E167,2,2+1))</f>
        <v>16</v>
      </c>
      <c r="R167" s="0" t="n">
        <f aca="false">INDEX($F167:$J167,IF(3&lt;$E167,3,3+1))</f>
        <v>29.8</v>
      </c>
      <c r="S167" s="0" t="n">
        <f aca="false">INDEX($F167:$J167,IF(4&lt;$E167,4,4+1))</f>
        <v>9.7</v>
      </c>
      <c r="T167" s="0" t="n">
        <f aca="false">INDEX($K167:$O167,IF(1&lt;$E167,1,1+1))</f>
        <v>2.6783679503</v>
      </c>
      <c r="U167" s="0" t="n">
        <f aca="false">INDEX($K167:$O167,IF(2&lt;$E167,2,2+1))</f>
        <v>1.05500816883</v>
      </c>
      <c r="V167" s="0" t="n">
        <f aca="false">INDEX($K167:$O167,IF(3&lt;$E167,3,3+1))</f>
        <v>15.4544903092</v>
      </c>
      <c r="W167" s="0" t="n">
        <f aca="false">INDEX($K167:$O167,IF(4&lt;$E167,4,4+1))</f>
        <v>11.9683649649</v>
      </c>
      <c r="X167" s="0" t="n">
        <f aca="false">1+COUNTIF($P167:$S167,"&gt;"&amp;$P167)+(COUNTIF($P167:$S167,$P167)-1)/2</f>
        <v>3</v>
      </c>
      <c r="Y167" s="0" t="n">
        <f aca="false">1+COUNTIF($P167:$S167,"&gt;"&amp;$Q167)+(COUNTIF($P167:$S167,$Q167)-1)/2</f>
        <v>2</v>
      </c>
      <c r="Z167" s="0" t="n">
        <f aca="false">1+COUNTIF($P167:$S167,"&gt;"&amp;$R167)+(COUNTIF($P167:$S167,$R167)-1)/2</f>
        <v>1</v>
      </c>
      <c r="AA167" s="0" t="n">
        <f aca="false">1+COUNTIF($P167:$S167,"&gt;"&amp;$S167)+(COUNTIF($P167:$S167,$S167)-1)/2</f>
        <v>4</v>
      </c>
      <c r="AB167" s="0" t="n">
        <f aca="false">1+COUNTIF($T167:$W167,"&gt;"&amp;$T167)+(COUNTIF($T167:$W167,$T167)-1)/2</f>
        <v>3</v>
      </c>
      <c r="AC167" s="0" t="n">
        <f aca="false">1+COUNTIF($T167:$W167,"&gt;"&amp;$U167)+(COUNTIF($T167:$W167,$U167)-1)/2</f>
        <v>4</v>
      </c>
      <c r="AD167" s="0" t="n">
        <f aca="false">1+COUNTIF($T167:$W167,"&gt;"&amp;$V167)+(COUNTIF($T167:$W167,$V167)-1)/2</f>
        <v>1</v>
      </c>
      <c r="AE167" s="0" t="n">
        <f aca="false">1+COUNTIF($T167:$W167,"&gt;"&amp;$W167)+(COUNTIF($T167:$W167,$W167)-1)/2</f>
        <v>2</v>
      </c>
      <c r="AF167" s="0" t="n">
        <f aca="false">IFERROR(CORREL($P167:$S167,$T167:$W167),"")</f>
        <v>0.554764679423374</v>
      </c>
      <c r="AG167" s="0" t="n">
        <f aca="false">IFERROR(CORREL($X167:$AA167,$AB167:$AE167),"")</f>
        <v>0.2</v>
      </c>
      <c r="AH167" s="0" t="n">
        <f aca="false">IFERROR((SIGN($P167-$Q167)*SIGN($T167-$U167)+SIGN($P167-$R167)*SIGN($T167-$V167)+SIGN($P167-$S167)*SIGN($T167-$W167)+SIGN($Q167-$R167)*SIGN($U167-$V167)+SIGN($Q167-$S167)*SIGN($U167-$W167)+SIGN($R167-$S167)*SIGN($V167-$W167))/SQRT((6-(($P167=$Q167)*1+($P167=$R167)*1+($P167=$S167)*1+($Q167=$R167)*1+($Q167=$S167)*1+($R167=$S167)*1))*(6-(($T167=$U167)*1+($T167=$V167)*1+($T167=$W167)*1+($U167=$V167)*1+($U167=$W167)*1+($V167=$W167)*1))),"")</f>
        <v>0</v>
      </c>
      <c r="AI167" s="0" t="n">
        <f aca="false">MATCH(MAX($K167:$O167),$K167:$O167,0)</f>
        <v>1</v>
      </c>
      <c r="AJ167" s="0" t="n">
        <f aca="false">IF(AI167&lt;&gt;$E167,1,0)</f>
        <v>0</v>
      </c>
      <c r="AK167" s="0" t="str">
        <f aca="false">IF(AJ167=1,INDEX($F167:$J167,AI167)/MAX($P167:$S167),"")</f>
        <v/>
      </c>
      <c r="AL167" s="0" t="str">
        <f aca="false">IF(AJ167=1,1+COUNTIF($P167:$S167,"&gt;"&amp;INDEX($F167:$J167,AI167)),"")</f>
        <v/>
      </c>
      <c r="AM167" s="0" t="n">
        <f aca="false">AVERAGE($P167:$S167)/MAX($P167:$S167)</f>
        <v>0.550335570469799</v>
      </c>
      <c r="AN167" s="0" t="n">
        <f aca="false">100-INDEX($F167:$J167,$E167)</f>
        <v>65.6</v>
      </c>
    </row>
    <row r="168" customFormat="false" ht="15" hidden="false" customHeight="false" outlineLevel="0" collapsed="false">
      <c r="A168" s="0" t="s">
        <v>40</v>
      </c>
      <c r="B168" s="0" t="n">
        <v>2020</v>
      </c>
      <c r="C168" s="0" t="s">
        <v>52</v>
      </c>
      <c r="D168" s="0" t="s">
        <v>45</v>
      </c>
      <c r="E168" s="0" t="n">
        <v>4</v>
      </c>
      <c r="F168" s="0" t="n">
        <v>11.3</v>
      </c>
      <c r="G168" s="0" t="n">
        <v>16.6</v>
      </c>
      <c r="H168" s="0" t="n">
        <v>31.5</v>
      </c>
      <c r="I168" s="0" t="n">
        <v>31.7</v>
      </c>
      <c r="J168" s="0" t="n">
        <v>8.9</v>
      </c>
      <c r="K168" s="0" t="n">
        <v>3.45603906767</v>
      </c>
      <c r="L168" s="0" t="n">
        <v>2.2291899063</v>
      </c>
      <c r="M168" s="0" t="n">
        <v>21.0977833766</v>
      </c>
      <c r="N168" s="0" t="n">
        <v>63.9742545321</v>
      </c>
      <c r="O168" s="0" t="n">
        <v>9.24273311729</v>
      </c>
      <c r="P168" s="0" t="n">
        <f aca="false">INDEX($F168:$J168,IF(1&lt;$E168,1,1+1))</f>
        <v>11.3</v>
      </c>
      <c r="Q168" s="0" t="n">
        <f aca="false">INDEX($F168:$J168,IF(2&lt;$E168,2,2+1))</f>
        <v>16.6</v>
      </c>
      <c r="R168" s="0" t="n">
        <f aca="false">INDEX($F168:$J168,IF(3&lt;$E168,3,3+1))</f>
        <v>31.5</v>
      </c>
      <c r="S168" s="0" t="n">
        <f aca="false">INDEX($F168:$J168,IF(4&lt;$E168,4,4+1))</f>
        <v>8.9</v>
      </c>
      <c r="T168" s="0" t="n">
        <f aca="false">INDEX($K168:$O168,IF(1&lt;$E168,1,1+1))</f>
        <v>3.45603906767</v>
      </c>
      <c r="U168" s="0" t="n">
        <f aca="false">INDEX($K168:$O168,IF(2&lt;$E168,2,2+1))</f>
        <v>2.2291899063</v>
      </c>
      <c r="V168" s="0" t="n">
        <f aca="false">INDEX($K168:$O168,IF(3&lt;$E168,3,3+1))</f>
        <v>21.0977833766</v>
      </c>
      <c r="W168" s="0" t="n">
        <f aca="false">INDEX($K168:$O168,IF(4&lt;$E168,4,4+1))</f>
        <v>9.24273311729</v>
      </c>
      <c r="X168" s="0" t="n">
        <f aca="false">1+COUNTIF($P168:$S168,"&gt;"&amp;$P168)+(COUNTIF($P168:$S168,$P168)-1)/2</f>
        <v>3</v>
      </c>
      <c r="Y168" s="0" t="n">
        <f aca="false">1+COUNTIF($P168:$S168,"&gt;"&amp;$Q168)+(COUNTIF($P168:$S168,$Q168)-1)/2</f>
        <v>2</v>
      </c>
      <c r="Z168" s="0" t="n">
        <f aca="false">1+COUNTIF($P168:$S168,"&gt;"&amp;$R168)+(COUNTIF($P168:$S168,$R168)-1)/2</f>
        <v>1</v>
      </c>
      <c r="AA168" s="0" t="n">
        <f aca="false">1+COUNTIF($P168:$S168,"&gt;"&amp;$S168)+(COUNTIF($P168:$S168,$S168)-1)/2</f>
        <v>4</v>
      </c>
      <c r="AB168" s="0" t="n">
        <f aca="false">1+COUNTIF($T168:$W168,"&gt;"&amp;$T168)+(COUNTIF($T168:$W168,$T168)-1)/2</f>
        <v>3</v>
      </c>
      <c r="AC168" s="0" t="n">
        <f aca="false">1+COUNTIF($T168:$W168,"&gt;"&amp;$U168)+(COUNTIF($T168:$W168,$U168)-1)/2</f>
        <v>4</v>
      </c>
      <c r="AD168" s="0" t="n">
        <f aca="false">1+COUNTIF($T168:$W168,"&gt;"&amp;$V168)+(COUNTIF($T168:$W168,$V168)-1)/2</f>
        <v>1</v>
      </c>
      <c r="AE168" s="0" t="n">
        <f aca="false">1+COUNTIF($T168:$W168,"&gt;"&amp;$W168)+(COUNTIF($T168:$W168,$W168)-1)/2</f>
        <v>2</v>
      </c>
      <c r="AF168" s="0" t="n">
        <f aca="false">IFERROR(CORREL($P168:$S168,$T168:$W168),"")</f>
        <v>0.792124326002188</v>
      </c>
      <c r="AG168" s="0" t="n">
        <f aca="false">IFERROR(CORREL($X168:$AA168,$AB168:$AE168),"")</f>
        <v>0.2</v>
      </c>
      <c r="AH168" s="0" t="n">
        <f aca="false">IFERROR((SIGN($P168-$Q168)*SIGN($T168-$U168)+SIGN($P168-$R168)*SIGN($T168-$V168)+SIGN($P168-$S168)*SIGN($T168-$W168)+SIGN($Q168-$R168)*SIGN($U168-$V168)+SIGN($Q168-$S168)*SIGN($U168-$W168)+SIGN($R168-$S168)*SIGN($V168-$W168))/SQRT((6-(($P168=$Q168)*1+($P168=$R168)*1+($P168=$S168)*1+($Q168=$R168)*1+($Q168=$S168)*1+($R168=$S168)*1))*(6-(($T168=$U168)*1+($T168=$V168)*1+($T168=$W168)*1+($U168=$V168)*1+($U168=$W168)*1+($V168=$W168)*1))),"")</f>
        <v>0</v>
      </c>
      <c r="AI168" s="0" t="n">
        <f aca="false">MATCH(MAX($K168:$O168),$K168:$O168,0)</f>
        <v>4</v>
      </c>
      <c r="AJ168" s="0" t="n">
        <f aca="false">IF(AI168&lt;&gt;$E168,1,0)</f>
        <v>0</v>
      </c>
      <c r="AK168" s="0" t="str">
        <f aca="false">IF(AJ168=1,INDEX($F168:$J168,AI168)/MAX($P168:$S168),"")</f>
        <v/>
      </c>
      <c r="AL168" s="0" t="str">
        <f aca="false">IF(AJ168=1,1+COUNTIF($P168:$S168,"&gt;"&amp;INDEX($F168:$J168,AI168)),"")</f>
        <v/>
      </c>
      <c r="AM168" s="0" t="n">
        <f aca="false">AVERAGE($P168:$S168)/MAX($P168:$S168)</f>
        <v>0.542063492063492</v>
      </c>
      <c r="AN168" s="0" t="n">
        <f aca="false">100-INDEX($F168:$J168,$E168)</f>
        <v>68.3</v>
      </c>
    </row>
    <row r="169" customFormat="false" ht="15" hidden="false" customHeight="false" outlineLevel="0" collapsed="false">
      <c r="A169" s="0" t="s">
        <v>40</v>
      </c>
      <c r="B169" s="0" t="n">
        <v>2020</v>
      </c>
      <c r="C169" s="0" t="s">
        <v>46</v>
      </c>
      <c r="D169" s="0" t="s">
        <v>42</v>
      </c>
      <c r="E169" s="0" t="n">
        <v>1</v>
      </c>
      <c r="F169" s="0" t="n">
        <v>50.6</v>
      </c>
      <c r="G169" s="0" t="n">
        <v>11.1</v>
      </c>
      <c r="H169" s="0" t="n">
        <v>16.3</v>
      </c>
      <c r="I169" s="0" t="n">
        <v>10.6</v>
      </c>
      <c r="J169" s="0" t="n">
        <v>11.4</v>
      </c>
      <c r="K169" s="0" t="n">
        <v>57.8776851595</v>
      </c>
      <c r="L169" s="0" t="n">
        <v>1.30417305369</v>
      </c>
      <c r="M169" s="0" t="n">
        <v>18.4600597409</v>
      </c>
      <c r="N169" s="0" t="n">
        <v>0.977409692827</v>
      </c>
      <c r="O169" s="0" t="n">
        <v>21.3806723531</v>
      </c>
      <c r="P169" s="0" t="n">
        <f aca="false">INDEX($F169:$J169,IF(1&lt;$E169,1,1+1))</f>
        <v>11.1</v>
      </c>
      <c r="Q169" s="0" t="n">
        <f aca="false">INDEX($F169:$J169,IF(2&lt;$E169,2,2+1))</f>
        <v>16.3</v>
      </c>
      <c r="R169" s="0" t="n">
        <f aca="false">INDEX($F169:$J169,IF(3&lt;$E169,3,3+1))</f>
        <v>10.6</v>
      </c>
      <c r="S169" s="0" t="n">
        <f aca="false">INDEX($F169:$J169,IF(4&lt;$E169,4,4+1))</f>
        <v>11.4</v>
      </c>
      <c r="T169" s="0" t="n">
        <f aca="false">INDEX($K169:$O169,IF(1&lt;$E169,1,1+1))</f>
        <v>1.30417305369</v>
      </c>
      <c r="U169" s="0" t="n">
        <f aca="false">INDEX($K169:$O169,IF(2&lt;$E169,2,2+1))</f>
        <v>18.4600597409</v>
      </c>
      <c r="V169" s="0" t="n">
        <f aca="false">INDEX($K169:$O169,IF(3&lt;$E169,3,3+1))</f>
        <v>0.977409692827</v>
      </c>
      <c r="W169" s="0" t="n">
        <f aca="false">INDEX($K169:$O169,IF(4&lt;$E169,4,4+1))</f>
        <v>21.3806723531</v>
      </c>
      <c r="X169" s="0" t="n">
        <f aca="false">1+COUNTIF($P169:$S169,"&gt;"&amp;$P169)+(COUNTIF($P169:$S169,$P169)-1)/2</f>
        <v>3</v>
      </c>
      <c r="Y169" s="0" t="n">
        <f aca="false">1+COUNTIF($P169:$S169,"&gt;"&amp;$Q169)+(COUNTIF($P169:$S169,$Q169)-1)/2</f>
        <v>1</v>
      </c>
      <c r="Z169" s="0" t="n">
        <f aca="false">1+COUNTIF($P169:$S169,"&gt;"&amp;$R169)+(COUNTIF($P169:$S169,$R169)-1)/2</f>
        <v>4</v>
      </c>
      <c r="AA169" s="0" t="n">
        <f aca="false">1+COUNTIF($P169:$S169,"&gt;"&amp;$S169)+(COUNTIF($P169:$S169,$S169)-1)/2</f>
        <v>2</v>
      </c>
      <c r="AB169" s="0" t="n">
        <f aca="false">1+COUNTIF($T169:$W169,"&gt;"&amp;$T169)+(COUNTIF($T169:$W169,$T169)-1)/2</f>
        <v>3</v>
      </c>
      <c r="AC169" s="0" t="n">
        <f aca="false">1+COUNTIF($T169:$W169,"&gt;"&amp;$U169)+(COUNTIF($T169:$W169,$U169)-1)/2</f>
        <v>2</v>
      </c>
      <c r="AD169" s="0" t="n">
        <f aca="false">1+COUNTIF($T169:$W169,"&gt;"&amp;$V169)+(COUNTIF($T169:$W169,$V169)-1)/2</f>
        <v>4</v>
      </c>
      <c r="AE169" s="0" t="n">
        <f aca="false">1+COUNTIF($T169:$W169,"&gt;"&amp;$W169)+(COUNTIF($T169:$W169,$W169)-1)/2</f>
        <v>1</v>
      </c>
      <c r="AF169" s="0" t="n">
        <f aca="false">IFERROR(CORREL($P169:$S169,$T169:$W169),"")</f>
        <v>0.567230359731132</v>
      </c>
      <c r="AG169" s="0" t="n">
        <f aca="false">IFERROR(CORREL($X169:$AA169,$AB169:$AE169),"")</f>
        <v>0.8</v>
      </c>
      <c r="AH169" s="0" t="n">
        <f aca="false">IFERROR((SIGN($P169-$Q169)*SIGN($T169-$U169)+SIGN($P169-$R169)*SIGN($T169-$V169)+SIGN($P169-$S169)*SIGN($T169-$W169)+SIGN($Q169-$R169)*SIGN($U169-$V169)+SIGN($Q169-$S169)*SIGN($U169-$W169)+SIGN($R169-$S169)*SIGN($V169-$W169))/SQRT((6-(($P169=$Q169)*1+($P169=$R169)*1+($P169=$S169)*1+($Q169=$R169)*1+($Q169=$S169)*1+($R169=$S169)*1))*(6-(($T169=$U169)*1+($T169=$V169)*1+($T169=$W169)*1+($U169=$V169)*1+($U169=$W169)*1+($V169=$W169)*1))),"")</f>
        <v>0.666666666666667</v>
      </c>
      <c r="AI169" s="0" t="n">
        <f aca="false">MATCH(MAX($K169:$O169),$K169:$O169,0)</f>
        <v>1</v>
      </c>
      <c r="AJ169" s="0" t="n">
        <f aca="false">IF(AI169&lt;&gt;$E169,1,0)</f>
        <v>0</v>
      </c>
      <c r="AK169" s="0" t="str">
        <f aca="false">IF(AJ169=1,INDEX($F169:$J169,AI169)/MAX($P169:$S169),"")</f>
        <v/>
      </c>
      <c r="AL169" s="0" t="str">
        <f aca="false">IF(AJ169=1,1+COUNTIF($P169:$S169,"&gt;"&amp;INDEX($F169:$J169,AI169)),"")</f>
        <v/>
      </c>
      <c r="AM169" s="0" t="n">
        <f aca="false">AVERAGE($P169:$S169)/MAX($P169:$S169)</f>
        <v>0.757668711656442</v>
      </c>
      <c r="AN169" s="0" t="n">
        <f aca="false">100-INDEX($F169:$J169,$E169)</f>
        <v>49.4</v>
      </c>
    </row>
    <row r="170" customFormat="false" ht="15" hidden="false" customHeight="false" outlineLevel="0" collapsed="false">
      <c r="A170" s="0" t="s">
        <v>40</v>
      </c>
      <c r="B170" s="0" t="n">
        <v>2020</v>
      </c>
      <c r="C170" s="0" t="s">
        <v>46</v>
      </c>
      <c r="D170" s="0" t="s">
        <v>43</v>
      </c>
      <c r="E170" s="0" t="n">
        <v>1</v>
      </c>
      <c r="F170" s="0" t="n">
        <v>47.2</v>
      </c>
      <c r="G170" s="0" t="n">
        <v>18.3</v>
      </c>
      <c r="H170" s="0" t="n">
        <v>16.2</v>
      </c>
      <c r="I170" s="0" t="n">
        <v>11.6</v>
      </c>
      <c r="J170" s="0" t="n">
        <v>6.8</v>
      </c>
      <c r="K170" s="0" t="n">
        <v>11.468993128</v>
      </c>
      <c r="L170" s="0" t="n">
        <v>8.86036933027</v>
      </c>
      <c r="M170" s="0" t="n">
        <v>51.8965538803</v>
      </c>
      <c r="N170" s="0" t="n">
        <v>1.30077085366</v>
      </c>
      <c r="O170" s="0" t="n">
        <v>26.4733128077</v>
      </c>
      <c r="P170" s="0" t="n">
        <f aca="false">INDEX($F170:$J170,IF(1&lt;$E170,1,1+1))</f>
        <v>18.3</v>
      </c>
      <c r="Q170" s="0" t="n">
        <f aca="false">INDEX($F170:$J170,IF(2&lt;$E170,2,2+1))</f>
        <v>16.2</v>
      </c>
      <c r="R170" s="0" t="n">
        <f aca="false">INDEX($F170:$J170,IF(3&lt;$E170,3,3+1))</f>
        <v>11.6</v>
      </c>
      <c r="S170" s="0" t="n">
        <f aca="false">INDEX($F170:$J170,IF(4&lt;$E170,4,4+1))</f>
        <v>6.8</v>
      </c>
      <c r="T170" s="0" t="n">
        <f aca="false">INDEX($K170:$O170,IF(1&lt;$E170,1,1+1))</f>
        <v>8.86036933027</v>
      </c>
      <c r="U170" s="0" t="n">
        <f aca="false">INDEX($K170:$O170,IF(2&lt;$E170,2,2+1))</f>
        <v>51.8965538803</v>
      </c>
      <c r="V170" s="0" t="n">
        <f aca="false">INDEX($K170:$O170,IF(3&lt;$E170,3,3+1))</f>
        <v>1.30077085366</v>
      </c>
      <c r="W170" s="0" t="n">
        <f aca="false">INDEX($K170:$O170,IF(4&lt;$E170,4,4+1))</f>
        <v>26.4733128077</v>
      </c>
      <c r="X170" s="0" t="n">
        <f aca="false">1+COUNTIF($P170:$S170,"&gt;"&amp;$P170)+(COUNTIF($P170:$S170,$P170)-1)/2</f>
        <v>1</v>
      </c>
      <c r="Y170" s="0" t="n">
        <f aca="false">1+COUNTIF($P170:$S170,"&gt;"&amp;$Q170)+(COUNTIF($P170:$S170,$Q170)-1)/2</f>
        <v>2</v>
      </c>
      <c r="Z170" s="0" t="n">
        <f aca="false">1+COUNTIF($P170:$S170,"&gt;"&amp;$R170)+(COUNTIF($P170:$S170,$R170)-1)/2</f>
        <v>3</v>
      </c>
      <c r="AA170" s="0" t="n">
        <f aca="false">1+COUNTIF($P170:$S170,"&gt;"&amp;$S170)+(COUNTIF($P170:$S170,$S170)-1)/2</f>
        <v>4</v>
      </c>
      <c r="AB170" s="0" t="n">
        <f aca="false">1+COUNTIF($T170:$W170,"&gt;"&amp;$T170)+(COUNTIF($T170:$W170,$T170)-1)/2</f>
        <v>3</v>
      </c>
      <c r="AC170" s="0" t="n">
        <f aca="false">1+COUNTIF($T170:$W170,"&gt;"&amp;$U170)+(COUNTIF($T170:$W170,$U170)-1)/2</f>
        <v>1</v>
      </c>
      <c r="AD170" s="0" t="n">
        <f aca="false">1+COUNTIF($T170:$W170,"&gt;"&amp;$V170)+(COUNTIF($T170:$W170,$V170)-1)/2</f>
        <v>4</v>
      </c>
      <c r="AE170" s="0" t="n">
        <f aca="false">1+COUNTIF($T170:$W170,"&gt;"&amp;$W170)+(COUNTIF($T170:$W170,$W170)-1)/2</f>
        <v>2</v>
      </c>
      <c r="AF170" s="0" t="n">
        <f aca="false">IFERROR(CORREL($P170:$S170,$T170:$W170),"")</f>
        <v>0.0787290823073581</v>
      </c>
      <c r="AG170" s="0" t="n">
        <f aca="false">IFERROR(CORREL($X170:$AA170,$AB170:$AE170),"")</f>
        <v>0</v>
      </c>
      <c r="AH170" s="0" t="n">
        <f aca="false">IFERROR((SIGN($P170-$Q170)*SIGN($T170-$U170)+SIGN($P170-$R170)*SIGN($T170-$V170)+SIGN($P170-$S170)*SIGN($T170-$W170)+SIGN($Q170-$R170)*SIGN($U170-$V170)+SIGN($Q170-$S170)*SIGN($U170-$W170)+SIGN($R170-$S170)*SIGN($V170-$W170))/SQRT((6-(($P170=$Q170)*1+($P170=$R170)*1+($P170=$S170)*1+($Q170=$R170)*1+($Q170=$S170)*1+($R170=$S170)*1))*(6-(($T170=$U170)*1+($T170=$V170)*1+($T170=$W170)*1+($U170=$V170)*1+($U170=$W170)*1+($V170=$W170)*1))),"")</f>
        <v>0</v>
      </c>
      <c r="AI170" s="0" t="n">
        <f aca="false">MATCH(MAX($K170:$O170),$K170:$O170,0)</f>
        <v>3</v>
      </c>
      <c r="AJ170" s="0" t="n">
        <f aca="false">IF(AI170&lt;&gt;$E170,1,0)</f>
        <v>1</v>
      </c>
      <c r="AK170" s="0" t="n">
        <f aca="false">IF(AJ170=1,INDEX($F170:$J170,AI170)/MAX($P170:$S170),"")</f>
        <v>0.885245901639344</v>
      </c>
      <c r="AL170" s="0" t="n">
        <f aca="false">IF(AJ170=1,1+COUNTIF($P170:$S170,"&gt;"&amp;INDEX($F170:$J170,AI170)),"")</f>
        <v>2</v>
      </c>
      <c r="AM170" s="0" t="n">
        <f aca="false">AVERAGE($P170:$S170)/MAX($P170:$S170)</f>
        <v>0.722677595628415</v>
      </c>
      <c r="AN170" s="0" t="n">
        <f aca="false">100-INDEX($F170:$J170,$E170)</f>
        <v>52.8</v>
      </c>
    </row>
    <row r="171" customFormat="false" ht="15" hidden="false" customHeight="false" outlineLevel="0" collapsed="false">
      <c r="A171" s="0" t="s">
        <v>40</v>
      </c>
      <c r="B171" s="0" t="n">
        <v>2020</v>
      </c>
      <c r="C171" s="0" t="s">
        <v>46</v>
      </c>
      <c r="D171" s="0" t="s">
        <v>44</v>
      </c>
      <c r="E171" s="0" t="n">
        <v>2</v>
      </c>
      <c r="F171" s="0" t="n">
        <v>11.4</v>
      </c>
      <c r="G171" s="0" t="n">
        <v>44.9</v>
      </c>
      <c r="H171" s="0" t="n">
        <v>18.5</v>
      </c>
      <c r="I171" s="0" t="n">
        <v>15.6</v>
      </c>
      <c r="J171" s="0" t="n">
        <v>9.7</v>
      </c>
      <c r="K171" s="0" t="n">
        <v>4.35592678173</v>
      </c>
      <c r="L171" s="0" t="n">
        <v>49.997349281</v>
      </c>
      <c r="M171" s="0" t="n">
        <v>24.9277316753</v>
      </c>
      <c r="N171" s="0" t="n">
        <v>12.6483711661</v>
      </c>
      <c r="O171" s="0" t="n">
        <v>8.07062109586</v>
      </c>
      <c r="P171" s="0" t="n">
        <f aca="false">INDEX($F171:$J171,IF(1&lt;$E171,1,1+1))</f>
        <v>11.4</v>
      </c>
      <c r="Q171" s="0" t="n">
        <f aca="false">INDEX($F171:$J171,IF(2&lt;$E171,2,2+1))</f>
        <v>18.5</v>
      </c>
      <c r="R171" s="0" t="n">
        <f aca="false">INDEX($F171:$J171,IF(3&lt;$E171,3,3+1))</f>
        <v>15.6</v>
      </c>
      <c r="S171" s="0" t="n">
        <f aca="false">INDEX($F171:$J171,IF(4&lt;$E171,4,4+1))</f>
        <v>9.7</v>
      </c>
      <c r="T171" s="0" t="n">
        <f aca="false">INDEX($K171:$O171,IF(1&lt;$E171,1,1+1))</f>
        <v>4.35592678173</v>
      </c>
      <c r="U171" s="0" t="n">
        <f aca="false">INDEX($K171:$O171,IF(2&lt;$E171,2,2+1))</f>
        <v>24.9277316753</v>
      </c>
      <c r="V171" s="0" t="n">
        <f aca="false">INDEX($K171:$O171,IF(3&lt;$E171,3,3+1))</f>
        <v>12.6483711661</v>
      </c>
      <c r="W171" s="0" t="n">
        <f aca="false">INDEX($K171:$O171,IF(4&lt;$E171,4,4+1))</f>
        <v>8.07062109586</v>
      </c>
      <c r="X171" s="0" t="n">
        <f aca="false">1+COUNTIF($P171:$S171,"&gt;"&amp;$P171)+(COUNTIF($P171:$S171,$P171)-1)/2</f>
        <v>3</v>
      </c>
      <c r="Y171" s="0" t="n">
        <f aca="false">1+COUNTIF($P171:$S171,"&gt;"&amp;$Q171)+(COUNTIF($P171:$S171,$Q171)-1)/2</f>
        <v>1</v>
      </c>
      <c r="Z171" s="0" t="n">
        <f aca="false">1+COUNTIF($P171:$S171,"&gt;"&amp;$R171)+(COUNTIF($P171:$S171,$R171)-1)/2</f>
        <v>2</v>
      </c>
      <c r="AA171" s="0" t="n">
        <f aca="false">1+COUNTIF($P171:$S171,"&gt;"&amp;$S171)+(COUNTIF($P171:$S171,$S171)-1)/2</f>
        <v>4</v>
      </c>
      <c r="AB171" s="0" t="n">
        <f aca="false">1+COUNTIF($T171:$W171,"&gt;"&amp;$T171)+(COUNTIF($T171:$W171,$T171)-1)/2</f>
        <v>4</v>
      </c>
      <c r="AC171" s="0" t="n">
        <f aca="false">1+COUNTIF($T171:$W171,"&gt;"&amp;$U171)+(COUNTIF($T171:$W171,$U171)-1)/2</f>
        <v>1</v>
      </c>
      <c r="AD171" s="0" t="n">
        <f aca="false">1+COUNTIF($T171:$W171,"&gt;"&amp;$V171)+(COUNTIF($T171:$W171,$V171)-1)/2</f>
        <v>2</v>
      </c>
      <c r="AE171" s="0" t="n">
        <f aca="false">1+COUNTIF($T171:$W171,"&gt;"&amp;$W171)+(COUNTIF($T171:$W171,$W171)-1)/2</f>
        <v>3</v>
      </c>
      <c r="AF171" s="0" t="n">
        <f aca="false">IFERROR(CORREL($P171:$S171,$T171:$W171),"")</f>
        <v>0.898160598839487</v>
      </c>
      <c r="AG171" s="0" t="n">
        <f aca="false">IFERROR(CORREL($X171:$AA171,$AB171:$AE171),"")</f>
        <v>0.8</v>
      </c>
      <c r="AH171" s="0" t="n">
        <f aca="false">IFERROR((SIGN($P171-$Q171)*SIGN($T171-$U171)+SIGN($P171-$R171)*SIGN($T171-$V171)+SIGN($P171-$S171)*SIGN($T171-$W171)+SIGN($Q171-$R171)*SIGN($U171-$V171)+SIGN($Q171-$S171)*SIGN($U171-$W171)+SIGN($R171-$S171)*SIGN($V171-$W171))/SQRT((6-(($P171=$Q171)*1+($P171=$R171)*1+($P171=$S171)*1+($Q171=$R171)*1+($Q171=$S171)*1+($R171=$S171)*1))*(6-(($T171=$U171)*1+($T171=$V171)*1+($T171=$W171)*1+($U171=$V171)*1+($U171=$W171)*1+($V171=$W171)*1))),"")</f>
        <v>0.666666666666667</v>
      </c>
      <c r="AI171" s="0" t="n">
        <f aca="false">MATCH(MAX($K171:$O171),$K171:$O171,0)</f>
        <v>2</v>
      </c>
      <c r="AJ171" s="0" t="n">
        <f aca="false">IF(AI171&lt;&gt;$E171,1,0)</f>
        <v>0</v>
      </c>
      <c r="AK171" s="0" t="str">
        <f aca="false">IF(AJ171=1,INDEX($F171:$J171,AI171)/MAX($P171:$S171),"")</f>
        <v/>
      </c>
      <c r="AL171" s="0" t="str">
        <f aca="false">IF(AJ171=1,1+COUNTIF($P171:$S171,"&gt;"&amp;INDEX($F171:$J171,AI171)),"")</f>
        <v/>
      </c>
      <c r="AM171" s="0" t="n">
        <f aca="false">AVERAGE($P171:$S171)/MAX($P171:$S171)</f>
        <v>0.745945945945946</v>
      </c>
      <c r="AN171" s="0" t="n">
        <f aca="false">100-INDEX($F171:$J171,$E171)</f>
        <v>55.1</v>
      </c>
    </row>
    <row r="172" customFormat="false" ht="15" hidden="false" customHeight="false" outlineLevel="0" collapsed="false">
      <c r="A172" s="0" t="s">
        <v>40</v>
      </c>
      <c r="B172" s="0" t="n">
        <v>2020</v>
      </c>
      <c r="C172" s="0" t="s">
        <v>46</v>
      </c>
      <c r="D172" s="0" t="s">
        <v>45</v>
      </c>
      <c r="E172" s="0" t="n">
        <v>4</v>
      </c>
      <c r="F172" s="0" t="n">
        <v>24.4</v>
      </c>
      <c r="G172" s="0" t="n">
        <v>14</v>
      </c>
      <c r="H172" s="0" t="n">
        <v>16.7</v>
      </c>
      <c r="I172" s="0" t="n">
        <v>32.6</v>
      </c>
      <c r="J172" s="0" t="n">
        <v>12.3</v>
      </c>
      <c r="K172" s="0" t="n">
        <v>30.8304877793</v>
      </c>
      <c r="L172" s="0" t="n">
        <v>3.58950724589</v>
      </c>
      <c r="M172" s="0" t="n">
        <v>17.5924658803</v>
      </c>
      <c r="N172" s="0" t="n">
        <v>7.92211591068</v>
      </c>
      <c r="O172" s="0" t="n">
        <v>40.0654231838</v>
      </c>
      <c r="P172" s="0" t="n">
        <f aca="false">INDEX($F172:$J172,IF(1&lt;$E172,1,1+1))</f>
        <v>24.4</v>
      </c>
      <c r="Q172" s="0" t="n">
        <f aca="false">INDEX($F172:$J172,IF(2&lt;$E172,2,2+1))</f>
        <v>14</v>
      </c>
      <c r="R172" s="0" t="n">
        <f aca="false">INDEX($F172:$J172,IF(3&lt;$E172,3,3+1))</f>
        <v>16.7</v>
      </c>
      <c r="S172" s="0" t="n">
        <f aca="false">INDEX($F172:$J172,IF(4&lt;$E172,4,4+1))</f>
        <v>12.3</v>
      </c>
      <c r="T172" s="0" t="n">
        <f aca="false">INDEX($K172:$O172,IF(1&lt;$E172,1,1+1))</f>
        <v>30.8304877793</v>
      </c>
      <c r="U172" s="0" t="n">
        <f aca="false">INDEX($K172:$O172,IF(2&lt;$E172,2,2+1))</f>
        <v>3.58950724589</v>
      </c>
      <c r="V172" s="0" t="n">
        <f aca="false">INDEX($K172:$O172,IF(3&lt;$E172,3,3+1))</f>
        <v>17.5924658803</v>
      </c>
      <c r="W172" s="0" t="n">
        <f aca="false">INDEX($K172:$O172,IF(4&lt;$E172,4,4+1))</f>
        <v>40.0654231838</v>
      </c>
      <c r="X172" s="0" t="n">
        <f aca="false">1+COUNTIF($P172:$S172,"&gt;"&amp;$P172)+(COUNTIF($P172:$S172,$P172)-1)/2</f>
        <v>1</v>
      </c>
      <c r="Y172" s="0" t="n">
        <f aca="false">1+COUNTIF($P172:$S172,"&gt;"&amp;$Q172)+(COUNTIF($P172:$S172,$Q172)-1)/2</f>
        <v>3</v>
      </c>
      <c r="Z172" s="0" t="n">
        <f aca="false">1+COUNTIF($P172:$S172,"&gt;"&amp;$R172)+(COUNTIF($P172:$S172,$R172)-1)/2</f>
        <v>2</v>
      </c>
      <c r="AA172" s="0" t="n">
        <f aca="false">1+COUNTIF($P172:$S172,"&gt;"&amp;$S172)+(COUNTIF($P172:$S172,$S172)-1)/2</f>
        <v>4</v>
      </c>
      <c r="AB172" s="0" t="n">
        <f aca="false">1+COUNTIF($T172:$W172,"&gt;"&amp;$T172)+(COUNTIF($T172:$W172,$T172)-1)/2</f>
        <v>2</v>
      </c>
      <c r="AC172" s="0" t="n">
        <f aca="false">1+COUNTIF($T172:$W172,"&gt;"&amp;$U172)+(COUNTIF($T172:$W172,$U172)-1)/2</f>
        <v>4</v>
      </c>
      <c r="AD172" s="0" t="n">
        <f aca="false">1+COUNTIF($T172:$W172,"&gt;"&amp;$V172)+(COUNTIF($T172:$W172,$V172)-1)/2</f>
        <v>3</v>
      </c>
      <c r="AE172" s="0" t="n">
        <f aca="false">1+COUNTIF($T172:$W172,"&gt;"&amp;$W172)+(COUNTIF($T172:$W172,$W172)-1)/2</f>
        <v>1</v>
      </c>
      <c r="AF172" s="0" t="n">
        <f aca="false">IFERROR(CORREL($P172:$S172,$T172:$W172),"")</f>
        <v>0.147355321316304</v>
      </c>
      <c r="AG172" s="0" t="n">
        <f aca="false">IFERROR(CORREL($X172:$AA172,$AB172:$AE172),"")</f>
        <v>-0.2</v>
      </c>
      <c r="AH172" s="0" t="n">
        <f aca="false">IFERROR((SIGN($P172-$Q172)*SIGN($T172-$U172)+SIGN($P172-$R172)*SIGN($T172-$V172)+SIGN($P172-$S172)*SIGN($T172-$W172)+SIGN($Q172-$R172)*SIGN($U172-$V172)+SIGN($Q172-$S172)*SIGN($U172-$W172)+SIGN($R172-$S172)*SIGN($V172-$W172))/SQRT((6-(($P172=$Q172)*1+($P172=$R172)*1+($P172=$S172)*1+($Q172=$R172)*1+($Q172=$S172)*1+($R172=$S172)*1))*(6-(($T172=$U172)*1+($T172=$V172)*1+($T172=$W172)*1+($U172=$V172)*1+($U172=$W172)*1+($V172=$W172)*1))),"")</f>
        <v>0</v>
      </c>
      <c r="AI172" s="0" t="n">
        <f aca="false">MATCH(MAX($K172:$O172),$K172:$O172,0)</f>
        <v>5</v>
      </c>
      <c r="AJ172" s="0" t="n">
        <f aca="false">IF(AI172&lt;&gt;$E172,1,0)</f>
        <v>1</v>
      </c>
      <c r="AK172" s="0" t="n">
        <f aca="false">IF(AJ172=1,INDEX($F172:$J172,AI172)/MAX($P172:$S172),"")</f>
        <v>0.504098360655738</v>
      </c>
      <c r="AL172" s="0" t="n">
        <f aca="false">IF(AJ172=1,1+COUNTIF($P172:$S172,"&gt;"&amp;INDEX($F172:$J172,AI172)),"")</f>
        <v>4</v>
      </c>
      <c r="AM172" s="0" t="n">
        <f aca="false">AVERAGE($P172:$S172)/MAX($P172:$S172)</f>
        <v>0.690573770491803</v>
      </c>
      <c r="AN172" s="0" t="n">
        <f aca="false">100-INDEX($F172:$J172,$E172)</f>
        <v>67.4</v>
      </c>
    </row>
    <row r="173" customFormat="false" ht="15" hidden="false" customHeight="false" outlineLevel="0" collapsed="false">
      <c r="A173" s="0" t="s">
        <v>40</v>
      </c>
      <c r="B173" s="0" t="n">
        <v>2020</v>
      </c>
      <c r="C173" s="0" t="s">
        <v>47</v>
      </c>
      <c r="D173" s="0" t="s">
        <v>42</v>
      </c>
      <c r="E173" s="0" t="n">
        <v>2</v>
      </c>
      <c r="F173" s="0" t="n">
        <v>24.1</v>
      </c>
      <c r="G173" s="0" t="n">
        <v>28.9</v>
      </c>
      <c r="H173" s="0" t="n">
        <v>10.6</v>
      </c>
      <c r="I173" s="0" t="n">
        <v>15.9</v>
      </c>
      <c r="J173" s="0" t="n">
        <v>20</v>
      </c>
      <c r="K173" s="0" t="n">
        <v>0.242477994427</v>
      </c>
      <c r="L173" s="0" t="n">
        <v>99.651922274</v>
      </c>
      <c r="M173" s="0" t="n">
        <v>0.0232476021631</v>
      </c>
      <c r="N173" s="0" t="n">
        <v>0.0175391875328</v>
      </c>
      <c r="O173" s="0" t="n">
        <v>0.0648129418569</v>
      </c>
      <c r="P173" s="0" t="n">
        <f aca="false">INDEX($F173:$J173,IF(1&lt;$E173,1,1+1))</f>
        <v>24.1</v>
      </c>
      <c r="Q173" s="0" t="n">
        <f aca="false">INDEX($F173:$J173,IF(2&lt;$E173,2,2+1))</f>
        <v>10.6</v>
      </c>
      <c r="R173" s="0" t="n">
        <f aca="false">INDEX($F173:$J173,IF(3&lt;$E173,3,3+1))</f>
        <v>15.9</v>
      </c>
      <c r="S173" s="0" t="n">
        <f aca="false">INDEX($F173:$J173,IF(4&lt;$E173,4,4+1))</f>
        <v>20</v>
      </c>
      <c r="T173" s="0" t="n">
        <f aca="false">INDEX($K173:$O173,IF(1&lt;$E173,1,1+1))</f>
        <v>0.242477994427</v>
      </c>
      <c r="U173" s="0" t="n">
        <f aca="false">INDEX($K173:$O173,IF(2&lt;$E173,2,2+1))</f>
        <v>0.0232476021631</v>
      </c>
      <c r="V173" s="0" t="n">
        <f aca="false">INDEX($K173:$O173,IF(3&lt;$E173,3,3+1))</f>
        <v>0.0175391875328</v>
      </c>
      <c r="W173" s="0" t="n">
        <f aca="false">INDEX($K173:$O173,IF(4&lt;$E173,4,4+1))</f>
        <v>0.0648129418569</v>
      </c>
      <c r="X173" s="0" t="n">
        <f aca="false">1+COUNTIF($P173:$S173,"&gt;"&amp;$P173)+(COUNTIF($P173:$S173,$P173)-1)/2</f>
        <v>1</v>
      </c>
      <c r="Y173" s="0" t="n">
        <f aca="false">1+COUNTIF($P173:$S173,"&gt;"&amp;$Q173)+(COUNTIF($P173:$S173,$Q173)-1)/2</f>
        <v>4</v>
      </c>
      <c r="Z173" s="0" t="n">
        <f aca="false">1+COUNTIF($P173:$S173,"&gt;"&amp;$R173)+(COUNTIF($P173:$S173,$R173)-1)/2</f>
        <v>3</v>
      </c>
      <c r="AA173" s="0" t="n">
        <f aca="false">1+COUNTIF($P173:$S173,"&gt;"&amp;$S173)+(COUNTIF($P173:$S173,$S173)-1)/2</f>
        <v>2</v>
      </c>
      <c r="AB173" s="0" t="n">
        <f aca="false">1+COUNTIF($T173:$W173,"&gt;"&amp;$T173)+(COUNTIF($T173:$W173,$T173)-1)/2</f>
        <v>1</v>
      </c>
      <c r="AC173" s="0" t="n">
        <f aca="false">1+COUNTIF($T173:$W173,"&gt;"&amp;$U173)+(COUNTIF($T173:$W173,$U173)-1)/2</f>
        <v>3</v>
      </c>
      <c r="AD173" s="0" t="n">
        <f aca="false">1+COUNTIF($T173:$W173,"&gt;"&amp;$V173)+(COUNTIF($T173:$W173,$V173)-1)/2</f>
        <v>4</v>
      </c>
      <c r="AE173" s="0" t="n">
        <f aca="false">1+COUNTIF($T173:$W173,"&gt;"&amp;$W173)+(COUNTIF($T173:$W173,$W173)-1)/2</f>
        <v>2</v>
      </c>
      <c r="AF173" s="0" t="n">
        <f aca="false">IFERROR(CORREL($P173:$S173,$T173:$W173),"")</f>
        <v>0.831173433717341</v>
      </c>
      <c r="AG173" s="0" t="n">
        <f aca="false">IFERROR(CORREL($X173:$AA173,$AB173:$AE173),"")</f>
        <v>0.8</v>
      </c>
      <c r="AH173" s="0" t="n">
        <f aca="false">IFERROR((SIGN($P173-$Q173)*SIGN($T173-$U173)+SIGN($P173-$R173)*SIGN($T173-$V173)+SIGN($P173-$S173)*SIGN($T173-$W173)+SIGN($Q173-$R173)*SIGN($U173-$V173)+SIGN($Q173-$S173)*SIGN($U173-$W173)+SIGN($R173-$S173)*SIGN($V173-$W173))/SQRT((6-(($P173=$Q173)*1+($P173=$R173)*1+($P173=$S173)*1+($Q173=$R173)*1+($Q173=$S173)*1+($R173=$S173)*1))*(6-(($T173=$U173)*1+($T173=$V173)*1+($T173=$W173)*1+($U173=$V173)*1+($U173=$W173)*1+($V173=$W173)*1))),"")</f>
        <v>0.666666666666667</v>
      </c>
      <c r="AI173" s="0" t="n">
        <f aca="false">MATCH(MAX($K173:$O173),$K173:$O173,0)</f>
        <v>2</v>
      </c>
      <c r="AJ173" s="0" t="n">
        <f aca="false">IF(AI173&lt;&gt;$E173,1,0)</f>
        <v>0</v>
      </c>
      <c r="AK173" s="0" t="str">
        <f aca="false">IF(AJ173=1,INDEX($F173:$J173,AI173)/MAX($P173:$S173),"")</f>
        <v/>
      </c>
      <c r="AL173" s="0" t="str">
        <f aca="false">IF(AJ173=1,1+COUNTIF($P173:$S173,"&gt;"&amp;INDEX($F173:$J173,AI173)),"")</f>
        <v/>
      </c>
      <c r="AM173" s="0" t="n">
        <f aca="false">AVERAGE($P173:$S173)/MAX($P173:$S173)</f>
        <v>0.732365145228216</v>
      </c>
      <c r="AN173" s="0" t="n">
        <f aca="false">100-INDEX($F173:$J173,$E173)</f>
        <v>71.1</v>
      </c>
    </row>
    <row r="174" customFormat="false" ht="15" hidden="false" customHeight="false" outlineLevel="0" collapsed="false">
      <c r="A174" s="0" t="s">
        <v>40</v>
      </c>
      <c r="B174" s="0" t="n">
        <v>2020</v>
      </c>
      <c r="C174" s="0" t="s">
        <v>47</v>
      </c>
      <c r="D174" s="0" t="s">
        <v>43</v>
      </c>
      <c r="E174" s="0" t="n">
        <v>1</v>
      </c>
      <c r="F174" s="0" t="n">
        <v>49.3</v>
      </c>
      <c r="G174" s="0" t="n">
        <v>19.8</v>
      </c>
      <c r="H174" s="0" t="n">
        <v>8.9</v>
      </c>
      <c r="I174" s="0" t="n">
        <v>13.6</v>
      </c>
      <c r="J174" s="0" t="n">
        <v>7.9</v>
      </c>
      <c r="K174" s="0" t="n">
        <v>25.122133999</v>
      </c>
      <c r="L174" s="0" t="n">
        <v>14.9459957703</v>
      </c>
      <c r="M174" s="0" t="n">
        <v>39.8964123483</v>
      </c>
      <c r="N174" s="0" t="n">
        <v>13.7055385511</v>
      </c>
      <c r="O174" s="0" t="n">
        <v>6.32991933129</v>
      </c>
      <c r="P174" s="0" t="n">
        <f aca="false">INDEX($F174:$J174,IF(1&lt;$E174,1,1+1))</f>
        <v>19.8</v>
      </c>
      <c r="Q174" s="0" t="n">
        <f aca="false">INDEX($F174:$J174,IF(2&lt;$E174,2,2+1))</f>
        <v>8.9</v>
      </c>
      <c r="R174" s="0" t="n">
        <f aca="false">INDEX($F174:$J174,IF(3&lt;$E174,3,3+1))</f>
        <v>13.6</v>
      </c>
      <c r="S174" s="0" t="n">
        <f aca="false">INDEX($F174:$J174,IF(4&lt;$E174,4,4+1))</f>
        <v>7.9</v>
      </c>
      <c r="T174" s="0" t="n">
        <f aca="false">INDEX($K174:$O174,IF(1&lt;$E174,1,1+1))</f>
        <v>14.9459957703</v>
      </c>
      <c r="U174" s="0" t="n">
        <f aca="false">INDEX($K174:$O174,IF(2&lt;$E174,2,2+1))</f>
        <v>39.8964123483</v>
      </c>
      <c r="V174" s="0" t="n">
        <f aca="false">INDEX($K174:$O174,IF(3&lt;$E174,3,3+1))</f>
        <v>13.7055385511</v>
      </c>
      <c r="W174" s="0" t="n">
        <f aca="false">INDEX($K174:$O174,IF(4&lt;$E174,4,4+1))</f>
        <v>6.32991933129</v>
      </c>
      <c r="X174" s="0" t="n">
        <f aca="false">1+COUNTIF($P174:$S174,"&gt;"&amp;$P174)+(COUNTIF($P174:$S174,$P174)-1)/2</f>
        <v>1</v>
      </c>
      <c r="Y174" s="0" t="n">
        <f aca="false">1+COUNTIF($P174:$S174,"&gt;"&amp;$Q174)+(COUNTIF($P174:$S174,$Q174)-1)/2</f>
        <v>3</v>
      </c>
      <c r="Z174" s="0" t="n">
        <f aca="false">1+COUNTIF($P174:$S174,"&gt;"&amp;$R174)+(COUNTIF($P174:$S174,$R174)-1)/2</f>
        <v>2</v>
      </c>
      <c r="AA174" s="0" t="n">
        <f aca="false">1+COUNTIF($P174:$S174,"&gt;"&amp;$S174)+(COUNTIF($P174:$S174,$S174)-1)/2</f>
        <v>4</v>
      </c>
      <c r="AB174" s="0" t="n">
        <f aca="false">1+COUNTIF($T174:$W174,"&gt;"&amp;$T174)+(COUNTIF($T174:$W174,$T174)-1)/2</f>
        <v>2</v>
      </c>
      <c r="AC174" s="0" t="n">
        <f aca="false">1+COUNTIF($T174:$W174,"&gt;"&amp;$U174)+(COUNTIF($T174:$W174,$U174)-1)/2</f>
        <v>1</v>
      </c>
      <c r="AD174" s="0" t="n">
        <f aca="false">1+COUNTIF($T174:$W174,"&gt;"&amp;$V174)+(COUNTIF($T174:$W174,$V174)-1)/2</f>
        <v>3</v>
      </c>
      <c r="AE174" s="0" t="n">
        <f aca="false">1+COUNTIF($T174:$W174,"&gt;"&amp;$W174)+(COUNTIF($T174:$W174,$W174)-1)/2</f>
        <v>4</v>
      </c>
      <c r="AF174" s="0" t="n">
        <f aca="false">IFERROR(CORREL($P174:$S174,$T174:$W174),"")</f>
        <v>-0.219417533242388</v>
      </c>
      <c r="AG174" s="0" t="n">
        <f aca="false">IFERROR(CORREL($X174:$AA174,$AB174:$AE174),"")</f>
        <v>0.4</v>
      </c>
      <c r="AH174" s="0" t="n">
        <f aca="false">IFERROR((SIGN($P174-$Q174)*SIGN($T174-$U174)+SIGN($P174-$R174)*SIGN($T174-$V174)+SIGN($P174-$S174)*SIGN($T174-$W174)+SIGN($Q174-$R174)*SIGN($U174-$V174)+SIGN($Q174-$S174)*SIGN($U174-$W174)+SIGN($R174-$S174)*SIGN($V174-$W174))/SQRT((6-(($P174=$Q174)*1+($P174=$R174)*1+($P174=$S174)*1+($Q174=$R174)*1+($Q174=$S174)*1+($R174=$S174)*1))*(6-(($T174=$U174)*1+($T174=$V174)*1+($T174=$W174)*1+($U174=$V174)*1+($U174=$W174)*1+($V174=$W174)*1))),"")</f>
        <v>0.333333333333333</v>
      </c>
      <c r="AI174" s="0" t="n">
        <f aca="false">MATCH(MAX($K174:$O174),$K174:$O174,0)</f>
        <v>3</v>
      </c>
      <c r="AJ174" s="0" t="n">
        <f aca="false">IF(AI174&lt;&gt;$E174,1,0)</f>
        <v>1</v>
      </c>
      <c r="AK174" s="0" t="n">
        <f aca="false">IF(AJ174=1,INDEX($F174:$J174,AI174)/MAX($P174:$S174),"")</f>
        <v>0.44949494949495</v>
      </c>
      <c r="AL174" s="0" t="n">
        <f aca="false">IF(AJ174=1,1+COUNTIF($P174:$S174,"&gt;"&amp;INDEX($F174:$J174,AI174)),"")</f>
        <v>3</v>
      </c>
      <c r="AM174" s="0" t="n">
        <f aca="false">AVERAGE($P174:$S174)/MAX($P174:$S174)</f>
        <v>0.633838383838384</v>
      </c>
      <c r="AN174" s="0" t="n">
        <f aca="false">100-INDEX($F174:$J174,$E174)</f>
        <v>50.7</v>
      </c>
    </row>
    <row r="175" customFormat="false" ht="15" hidden="false" customHeight="false" outlineLevel="0" collapsed="false">
      <c r="A175" s="0" t="s">
        <v>40</v>
      </c>
      <c r="B175" s="0" t="n">
        <v>2020</v>
      </c>
      <c r="C175" s="0" t="s">
        <v>47</v>
      </c>
      <c r="D175" s="0" t="s">
        <v>44</v>
      </c>
      <c r="E175" s="0" t="n">
        <v>1</v>
      </c>
      <c r="F175" s="0" t="n">
        <v>39.4</v>
      </c>
      <c r="G175" s="0" t="n">
        <v>34.1</v>
      </c>
      <c r="H175" s="0" t="n">
        <v>8.8</v>
      </c>
      <c r="I175" s="0" t="n">
        <v>8.3</v>
      </c>
      <c r="J175" s="0" t="n">
        <v>9</v>
      </c>
      <c r="K175" s="0" t="n">
        <v>24.2629906997</v>
      </c>
      <c r="L175" s="0" t="n">
        <v>54.2663317765</v>
      </c>
      <c r="M175" s="0" t="n">
        <v>7.8690282382</v>
      </c>
      <c r="N175" s="0" t="n">
        <v>0.741945686969</v>
      </c>
      <c r="O175" s="0" t="n">
        <v>12.8597035987</v>
      </c>
      <c r="P175" s="0" t="n">
        <f aca="false">INDEX($F175:$J175,IF(1&lt;$E175,1,1+1))</f>
        <v>34.1</v>
      </c>
      <c r="Q175" s="0" t="n">
        <f aca="false">INDEX($F175:$J175,IF(2&lt;$E175,2,2+1))</f>
        <v>8.8</v>
      </c>
      <c r="R175" s="0" t="n">
        <f aca="false">INDEX($F175:$J175,IF(3&lt;$E175,3,3+1))</f>
        <v>8.3</v>
      </c>
      <c r="S175" s="0" t="n">
        <f aca="false">INDEX($F175:$J175,IF(4&lt;$E175,4,4+1))</f>
        <v>9</v>
      </c>
      <c r="T175" s="0" t="n">
        <f aca="false">INDEX($K175:$O175,IF(1&lt;$E175,1,1+1))</f>
        <v>54.2663317765</v>
      </c>
      <c r="U175" s="0" t="n">
        <f aca="false">INDEX($K175:$O175,IF(2&lt;$E175,2,2+1))</f>
        <v>7.8690282382</v>
      </c>
      <c r="V175" s="0" t="n">
        <f aca="false">INDEX($K175:$O175,IF(3&lt;$E175,3,3+1))</f>
        <v>0.741945686969</v>
      </c>
      <c r="W175" s="0" t="n">
        <f aca="false">INDEX($K175:$O175,IF(4&lt;$E175,4,4+1))</f>
        <v>12.8597035987</v>
      </c>
      <c r="X175" s="0" t="n">
        <f aca="false">1+COUNTIF($P175:$S175,"&gt;"&amp;$P175)+(COUNTIF($P175:$S175,$P175)-1)/2</f>
        <v>1</v>
      </c>
      <c r="Y175" s="0" t="n">
        <f aca="false">1+COUNTIF($P175:$S175,"&gt;"&amp;$Q175)+(COUNTIF($P175:$S175,$Q175)-1)/2</f>
        <v>3</v>
      </c>
      <c r="Z175" s="0" t="n">
        <f aca="false">1+COUNTIF($P175:$S175,"&gt;"&amp;$R175)+(COUNTIF($P175:$S175,$R175)-1)/2</f>
        <v>4</v>
      </c>
      <c r="AA175" s="0" t="n">
        <f aca="false">1+COUNTIF($P175:$S175,"&gt;"&amp;$S175)+(COUNTIF($P175:$S175,$S175)-1)/2</f>
        <v>2</v>
      </c>
      <c r="AB175" s="0" t="n">
        <f aca="false">1+COUNTIF($T175:$W175,"&gt;"&amp;$T175)+(COUNTIF($T175:$W175,$T175)-1)/2</f>
        <v>1</v>
      </c>
      <c r="AC175" s="0" t="n">
        <f aca="false">1+COUNTIF($T175:$W175,"&gt;"&amp;$U175)+(COUNTIF($T175:$W175,$U175)-1)/2</f>
        <v>3</v>
      </c>
      <c r="AD175" s="0" t="n">
        <f aca="false">1+COUNTIF($T175:$W175,"&gt;"&amp;$V175)+(COUNTIF($T175:$W175,$V175)-1)/2</f>
        <v>4</v>
      </c>
      <c r="AE175" s="0" t="n">
        <f aca="false">1+COUNTIF($T175:$W175,"&gt;"&amp;$W175)+(COUNTIF($T175:$W175,$W175)-1)/2</f>
        <v>2</v>
      </c>
      <c r="AF175" s="0" t="n">
        <f aca="false">IFERROR(CORREL($P175:$S175,$T175:$W175),"")</f>
        <v>0.982911113913234</v>
      </c>
      <c r="AG175" s="0" t="n">
        <f aca="false">IFERROR(CORREL($X175:$AA175,$AB175:$AE175),"")</f>
        <v>1</v>
      </c>
      <c r="AH175" s="0" t="n">
        <f aca="false">IFERROR((SIGN($P175-$Q175)*SIGN($T175-$U175)+SIGN($P175-$R175)*SIGN($T175-$V175)+SIGN($P175-$S175)*SIGN($T175-$W175)+SIGN($Q175-$R175)*SIGN($U175-$V175)+SIGN($Q175-$S175)*SIGN($U175-$W175)+SIGN($R175-$S175)*SIGN($V175-$W175))/SQRT((6-(($P175=$Q175)*1+($P175=$R175)*1+($P175=$S175)*1+($Q175=$R175)*1+($Q175=$S175)*1+($R175=$S175)*1))*(6-(($T175=$U175)*1+($T175=$V175)*1+($T175=$W175)*1+($U175=$V175)*1+($U175=$W175)*1+($V175=$W175)*1))),"")</f>
        <v>1</v>
      </c>
      <c r="AI175" s="0" t="n">
        <f aca="false">MATCH(MAX($K175:$O175),$K175:$O175,0)</f>
        <v>2</v>
      </c>
      <c r="AJ175" s="0" t="n">
        <f aca="false">IF(AI175&lt;&gt;$E175,1,0)</f>
        <v>1</v>
      </c>
      <c r="AK175" s="0" t="n">
        <f aca="false">IF(AJ175=1,INDEX($F175:$J175,AI175)/MAX($P175:$S175),"")</f>
        <v>1</v>
      </c>
      <c r="AL175" s="0" t="n">
        <f aca="false">IF(AJ175=1,1+COUNTIF($P175:$S175,"&gt;"&amp;INDEX($F175:$J175,AI175)),"")</f>
        <v>1</v>
      </c>
      <c r="AM175" s="0" t="n">
        <f aca="false">AVERAGE($P175:$S175)/MAX($P175:$S175)</f>
        <v>0.441348973607038</v>
      </c>
      <c r="AN175" s="0" t="n">
        <f aca="false">100-INDEX($F175:$J175,$E175)</f>
        <v>60.6</v>
      </c>
    </row>
    <row r="176" customFormat="false" ht="15" hidden="false" customHeight="false" outlineLevel="0" collapsed="false">
      <c r="A176" s="0" t="s">
        <v>40</v>
      </c>
      <c r="B176" s="0" t="n">
        <v>2020</v>
      </c>
      <c r="C176" s="0" t="s">
        <v>47</v>
      </c>
      <c r="D176" s="0" t="s">
        <v>45</v>
      </c>
      <c r="E176" s="0" t="n">
        <v>2</v>
      </c>
      <c r="F176" s="0" t="n">
        <v>30.9</v>
      </c>
      <c r="G176" s="0" t="n">
        <v>34.9</v>
      </c>
      <c r="H176" s="0" t="n">
        <v>14.9</v>
      </c>
      <c r="I176" s="0" t="n">
        <v>9.6</v>
      </c>
      <c r="J176" s="0" t="n">
        <v>9.2</v>
      </c>
      <c r="K176" s="0" t="n">
        <v>16.0131329584</v>
      </c>
      <c r="L176" s="0" t="n">
        <v>45.3076793362</v>
      </c>
      <c r="M176" s="0" t="n">
        <v>12.6712214247</v>
      </c>
      <c r="N176" s="0" t="n">
        <v>21.5629654377</v>
      </c>
      <c r="O176" s="0" t="n">
        <v>4.44500084295</v>
      </c>
      <c r="P176" s="0" t="n">
        <f aca="false">INDEX($F176:$J176,IF(1&lt;$E176,1,1+1))</f>
        <v>30.9</v>
      </c>
      <c r="Q176" s="0" t="n">
        <f aca="false">INDEX($F176:$J176,IF(2&lt;$E176,2,2+1))</f>
        <v>14.9</v>
      </c>
      <c r="R176" s="0" t="n">
        <f aca="false">INDEX($F176:$J176,IF(3&lt;$E176,3,3+1))</f>
        <v>9.6</v>
      </c>
      <c r="S176" s="0" t="n">
        <f aca="false">INDEX($F176:$J176,IF(4&lt;$E176,4,4+1))</f>
        <v>9.2</v>
      </c>
      <c r="T176" s="0" t="n">
        <f aca="false">INDEX($K176:$O176,IF(1&lt;$E176,1,1+1))</f>
        <v>16.0131329584</v>
      </c>
      <c r="U176" s="0" t="n">
        <f aca="false">INDEX($K176:$O176,IF(2&lt;$E176,2,2+1))</f>
        <v>12.6712214247</v>
      </c>
      <c r="V176" s="0" t="n">
        <f aca="false">INDEX($K176:$O176,IF(3&lt;$E176,3,3+1))</f>
        <v>21.5629654377</v>
      </c>
      <c r="W176" s="0" t="n">
        <f aca="false">INDEX($K176:$O176,IF(4&lt;$E176,4,4+1))</f>
        <v>4.44500084295</v>
      </c>
      <c r="X176" s="0" t="n">
        <f aca="false">1+COUNTIF($P176:$S176,"&gt;"&amp;$P176)+(COUNTIF($P176:$S176,$P176)-1)/2</f>
        <v>1</v>
      </c>
      <c r="Y176" s="0" t="n">
        <f aca="false">1+COUNTIF($P176:$S176,"&gt;"&amp;$Q176)+(COUNTIF($P176:$S176,$Q176)-1)/2</f>
        <v>2</v>
      </c>
      <c r="Z176" s="0" t="n">
        <f aca="false">1+COUNTIF($P176:$S176,"&gt;"&amp;$R176)+(COUNTIF($P176:$S176,$R176)-1)/2</f>
        <v>3</v>
      </c>
      <c r="AA176" s="0" t="n">
        <f aca="false">1+COUNTIF($P176:$S176,"&gt;"&amp;$S176)+(COUNTIF($P176:$S176,$S176)-1)/2</f>
        <v>4</v>
      </c>
      <c r="AB176" s="0" t="n">
        <f aca="false">1+COUNTIF($T176:$W176,"&gt;"&amp;$T176)+(COUNTIF($T176:$W176,$T176)-1)/2</f>
        <v>2</v>
      </c>
      <c r="AC176" s="0" t="n">
        <f aca="false">1+COUNTIF($T176:$W176,"&gt;"&amp;$U176)+(COUNTIF($T176:$W176,$U176)-1)/2</f>
        <v>3</v>
      </c>
      <c r="AD176" s="0" t="n">
        <f aca="false">1+COUNTIF($T176:$W176,"&gt;"&amp;$V176)+(COUNTIF($T176:$W176,$V176)-1)/2</f>
        <v>1</v>
      </c>
      <c r="AE176" s="0" t="n">
        <f aca="false">1+COUNTIF($T176:$W176,"&gt;"&amp;$W176)+(COUNTIF($T176:$W176,$W176)-1)/2</f>
        <v>4</v>
      </c>
      <c r="AF176" s="0" t="n">
        <f aca="false">IFERROR(CORREL($P176:$S176,$T176:$W176),"")</f>
        <v>0.220675692892826</v>
      </c>
      <c r="AG176" s="0" t="n">
        <f aca="false">IFERROR(CORREL($X176:$AA176,$AB176:$AE176),"")</f>
        <v>0.4</v>
      </c>
      <c r="AH176" s="0" t="n">
        <f aca="false">IFERROR((SIGN($P176-$Q176)*SIGN($T176-$U176)+SIGN($P176-$R176)*SIGN($T176-$V176)+SIGN($P176-$S176)*SIGN($T176-$W176)+SIGN($Q176-$R176)*SIGN($U176-$V176)+SIGN($Q176-$S176)*SIGN($U176-$W176)+SIGN($R176-$S176)*SIGN($V176-$W176))/SQRT((6-(($P176=$Q176)*1+($P176=$R176)*1+($P176=$S176)*1+($Q176=$R176)*1+($Q176=$S176)*1+($R176=$S176)*1))*(6-(($T176=$U176)*1+($T176=$V176)*1+($T176=$W176)*1+($U176=$V176)*1+($U176=$W176)*1+($V176=$W176)*1))),"")</f>
        <v>0.333333333333333</v>
      </c>
      <c r="AI176" s="0" t="n">
        <f aca="false">MATCH(MAX($K176:$O176),$K176:$O176,0)</f>
        <v>2</v>
      </c>
      <c r="AJ176" s="0" t="n">
        <f aca="false">IF(AI176&lt;&gt;$E176,1,0)</f>
        <v>0</v>
      </c>
      <c r="AK176" s="0" t="str">
        <f aca="false">IF(AJ176=1,INDEX($F176:$J176,AI176)/MAX($P176:$S176),"")</f>
        <v/>
      </c>
      <c r="AL176" s="0" t="str">
        <f aca="false">IF(AJ176=1,1+COUNTIF($P176:$S176,"&gt;"&amp;INDEX($F176:$J176,AI176)),"")</f>
        <v/>
      </c>
      <c r="AM176" s="0" t="n">
        <f aca="false">AVERAGE($P176:$S176)/MAX($P176:$S176)</f>
        <v>0.522653721682848</v>
      </c>
      <c r="AN176" s="0" t="n">
        <f aca="false">100-INDEX($F176:$J176,$E176)</f>
        <v>65.1</v>
      </c>
    </row>
    <row r="177" customFormat="false" ht="15" hidden="false" customHeight="false" outlineLevel="0" collapsed="false">
      <c r="A177" s="0" t="s">
        <v>40</v>
      </c>
      <c r="B177" s="0" t="n">
        <v>2019</v>
      </c>
      <c r="C177" s="0" t="s">
        <v>48</v>
      </c>
      <c r="D177" s="0" t="s">
        <v>42</v>
      </c>
      <c r="E177" s="0" t="n">
        <v>1</v>
      </c>
      <c r="F177" s="0" t="n">
        <v>46</v>
      </c>
      <c r="G177" s="0" t="n">
        <v>17</v>
      </c>
      <c r="H177" s="0" t="n">
        <v>14.9</v>
      </c>
      <c r="I177" s="0" t="n">
        <v>9.1</v>
      </c>
      <c r="J177" s="0" t="n">
        <v>11.9</v>
      </c>
      <c r="K177" s="0" t="n">
        <v>0.628184800854</v>
      </c>
      <c r="L177" s="0" t="n">
        <v>80.7595486163</v>
      </c>
      <c r="M177" s="0" t="n">
        <v>0.147722444034</v>
      </c>
      <c r="N177" s="0" t="n">
        <v>13.4390657319</v>
      </c>
      <c r="O177" s="0" t="n">
        <v>5.02547840683</v>
      </c>
      <c r="P177" s="0" t="n">
        <f aca="false">INDEX($F177:$J177,IF(1&lt;$E177,1,1+1))</f>
        <v>17</v>
      </c>
      <c r="Q177" s="0" t="n">
        <f aca="false">INDEX($F177:$J177,IF(2&lt;$E177,2,2+1))</f>
        <v>14.9</v>
      </c>
      <c r="R177" s="0" t="n">
        <f aca="false">INDEX($F177:$J177,IF(3&lt;$E177,3,3+1))</f>
        <v>9.1</v>
      </c>
      <c r="S177" s="0" t="n">
        <f aca="false">INDEX($F177:$J177,IF(4&lt;$E177,4,4+1))</f>
        <v>11.9</v>
      </c>
      <c r="T177" s="0" t="n">
        <f aca="false">INDEX($K177:$O177,IF(1&lt;$E177,1,1+1))</f>
        <v>80.7595486163</v>
      </c>
      <c r="U177" s="0" t="n">
        <f aca="false">INDEX($K177:$O177,IF(2&lt;$E177,2,2+1))</f>
        <v>0.147722444034</v>
      </c>
      <c r="V177" s="0" t="n">
        <f aca="false">INDEX($K177:$O177,IF(3&lt;$E177,3,3+1))</f>
        <v>13.4390657319</v>
      </c>
      <c r="W177" s="0" t="n">
        <f aca="false">INDEX($K177:$O177,IF(4&lt;$E177,4,4+1))</f>
        <v>5.02547840683</v>
      </c>
      <c r="X177" s="0" t="n">
        <f aca="false">1+COUNTIF($P177:$S177,"&gt;"&amp;$P177)+(COUNTIF($P177:$S177,$P177)-1)/2</f>
        <v>1</v>
      </c>
      <c r="Y177" s="0" t="n">
        <f aca="false">1+COUNTIF($P177:$S177,"&gt;"&amp;$Q177)+(COUNTIF($P177:$S177,$Q177)-1)/2</f>
        <v>2</v>
      </c>
      <c r="Z177" s="0" t="n">
        <f aca="false">1+COUNTIF($P177:$S177,"&gt;"&amp;$R177)+(COUNTIF($P177:$S177,$R177)-1)/2</f>
        <v>4</v>
      </c>
      <c r="AA177" s="0" t="n">
        <f aca="false">1+COUNTIF($P177:$S177,"&gt;"&amp;$S177)+(COUNTIF($P177:$S177,$S177)-1)/2</f>
        <v>3</v>
      </c>
      <c r="AB177" s="0" t="n">
        <f aca="false">1+COUNTIF($T177:$W177,"&gt;"&amp;$T177)+(COUNTIF($T177:$W177,$T177)-1)/2</f>
        <v>1</v>
      </c>
      <c r="AC177" s="0" t="n">
        <f aca="false">1+COUNTIF($T177:$W177,"&gt;"&amp;$U177)+(COUNTIF($T177:$W177,$U177)-1)/2</f>
        <v>4</v>
      </c>
      <c r="AD177" s="0" t="n">
        <f aca="false">1+COUNTIF($T177:$W177,"&gt;"&amp;$V177)+(COUNTIF($T177:$W177,$V177)-1)/2</f>
        <v>2</v>
      </c>
      <c r="AE177" s="0" t="n">
        <f aca="false">1+COUNTIF($T177:$W177,"&gt;"&amp;$W177)+(COUNTIF($T177:$W177,$W177)-1)/2</f>
        <v>3</v>
      </c>
      <c r="AF177" s="0" t="n">
        <f aca="false">IFERROR(CORREL($P177:$S177,$T177:$W177),"")</f>
        <v>0.622105851283581</v>
      </c>
      <c r="AG177" s="0" t="n">
        <f aca="false">IFERROR(CORREL($X177:$AA177,$AB177:$AE177),"")</f>
        <v>0.2</v>
      </c>
      <c r="AH177" s="0" t="n">
        <f aca="false">IFERROR((SIGN($P177-$Q177)*SIGN($T177-$U177)+SIGN($P177-$R177)*SIGN($T177-$V177)+SIGN($P177-$S177)*SIGN($T177-$W177)+SIGN($Q177-$R177)*SIGN($U177-$V177)+SIGN($Q177-$S177)*SIGN($U177-$W177)+SIGN($R177-$S177)*SIGN($V177-$W177))/SQRT((6-(($P177=$Q177)*1+($P177=$R177)*1+($P177=$S177)*1+($Q177=$R177)*1+($Q177=$S177)*1+($R177=$S177)*1))*(6-(($T177=$U177)*1+($T177=$V177)*1+($T177=$W177)*1+($U177=$V177)*1+($U177=$W177)*1+($V177=$W177)*1))),"")</f>
        <v>0</v>
      </c>
      <c r="AI177" s="0" t="n">
        <f aca="false">MATCH(MAX($K177:$O177),$K177:$O177,0)</f>
        <v>2</v>
      </c>
      <c r="AJ177" s="0" t="n">
        <f aca="false">IF(AI177&lt;&gt;$E177,1,0)</f>
        <v>1</v>
      </c>
      <c r="AK177" s="0" t="n">
        <f aca="false">IF(AJ177=1,INDEX($F177:$J177,AI177)/MAX($P177:$S177),"")</f>
        <v>1</v>
      </c>
      <c r="AL177" s="0" t="n">
        <f aca="false">IF(AJ177=1,1+COUNTIF($P177:$S177,"&gt;"&amp;INDEX($F177:$J177,AI177)),"")</f>
        <v>1</v>
      </c>
      <c r="AM177" s="0" t="n">
        <f aca="false">AVERAGE($P177:$S177)/MAX($P177:$S177)</f>
        <v>0.777941176470588</v>
      </c>
      <c r="AN177" s="0" t="n">
        <f aca="false">100-INDEX($F177:$J177,$E177)</f>
        <v>54</v>
      </c>
    </row>
    <row r="178" customFormat="false" ht="15" hidden="false" customHeight="false" outlineLevel="0" collapsed="false">
      <c r="A178" s="0" t="s">
        <v>40</v>
      </c>
      <c r="B178" s="0" t="n">
        <v>2019</v>
      </c>
      <c r="C178" s="0" t="s">
        <v>48</v>
      </c>
      <c r="D178" s="0" t="s">
        <v>43</v>
      </c>
      <c r="E178" s="0" t="n">
        <v>3</v>
      </c>
      <c r="F178" s="0" t="n">
        <v>14.4</v>
      </c>
      <c r="G178" s="0" t="n">
        <v>19.5</v>
      </c>
      <c r="H178" s="0" t="n">
        <v>33.7</v>
      </c>
      <c r="I178" s="0" t="n">
        <v>24.6</v>
      </c>
      <c r="J178" s="0" t="n">
        <v>6.9</v>
      </c>
      <c r="K178" s="0" t="n">
        <v>14.5021883002</v>
      </c>
      <c r="L178" s="0" t="n">
        <v>8.55518294785</v>
      </c>
      <c r="M178" s="0" t="n">
        <v>37.8310445583</v>
      </c>
      <c r="N178" s="0" t="n">
        <v>36.5322500053</v>
      </c>
      <c r="O178" s="0" t="n">
        <v>2.57933418832</v>
      </c>
      <c r="P178" s="0" t="n">
        <f aca="false">INDEX($F178:$J178,IF(1&lt;$E178,1,1+1))</f>
        <v>14.4</v>
      </c>
      <c r="Q178" s="0" t="n">
        <f aca="false">INDEX($F178:$J178,IF(2&lt;$E178,2,2+1))</f>
        <v>19.5</v>
      </c>
      <c r="R178" s="0" t="n">
        <f aca="false">INDEX($F178:$J178,IF(3&lt;$E178,3,3+1))</f>
        <v>24.6</v>
      </c>
      <c r="S178" s="0" t="n">
        <f aca="false">INDEX($F178:$J178,IF(4&lt;$E178,4,4+1))</f>
        <v>6.9</v>
      </c>
      <c r="T178" s="0" t="n">
        <f aca="false">INDEX($K178:$O178,IF(1&lt;$E178,1,1+1))</f>
        <v>14.5021883002</v>
      </c>
      <c r="U178" s="0" t="n">
        <f aca="false">INDEX($K178:$O178,IF(2&lt;$E178,2,2+1))</f>
        <v>8.55518294785</v>
      </c>
      <c r="V178" s="0" t="n">
        <f aca="false">INDEX($K178:$O178,IF(3&lt;$E178,3,3+1))</f>
        <v>36.5322500053</v>
      </c>
      <c r="W178" s="0" t="n">
        <f aca="false">INDEX($K178:$O178,IF(4&lt;$E178,4,4+1))</f>
        <v>2.57933418832</v>
      </c>
      <c r="X178" s="0" t="n">
        <f aca="false">1+COUNTIF($P178:$S178,"&gt;"&amp;$P178)+(COUNTIF($P178:$S178,$P178)-1)/2</f>
        <v>3</v>
      </c>
      <c r="Y178" s="0" t="n">
        <f aca="false">1+COUNTIF($P178:$S178,"&gt;"&amp;$Q178)+(COUNTIF($P178:$S178,$Q178)-1)/2</f>
        <v>2</v>
      </c>
      <c r="Z178" s="0" t="n">
        <f aca="false">1+COUNTIF($P178:$S178,"&gt;"&amp;$R178)+(COUNTIF($P178:$S178,$R178)-1)/2</f>
        <v>1</v>
      </c>
      <c r="AA178" s="0" t="n">
        <f aca="false">1+COUNTIF($P178:$S178,"&gt;"&amp;$S178)+(COUNTIF($P178:$S178,$S178)-1)/2</f>
        <v>4</v>
      </c>
      <c r="AB178" s="0" t="n">
        <f aca="false">1+COUNTIF($T178:$W178,"&gt;"&amp;$T178)+(COUNTIF($T178:$W178,$T178)-1)/2</f>
        <v>2</v>
      </c>
      <c r="AC178" s="0" t="n">
        <f aca="false">1+COUNTIF($T178:$W178,"&gt;"&amp;$U178)+(COUNTIF($T178:$W178,$U178)-1)/2</f>
        <v>3</v>
      </c>
      <c r="AD178" s="0" t="n">
        <f aca="false">1+COUNTIF($T178:$W178,"&gt;"&amp;$V178)+(COUNTIF($T178:$W178,$V178)-1)/2</f>
        <v>1</v>
      </c>
      <c r="AE178" s="0" t="n">
        <f aca="false">1+COUNTIF($T178:$W178,"&gt;"&amp;$W178)+(COUNTIF($T178:$W178,$W178)-1)/2</f>
        <v>4</v>
      </c>
      <c r="AF178" s="0" t="n">
        <f aca="false">IFERROR(CORREL($P178:$S178,$T178:$W178),"")</f>
        <v>0.821331345572684</v>
      </c>
      <c r="AG178" s="0" t="n">
        <f aca="false">IFERROR(CORREL($X178:$AA178,$AB178:$AE178),"")</f>
        <v>0.8</v>
      </c>
      <c r="AH178" s="0" t="n">
        <f aca="false">IFERROR((SIGN($P178-$Q178)*SIGN($T178-$U178)+SIGN($P178-$R178)*SIGN($T178-$V178)+SIGN($P178-$S178)*SIGN($T178-$W178)+SIGN($Q178-$R178)*SIGN($U178-$V178)+SIGN($Q178-$S178)*SIGN($U178-$W178)+SIGN($R178-$S178)*SIGN($V178-$W178))/SQRT((6-(($P178=$Q178)*1+($P178=$R178)*1+($P178=$S178)*1+($Q178=$R178)*1+($Q178=$S178)*1+($R178=$S178)*1))*(6-(($T178=$U178)*1+($T178=$V178)*1+($T178=$W178)*1+($U178=$V178)*1+($U178=$W178)*1+($V178=$W178)*1))),"")</f>
        <v>0.666666666666667</v>
      </c>
      <c r="AI178" s="0" t="n">
        <f aca="false">MATCH(MAX($K178:$O178),$K178:$O178,0)</f>
        <v>3</v>
      </c>
      <c r="AJ178" s="0" t="n">
        <f aca="false">IF(AI178&lt;&gt;$E178,1,0)</f>
        <v>0</v>
      </c>
      <c r="AK178" s="0" t="str">
        <f aca="false">IF(AJ178=1,INDEX($F178:$J178,AI178)/MAX($P178:$S178),"")</f>
        <v/>
      </c>
      <c r="AL178" s="0" t="str">
        <f aca="false">IF(AJ178=1,1+COUNTIF($P178:$S178,"&gt;"&amp;INDEX($F178:$J178,AI178)),"")</f>
        <v/>
      </c>
      <c r="AM178" s="0" t="n">
        <f aca="false">AVERAGE($P178:$S178)/MAX($P178:$S178)</f>
        <v>0.664634146341463</v>
      </c>
      <c r="AN178" s="0" t="n">
        <f aca="false">100-INDEX($F178:$J178,$E178)</f>
        <v>66.3</v>
      </c>
    </row>
    <row r="179" customFormat="false" ht="15" hidden="false" customHeight="false" outlineLevel="0" collapsed="false">
      <c r="A179" s="0" t="s">
        <v>40</v>
      </c>
      <c r="B179" s="0" t="n">
        <v>2019</v>
      </c>
      <c r="C179" s="0" t="s">
        <v>48</v>
      </c>
      <c r="D179" s="0" t="s">
        <v>44</v>
      </c>
      <c r="E179" s="0" t="n">
        <v>5</v>
      </c>
      <c r="F179" s="0" t="n">
        <v>14.7</v>
      </c>
      <c r="G179" s="0" t="n">
        <v>12.8</v>
      </c>
      <c r="H179" s="0" t="n">
        <v>16.2</v>
      </c>
      <c r="I179" s="0" t="n">
        <v>16.6</v>
      </c>
      <c r="J179" s="0" t="n">
        <v>38.8</v>
      </c>
      <c r="K179" s="0" t="n">
        <v>5.10862982492</v>
      </c>
      <c r="L179" s="0" t="n">
        <v>4.06353804269</v>
      </c>
      <c r="M179" s="0" t="n">
        <v>0.483616844756</v>
      </c>
      <c r="N179" s="0" t="n">
        <v>17.7523289489</v>
      </c>
      <c r="O179" s="0" t="n">
        <v>72.5918863387</v>
      </c>
      <c r="P179" s="0" t="n">
        <f aca="false">INDEX($F179:$J179,IF(1&lt;$E179,1,1+1))</f>
        <v>14.7</v>
      </c>
      <c r="Q179" s="0" t="n">
        <f aca="false">INDEX($F179:$J179,IF(2&lt;$E179,2,2+1))</f>
        <v>12.8</v>
      </c>
      <c r="R179" s="0" t="n">
        <f aca="false">INDEX($F179:$J179,IF(3&lt;$E179,3,3+1))</f>
        <v>16.2</v>
      </c>
      <c r="S179" s="0" t="n">
        <f aca="false">INDEX($F179:$J179,IF(4&lt;$E179,4,4+1))</f>
        <v>16.6</v>
      </c>
      <c r="T179" s="0" t="n">
        <f aca="false">INDEX($K179:$O179,IF(1&lt;$E179,1,1+1))</f>
        <v>5.10862982492</v>
      </c>
      <c r="U179" s="0" t="n">
        <f aca="false">INDEX($K179:$O179,IF(2&lt;$E179,2,2+1))</f>
        <v>4.06353804269</v>
      </c>
      <c r="V179" s="0" t="n">
        <f aca="false">INDEX($K179:$O179,IF(3&lt;$E179,3,3+1))</f>
        <v>0.483616844756</v>
      </c>
      <c r="W179" s="0" t="n">
        <f aca="false">INDEX($K179:$O179,IF(4&lt;$E179,4,4+1))</f>
        <v>17.7523289489</v>
      </c>
      <c r="X179" s="0" t="n">
        <f aca="false">1+COUNTIF($P179:$S179,"&gt;"&amp;$P179)+(COUNTIF($P179:$S179,$P179)-1)/2</f>
        <v>3</v>
      </c>
      <c r="Y179" s="0" t="n">
        <f aca="false">1+COUNTIF($P179:$S179,"&gt;"&amp;$Q179)+(COUNTIF($P179:$S179,$Q179)-1)/2</f>
        <v>4</v>
      </c>
      <c r="Z179" s="0" t="n">
        <f aca="false">1+COUNTIF($P179:$S179,"&gt;"&amp;$R179)+(COUNTIF($P179:$S179,$R179)-1)/2</f>
        <v>2</v>
      </c>
      <c r="AA179" s="0" t="n">
        <f aca="false">1+COUNTIF($P179:$S179,"&gt;"&amp;$S179)+(COUNTIF($P179:$S179,$S179)-1)/2</f>
        <v>1</v>
      </c>
      <c r="AB179" s="0" t="n">
        <f aca="false">1+COUNTIF($T179:$W179,"&gt;"&amp;$T179)+(COUNTIF($T179:$W179,$T179)-1)/2</f>
        <v>2</v>
      </c>
      <c r="AC179" s="0" t="n">
        <f aca="false">1+COUNTIF($T179:$W179,"&gt;"&amp;$U179)+(COUNTIF($T179:$W179,$U179)-1)/2</f>
        <v>3</v>
      </c>
      <c r="AD179" s="0" t="n">
        <f aca="false">1+COUNTIF($T179:$W179,"&gt;"&amp;$V179)+(COUNTIF($T179:$W179,$V179)-1)/2</f>
        <v>4</v>
      </c>
      <c r="AE179" s="0" t="n">
        <f aca="false">1+COUNTIF($T179:$W179,"&gt;"&amp;$W179)+(COUNTIF($T179:$W179,$W179)-1)/2</f>
        <v>1</v>
      </c>
      <c r="AF179" s="0" t="n">
        <f aca="false">IFERROR(CORREL($P179:$S179,$T179:$W179),"")</f>
        <v>0.422652771855026</v>
      </c>
      <c r="AG179" s="0" t="n">
        <f aca="false">IFERROR(CORREL($X179:$AA179,$AB179:$AE179),"")</f>
        <v>0.4</v>
      </c>
      <c r="AH179" s="0" t="n">
        <f aca="false">IFERROR((SIGN($P179-$Q179)*SIGN($T179-$U179)+SIGN($P179-$R179)*SIGN($T179-$V179)+SIGN($P179-$S179)*SIGN($T179-$W179)+SIGN($Q179-$R179)*SIGN($U179-$V179)+SIGN($Q179-$S179)*SIGN($U179-$W179)+SIGN($R179-$S179)*SIGN($V179-$W179))/SQRT((6-(($P179=$Q179)*1+($P179=$R179)*1+($P179=$S179)*1+($Q179=$R179)*1+($Q179=$S179)*1+($R179=$S179)*1))*(6-(($T179=$U179)*1+($T179=$V179)*1+($T179=$W179)*1+($U179=$V179)*1+($U179=$W179)*1+($V179=$W179)*1))),"")</f>
        <v>0.333333333333333</v>
      </c>
      <c r="AI179" s="0" t="n">
        <f aca="false">MATCH(MAX($K179:$O179),$K179:$O179,0)</f>
        <v>5</v>
      </c>
      <c r="AJ179" s="0" t="n">
        <f aca="false">IF(AI179&lt;&gt;$E179,1,0)</f>
        <v>0</v>
      </c>
      <c r="AK179" s="0" t="str">
        <f aca="false">IF(AJ179=1,INDEX($F179:$J179,AI179)/MAX($P179:$S179),"")</f>
        <v/>
      </c>
      <c r="AL179" s="0" t="str">
        <f aca="false">IF(AJ179=1,1+COUNTIF($P179:$S179,"&gt;"&amp;INDEX($F179:$J179,AI179)),"")</f>
        <v/>
      </c>
      <c r="AM179" s="0" t="n">
        <f aca="false">AVERAGE($P179:$S179)/MAX($P179:$S179)</f>
        <v>0.908132530120482</v>
      </c>
      <c r="AN179" s="0" t="n">
        <f aca="false">100-INDEX($F179:$J179,$E179)</f>
        <v>61.2</v>
      </c>
    </row>
    <row r="180" customFormat="false" ht="15" hidden="false" customHeight="false" outlineLevel="0" collapsed="false">
      <c r="A180" s="0" t="s">
        <v>40</v>
      </c>
      <c r="B180" s="0" t="n">
        <v>2019</v>
      </c>
      <c r="C180" s="0" t="s">
        <v>48</v>
      </c>
      <c r="D180" s="0" t="s">
        <v>45</v>
      </c>
      <c r="E180" s="0" t="n">
        <v>2</v>
      </c>
      <c r="F180" s="0" t="n">
        <v>15.9</v>
      </c>
      <c r="G180" s="0" t="n">
        <v>31.6</v>
      </c>
      <c r="H180" s="0" t="n">
        <v>24.6</v>
      </c>
      <c r="I180" s="0" t="n">
        <v>14.2</v>
      </c>
      <c r="J180" s="0" t="n">
        <v>12.7</v>
      </c>
      <c r="K180" s="0" t="n">
        <v>18.8309924694</v>
      </c>
      <c r="L180" s="0" t="n">
        <v>28.4792082361</v>
      </c>
      <c r="M180" s="0" t="n">
        <v>8.17057229198</v>
      </c>
      <c r="N180" s="0" t="n">
        <v>33.2973886394</v>
      </c>
      <c r="O180" s="0" t="n">
        <v>11.2218383632</v>
      </c>
      <c r="P180" s="0" t="n">
        <f aca="false">INDEX($F180:$J180,IF(1&lt;$E180,1,1+1))</f>
        <v>15.9</v>
      </c>
      <c r="Q180" s="0" t="n">
        <f aca="false">INDEX($F180:$J180,IF(2&lt;$E180,2,2+1))</f>
        <v>24.6</v>
      </c>
      <c r="R180" s="0" t="n">
        <f aca="false">INDEX($F180:$J180,IF(3&lt;$E180,3,3+1))</f>
        <v>14.2</v>
      </c>
      <c r="S180" s="0" t="n">
        <f aca="false">INDEX($F180:$J180,IF(4&lt;$E180,4,4+1))</f>
        <v>12.7</v>
      </c>
      <c r="T180" s="0" t="n">
        <f aca="false">INDEX($K180:$O180,IF(1&lt;$E180,1,1+1))</f>
        <v>18.8309924694</v>
      </c>
      <c r="U180" s="0" t="n">
        <f aca="false">INDEX($K180:$O180,IF(2&lt;$E180,2,2+1))</f>
        <v>8.17057229198</v>
      </c>
      <c r="V180" s="0" t="n">
        <f aca="false">INDEX($K180:$O180,IF(3&lt;$E180,3,3+1))</f>
        <v>33.2973886394</v>
      </c>
      <c r="W180" s="0" t="n">
        <f aca="false">INDEX($K180:$O180,IF(4&lt;$E180,4,4+1))</f>
        <v>11.2218383632</v>
      </c>
      <c r="X180" s="0" t="n">
        <f aca="false">1+COUNTIF($P180:$S180,"&gt;"&amp;$P180)+(COUNTIF($P180:$S180,$P180)-1)/2</f>
        <v>2</v>
      </c>
      <c r="Y180" s="0" t="n">
        <f aca="false">1+COUNTIF($P180:$S180,"&gt;"&amp;$Q180)+(COUNTIF($P180:$S180,$Q180)-1)/2</f>
        <v>1</v>
      </c>
      <c r="Z180" s="0" t="n">
        <f aca="false">1+COUNTIF($P180:$S180,"&gt;"&amp;$R180)+(COUNTIF($P180:$S180,$R180)-1)/2</f>
        <v>3</v>
      </c>
      <c r="AA180" s="0" t="n">
        <f aca="false">1+COUNTIF($P180:$S180,"&gt;"&amp;$S180)+(COUNTIF($P180:$S180,$S180)-1)/2</f>
        <v>4</v>
      </c>
      <c r="AB180" s="0" t="n">
        <f aca="false">1+COUNTIF($T180:$W180,"&gt;"&amp;$T180)+(COUNTIF($T180:$W180,$T180)-1)/2</f>
        <v>2</v>
      </c>
      <c r="AC180" s="0" t="n">
        <f aca="false">1+COUNTIF($T180:$W180,"&gt;"&amp;$U180)+(COUNTIF($T180:$W180,$U180)-1)/2</f>
        <v>4</v>
      </c>
      <c r="AD180" s="0" t="n">
        <f aca="false">1+COUNTIF($T180:$W180,"&gt;"&amp;$V180)+(COUNTIF($T180:$W180,$V180)-1)/2</f>
        <v>1</v>
      </c>
      <c r="AE180" s="0" t="n">
        <f aca="false">1+COUNTIF($T180:$W180,"&gt;"&amp;$W180)+(COUNTIF($T180:$W180,$W180)-1)/2</f>
        <v>3</v>
      </c>
      <c r="AF180" s="0" t="n">
        <f aca="false">IFERROR(CORREL($P180:$S180,$T180:$W180),"")</f>
        <v>-0.498526594541984</v>
      </c>
      <c r="AG180" s="0" t="n">
        <f aca="false">IFERROR(CORREL($X180:$AA180,$AB180:$AE180),"")</f>
        <v>-0.4</v>
      </c>
      <c r="AH180" s="0" t="n">
        <f aca="false">IFERROR((SIGN($P180-$Q180)*SIGN($T180-$U180)+SIGN($P180-$R180)*SIGN($T180-$V180)+SIGN($P180-$S180)*SIGN($T180-$W180)+SIGN($Q180-$R180)*SIGN($U180-$V180)+SIGN($Q180-$S180)*SIGN($U180-$W180)+SIGN($R180-$S180)*SIGN($V180-$W180))/SQRT((6-(($P180=$Q180)*1+($P180=$R180)*1+($P180=$S180)*1+($Q180=$R180)*1+($Q180=$S180)*1+($R180=$S180)*1))*(6-(($T180=$U180)*1+($T180=$V180)*1+($T180=$W180)*1+($U180=$V180)*1+($U180=$W180)*1+($V180=$W180)*1))),"")</f>
        <v>-0.333333333333333</v>
      </c>
      <c r="AI180" s="0" t="n">
        <f aca="false">MATCH(MAX($K180:$O180),$K180:$O180,0)</f>
        <v>4</v>
      </c>
      <c r="AJ180" s="0" t="n">
        <f aca="false">IF(AI180&lt;&gt;$E180,1,0)</f>
        <v>1</v>
      </c>
      <c r="AK180" s="0" t="n">
        <f aca="false">IF(AJ180=1,INDEX($F180:$J180,AI180)/MAX($P180:$S180),"")</f>
        <v>0.577235772357724</v>
      </c>
      <c r="AL180" s="0" t="n">
        <f aca="false">IF(AJ180=1,1+COUNTIF($P180:$S180,"&gt;"&amp;INDEX($F180:$J180,AI180)),"")</f>
        <v>3</v>
      </c>
      <c r="AM180" s="0" t="n">
        <f aca="false">AVERAGE($P180:$S180)/MAX($P180:$S180)</f>
        <v>0.684959349593496</v>
      </c>
      <c r="AN180" s="0" t="n">
        <f aca="false">100-INDEX($F180:$J180,$E180)</f>
        <v>68.4</v>
      </c>
    </row>
    <row r="181" customFormat="false" ht="15" hidden="false" customHeight="false" outlineLevel="0" collapsed="false">
      <c r="A181" s="0" t="s">
        <v>40</v>
      </c>
      <c r="B181" s="0" t="n">
        <v>2019</v>
      </c>
      <c r="C181" s="0" t="s">
        <v>49</v>
      </c>
      <c r="D181" s="0" t="s">
        <v>42</v>
      </c>
      <c r="E181" s="0" t="n">
        <v>1</v>
      </c>
      <c r="F181" s="0" t="n">
        <v>33.9</v>
      </c>
      <c r="G181" s="0" t="n">
        <v>23.5</v>
      </c>
      <c r="H181" s="0" t="n">
        <v>19.4</v>
      </c>
      <c r="I181" s="0" t="n">
        <v>13.4</v>
      </c>
      <c r="J181" s="0" t="n">
        <v>8.4</v>
      </c>
      <c r="K181" s="0" t="n">
        <v>94.381590471</v>
      </c>
      <c r="L181" s="0" t="n">
        <v>2.17096065253</v>
      </c>
      <c r="M181" s="0" t="n">
        <v>0.833257081374</v>
      </c>
      <c r="N181" s="0" t="n">
        <v>1.22385579549</v>
      </c>
      <c r="O181" s="0" t="n">
        <v>1.39033599955</v>
      </c>
      <c r="P181" s="0" t="n">
        <f aca="false">INDEX($F181:$J181,IF(1&lt;$E181,1,1+1))</f>
        <v>23.5</v>
      </c>
      <c r="Q181" s="0" t="n">
        <f aca="false">INDEX($F181:$J181,IF(2&lt;$E181,2,2+1))</f>
        <v>19.4</v>
      </c>
      <c r="R181" s="0" t="n">
        <f aca="false">INDEX($F181:$J181,IF(3&lt;$E181,3,3+1))</f>
        <v>13.4</v>
      </c>
      <c r="S181" s="0" t="n">
        <f aca="false">INDEX($F181:$J181,IF(4&lt;$E181,4,4+1))</f>
        <v>8.4</v>
      </c>
      <c r="T181" s="0" t="n">
        <f aca="false">INDEX($K181:$O181,IF(1&lt;$E181,1,1+1))</f>
        <v>2.17096065253</v>
      </c>
      <c r="U181" s="0" t="n">
        <f aca="false">INDEX($K181:$O181,IF(2&lt;$E181,2,2+1))</f>
        <v>0.833257081374</v>
      </c>
      <c r="V181" s="0" t="n">
        <f aca="false">INDEX($K181:$O181,IF(3&lt;$E181,3,3+1))</f>
        <v>1.22385579549</v>
      </c>
      <c r="W181" s="0" t="n">
        <f aca="false">INDEX($K181:$O181,IF(4&lt;$E181,4,4+1))</f>
        <v>1.39033599955</v>
      </c>
      <c r="X181" s="0" t="n">
        <f aca="false">1+COUNTIF($P181:$S181,"&gt;"&amp;$P181)+(COUNTIF($P181:$S181,$P181)-1)/2</f>
        <v>1</v>
      </c>
      <c r="Y181" s="0" t="n">
        <f aca="false">1+COUNTIF($P181:$S181,"&gt;"&amp;$Q181)+(COUNTIF($P181:$S181,$Q181)-1)/2</f>
        <v>2</v>
      </c>
      <c r="Z181" s="0" t="n">
        <f aca="false">1+COUNTIF($P181:$S181,"&gt;"&amp;$R181)+(COUNTIF($P181:$S181,$R181)-1)/2</f>
        <v>3</v>
      </c>
      <c r="AA181" s="0" t="n">
        <f aca="false">1+COUNTIF($P181:$S181,"&gt;"&amp;$S181)+(COUNTIF($P181:$S181,$S181)-1)/2</f>
        <v>4</v>
      </c>
      <c r="AB181" s="0" t="n">
        <f aca="false">1+COUNTIF($T181:$W181,"&gt;"&amp;$T181)+(COUNTIF($T181:$W181,$T181)-1)/2</f>
        <v>1</v>
      </c>
      <c r="AC181" s="0" t="n">
        <f aca="false">1+COUNTIF($T181:$W181,"&gt;"&amp;$U181)+(COUNTIF($T181:$W181,$U181)-1)/2</f>
        <v>4</v>
      </c>
      <c r="AD181" s="0" t="n">
        <f aca="false">1+COUNTIF($T181:$W181,"&gt;"&amp;$V181)+(COUNTIF($T181:$W181,$V181)-1)/2</f>
        <v>3</v>
      </c>
      <c r="AE181" s="0" t="n">
        <f aca="false">1+COUNTIF($T181:$W181,"&gt;"&amp;$W181)+(COUNTIF($T181:$W181,$W181)-1)/2</f>
        <v>2</v>
      </c>
      <c r="AF181" s="0" t="n">
        <f aca="false">IFERROR(CORREL($P181:$S181,$T181:$W181),"")</f>
        <v>0.391836189839176</v>
      </c>
      <c r="AG181" s="0" t="n">
        <f aca="false">IFERROR(CORREL($X181:$AA181,$AB181:$AE181),"")</f>
        <v>0.2</v>
      </c>
      <c r="AH181" s="0" t="n">
        <f aca="false">IFERROR((SIGN($P181-$Q181)*SIGN($T181-$U181)+SIGN($P181-$R181)*SIGN($T181-$V181)+SIGN($P181-$S181)*SIGN($T181-$W181)+SIGN($Q181-$R181)*SIGN($U181-$V181)+SIGN($Q181-$S181)*SIGN($U181-$W181)+SIGN($R181-$S181)*SIGN($V181-$W181))/SQRT((6-(($P181=$Q181)*1+($P181=$R181)*1+($P181=$S181)*1+($Q181=$R181)*1+($Q181=$S181)*1+($R181=$S181)*1))*(6-(($T181=$U181)*1+($T181=$V181)*1+($T181=$W181)*1+($U181=$V181)*1+($U181=$W181)*1+($V181=$W181)*1))),"")</f>
        <v>0</v>
      </c>
      <c r="AI181" s="0" t="n">
        <f aca="false">MATCH(MAX($K181:$O181),$K181:$O181,0)</f>
        <v>1</v>
      </c>
      <c r="AJ181" s="0" t="n">
        <f aca="false">IF(AI181&lt;&gt;$E181,1,0)</f>
        <v>0</v>
      </c>
      <c r="AK181" s="0" t="str">
        <f aca="false">IF(AJ181=1,INDEX($F181:$J181,AI181)/MAX($P181:$S181),"")</f>
        <v/>
      </c>
      <c r="AL181" s="0" t="str">
        <f aca="false">IF(AJ181=1,1+COUNTIF($P181:$S181,"&gt;"&amp;INDEX($F181:$J181,AI181)),"")</f>
        <v/>
      </c>
      <c r="AM181" s="0" t="n">
        <f aca="false">AVERAGE($P181:$S181)/MAX($P181:$S181)</f>
        <v>0.688297872340426</v>
      </c>
      <c r="AN181" s="0" t="n">
        <f aca="false">100-INDEX($F181:$J181,$E181)</f>
        <v>66.1</v>
      </c>
    </row>
    <row r="182" customFormat="false" ht="15" hidden="false" customHeight="false" outlineLevel="0" collapsed="false">
      <c r="A182" s="0" t="s">
        <v>40</v>
      </c>
      <c r="B182" s="0" t="n">
        <v>2019</v>
      </c>
      <c r="C182" s="0" t="s">
        <v>49</v>
      </c>
      <c r="D182" s="0" t="s">
        <v>43</v>
      </c>
      <c r="E182" s="0" t="n">
        <v>1</v>
      </c>
      <c r="F182" s="0" t="n">
        <v>42.2</v>
      </c>
      <c r="G182" s="0" t="n">
        <v>12.4</v>
      </c>
      <c r="H182" s="0" t="n">
        <v>17.3</v>
      </c>
      <c r="I182" s="0" t="n">
        <v>14.8</v>
      </c>
      <c r="J182" s="0" t="n">
        <v>12</v>
      </c>
      <c r="K182" s="0" t="n">
        <v>59.9127911815</v>
      </c>
      <c r="L182" s="0" t="n">
        <v>1.40113128479</v>
      </c>
      <c r="M182" s="0" t="n">
        <v>1.72966439619</v>
      </c>
      <c r="N182" s="0" t="n">
        <v>3.35634761212</v>
      </c>
      <c r="O182" s="0" t="n">
        <v>33.6000655254</v>
      </c>
      <c r="P182" s="0" t="n">
        <f aca="false">INDEX($F182:$J182,IF(1&lt;$E182,1,1+1))</f>
        <v>12.4</v>
      </c>
      <c r="Q182" s="0" t="n">
        <f aca="false">INDEX($F182:$J182,IF(2&lt;$E182,2,2+1))</f>
        <v>17.3</v>
      </c>
      <c r="R182" s="0" t="n">
        <f aca="false">INDEX($F182:$J182,IF(3&lt;$E182,3,3+1))</f>
        <v>14.8</v>
      </c>
      <c r="S182" s="0" t="n">
        <f aca="false">INDEX($F182:$J182,IF(4&lt;$E182,4,4+1))</f>
        <v>12</v>
      </c>
      <c r="T182" s="0" t="n">
        <f aca="false">INDEX($K182:$O182,IF(1&lt;$E182,1,1+1))</f>
        <v>1.40113128479</v>
      </c>
      <c r="U182" s="0" t="n">
        <f aca="false">INDEX($K182:$O182,IF(2&lt;$E182,2,2+1))</f>
        <v>1.72966439619</v>
      </c>
      <c r="V182" s="0" t="n">
        <f aca="false">INDEX($K182:$O182,IF(3&lt;$E182,3,3+1))</f>
        <v>3.35634761212</v>
      </c>
      <c r="W182" s="0" t="n">
        <f aca="false">INDEX($K182:$O182,IF(4&lt;$E182,4,4+1))</f>
        <v>33.6000655254</v>
      </c>
      <c r="X182" s="0" t="n">
        <f aca="false">1+COUNTIF($P182:$S182,"&gt;"&amp;$P182)+(COUNTIF($P182:$S182,$P182)-1)/2</f>
        <v>3</v>
      </c>
      <c r="Y182" s="0" t="n">
        <f aca="false">1+COUNTIF($P182:$S182,"&gt;"&amp;$Q182)+(COUNTIF($P182:$S182,$Q182)-1)/2</f>
        <v>1</v>
      </c>
      <c r="Z182" s="0" t="n">
        <f aca="false">1+COUNTIF($P182:$S182,"&gt;"&amp;$R182)+(COUNTIF($P182:$S182,$R182)-1)/2</f>
        <v>2</v>
      </c>
      <c r="AA182" s="0" t="n">
        <f aca="false">1+COUNTIF($P182:$S182,"&gt;"&amp;$S182)+(COUNTIF($P182:$S182,$S182)-1)/2</f>
        <v>4</v>
      </c>
      <c r="AB182" s="0" t="n">
        <f aca="false">1+COUNTIF($T182:$W182,"&gt;"&amp;$T182)+(COUNTIF($T182:$W182,$T182)-1)/2</f>
        <v>4</v>
      </c>
      <c r="AC182" s="0" t="n">
        <f aca="false">1+COUNTIF($T182:$W182,"&gt;"&amp;$U182)+(COUNTIF($T182:$W182,$U182)-1)/2</f>
        <v>3</v>
      </c>
      <c r="AD182" s="0" t="n">
        <f aca="false">1+COUNTIF($T182:$W182,"&gt;"&amp;$V182)+(COUNTIF($T182:$W182,$V182)-1)/2</f>
        <v>2</v>
      </c>
      <c r="AE182" s="0" t="n">
        <f aca="false">1+COUNTIF($T182:$W182,"&gt;"&amp;$W182)+(COUNTIF($T182:$W182,$W182)-1)/2</f>
        <v>1</v>
      </c>
      <c r="AF182" s="0" t="n">
        <f aca="false">IFERROR(CORREL($P182:$S182,$T182:$W182),"")</f>
        <v>-0.570620679859522</v>
      </c>
      <c r="AG182" s="0" t="n">
        <f aca="false">IFERROR(CORREL($X182:$AA182,$AB182:$AE182),"")</f>
        <v>-0.4</v>
      </c>
      <c r="AH182" s="0" t="n">
        <f aca="false">IFERROR((SIGN($P182-$Q182)*SIGN($T182-$U182)+SIGN($P182-$R182)*SIGN($T182-$V182)+SIGN($P182-$S182)*SIGN($T182-$W182)+SIGN($Q182-$R182)*SIGN($U182-$V182)+SIGN($Q182-$S182)*SIGN($U182-$W182)+SIGN($R182-$S182)*SIGN($V182-$W182))/SQRT((6-(($P182=$Q182)*1+($P182=$R182)*1+($P182=$S182)*1+($Q182=$R182)*1+($Q182=$S182)*1+($R182=$S182)*1))*(6-(($T182=$U182)*1+($T182=$V182)*1+($T182=$W182)*1+($U182=$V182)*1+($U182=$W182)*1+($V182=$W182)*1))),"")</f>
        <v>-0.333333333333333</v>
      </c>
      <c r="AI182" s="0" t="n">
        <f aca="false">MATCH(MAX($K182:$O182),$K182:$O182,0)</f>
        <v>1</v>
      </c>
      <c r="AJ182" s="0" t="n">
        <f aca="false">IF(AI182&lt;&gt;$E182,1,0)</f>
        <v>0</v>
      </c>
      <c r="AK182" s="0" t="str">
        <f aca="false">IF(AJ182=1,INDEX($F182:$J182,AI182)/MAX($P182:$S182),"")</f>
        <v/>
      </c>
      <c r="AL182" s="0" t="str">
        <f aca="false">IF(AJ182=1,1+COUNTIF($P182:$S182,"&gt;"&amp;INDEX($F182:$J182,AI182)),"")</f>
        <v/>
      </c>
      <c r="AM182" s="0" t="n">
        <f aca="false">AVERAGE($P182:$S182)/MAX($P182:$S182)</f>
        <v>0.816473988439306</v>
      </c>
      <c r="AN182" s="0" t="n">
        <f aca="false">100-INDEX($F182:$J182,$E182)</f>
        <v>57.8</v>
      </c>
    </row>
    <row r="183" customFormat="false" ht="15" hidden="false" customHeight="false" outlineLevel="0" collapsed="false">
      <c r="A183" s="0" t="s">
        <v>40</v>
      </c>
      <c r="B183" s="0" t="n">
        <v>2019</v>
      </c>
      <c r="C183" s="0" t="s">
        <v>49</v>
      </c>
      <c r="D183" s="0" t="s">
        <v>44</v>
      </c>
      <c r="E183" s="0" t="n">
        <v>5</v>
      </c>
      <c r="F183" s="0" t="n">
        <v>13.9</v>
      </c>
      <c r="G183" s="0" t="n">
        <v>13.5</v>
      </c>
      <c r="H183" s="0" t="n">
        <v>12.7</v>
      </c>
      <c r="I183" s="0" t="n">
        <v>16.6</v>
      </c>
      <c r="J183" s="0" t="n">
        <v>41.8</v>
      </c>
      <c r="K183" s="0" t="n">
        <v>1.6400665877</v>
      </c>
      <c r="L183" s="0" t="n">
        <v>2.97595846339</v>
      </c>
      <c r="M183" s="0" t="n">
        <v>10.8291971979</v>
      </c>
      <c r="N183" s="0" t="n">
        <v>1.88120150348</v>
      </c>
      <c r="O183" s="0" t="n">
        <v>82.6735762475</v>
      </c>
      <c r="P183" s="0" t="n">
        <f aca="false">INDEX($F183:$J183,IF(1&lt;$E183,1,1+1))</f>
        <v>13.9</v>
      </c>
      <c r="Q183" s="0" t="n">
        <f aca="false">INDEX($F183:$J183,IF(2&lt;$E183,2,2+1))</f>
        <v>13.5</v>
      </c>
      <c r="R183" s="0" t="n">
        <f aca="false">INDEX($F183:$J183,IF(3&lt;$E183,3,3+1))</f>
        <v>12.7</v>
      </c>
      <c r="S183" s="0" t="n">
        <f aca="false">INDEX($F183:$J183,IF(4&lt;$E183,4,4+1))</f>
        <v>16.6</v>
      </c>
      <c r="T183" s="0" t="n">
        <f aca="false">INDEX($K183:$O183,IF(1&lt;$E183,1,1+1))</f>
        <v>1.6400665877</v>
      </c>
      <c r="U183" s="0" t="n">
        <f aca="false">INDEX($K183:$O183,IF(2&lt;$E183,2,2+1))</f>
        <v>2.97595846339</v>
      </c>
      <c r="V183" s="0" t="n">
        <f aca="false">INDEX($K183:$O183,IF(3&lt;$E183,3,3+1))</f>
        <v>10.8291971979</v>
      </c>
      <c r="W183" s="0" t="n">
        <f aca="false">INDEX($K183:$O183,IF(4&lt;$E183,4,4+1))</f>
        <v>1.88120150348</v>
      </c>
      <c r="X183" s="0" t="n">
        <f aca="false">1+COUNTIF($P183:$S183,"&gt;"&amp;$P183)+(COUNTIF($P183:$S183,$P183)-1)/2</f>
        <v>2</v>
      </c>
      <c r="Y183" s="0" t="n">
        <f aca="false">1+COUNTIF($P183:$S183,"&gt;"&amp;$Q183)+(COUNTIF($P183:$S183,$Q183)-1)/2</f>
        <v>3</v>
      </c>
      <c r="Z183" s="0" t="n">
        <f aca="false">1+COUNTIF($P183:$S183,"&gt;"&amp;$R183)+(COUNTIF($P183:$S183,$R183)-1)/2</f>
        <v>4</v>
      </c>
      <c r="AA183" s="0" t="n">
        <f aca="false">1+COUNTIF($P183:$S183,"&gt;"&amp;$S183)+(COUNTIF($P183:$S183,$S183)-1)/2</f>
        <v>1</v>
      </c>
      <c r="AB183" s="0" t="n">
        <f aca="false">1+COUNTIF($T183:$W183,"&gt;"&amp;$T183)+(COUNTIF($T183:$W183,$T183)-1)/2</f>
        <v>4</v>
      </c>
      <c r="AC183" s="0" t="n">
        <f aca="false">1+COUNTIF($T183:$W183,"&gt;"&amp;$U183)+(COUNTIF($T183:$W183,$U183)-1)/2</f>
        <v>2</v>
      </c>
      <c r="AD183" s="0" t="n">
        <f aca="false">1+COUNTIF($T183:$W183,"&gt;"&amp;$V183)+(COUNTIF($T183:$W183,$V183)-1)/2</f>
        <v>1</v>
      </c>
      <c r="AE183" s="0" t="n">
        <f aca="false">1+COUNTIF($T183:$W183,"&gt;"&amp;$W183)+(COUNTIF($T183:$W183,$W183)-1)/2</f>
        <v>3</v>
      </c>
      <c r="AF183" s="0" t="n">
        <f aca="false">IFERROR(CORREL($P183:$S183,$T183:$W183),"")</f>
        <v>-0.625280746490488</v>
      </c>
      <c r="AG183" s="0" t="n">
        <f aca="false">IFERROR(CORREL($X183:$AA183,$AB183:$AE183),"")</f>
        <v>-0.8</v>
      </c>
      <c r="AH183" s="0" t="n">
        <f aca="false">IFERROR((SIGN($P183-$Q183)*SIGN($T183-$U183)+SIGN($P183-$R183)*SIGN($T183-$V183)+SIGN($P183-$S183)*SIGN($T183-$W183)+SIGN($Q183-$R183)*SIGN($U183-$V183)+SIGN($Q183-$S183)*SIGN($U183-$W183)+SIGN($R183-$S183)*SIGN($V183-$W183))/SQRT((6-(($P183=$Q183)*1+($P183=$R183)*1+($P183=$S183)*1+($Q183=$R183)*1+($Q183=$S183)*1+($R183=$S183)*1))*(6-(($T183=$U183)*1+($T183=$V183)*1+($T183=$W183)*1+($U183=$V183)*1+($U183=$W183)*1+($V183=$W183)*1))),"")</f>
        <v>-0.666666666666667</v>
      </c>
      <c r="AI183" s="0" t="n">
        <f aca="false">MATCH(MAX($K183:$O183),$K183:$O183,0)</f>
        <v>5</v>
      </c>
      <c r="AJ183" s="0" t="n">
        <f aca="false">IF(AI183&lt;&gt;$E183,1,0)</f>
        <v>0</v>
      </c>
      <c r="AK183" s="0" t="str">
        <f aca="false">IF(AJ183=1,INDEX($F183:$J183,AI183)/MAX($P183:$S183),"")</f>
        <v/>
      </c>
      <c r="AL183" s="0" t="str">
        <f aca="false">IF(AJ183=1,1+COUNTIF($P183:$S183,"&gt;"&amp;INDEX($F183:$J183,AI183)),"")</f>
        <v/>
      </c>
      <c r="AM183" s="0" t="n">
        <f aca="false">AVERAGE($P183:$S183)/MAX($P183:$S183)</f>
        <v>0.853915662650602</v>
      </c>
      <c r="AN183" s="0" t="n">
        <f aca="false">100-INDEX($F183:$J183,$E183)</f>
        <v>58.2</v>
      </c>
    </row>
    <row r="184" customFormat="false" ht="15" hidden="false" customHeight="false" outlineLevel="0" collapsed="false">
      <c r="A184" s="0" t="s">
        <v>40</v>
      </c>
      <c r="B184" s="0" t="n">
        <v>2019</v>
      </c>
      <c r="C184" s="0" t="s">
        <v>49</v>
      </c>
      <c r="D184" s="0" t="s">
        <v>45</v>
      </c>
      <c r="E184" s="0" t="n">
        <v>2</v>
      </c>
      <c r="F184" s="0" t="n">
        <v>35.2</v>
      </c>
      <c r="G184" s="0" t="n">
        <v>26.7</v>
      </c>
      <c r="H184" s="0" t="n">
        <v>14</v>
      </c>
      <c r="I184" s="0" t="n">
        <v>11.1</v>
      </c>
      <c r="J184" s="0" t="n">
        <v>11.5</v>
      </c>
      <c r="K184" s="0" t="n">
        <v>28.3977888435</v>
      </c>
      <c r="L184" s="0" t="n">
        <v>38.9757990599</v>
      </c>
      <c r="M184" s="0" t="n">
        <v>1.80350909107</v>
      </c>
      <c r="N184" s="0" t="n">
        <v>6.59652715726</v>
      </c>
      <c r="O184" s="0" t="n">
        <v>24.2263758483</v>
      </c>
      <c r="P184" s="0" t="n">
        <f aca="false">INDEX($F184:$J184,IF(1&lt;$E184,1,1+1))</f>
        <v>35.2</v>
      </c>
      <c r="Q184" s="0" t="n">
        <f aca="false">INDEX($F184:$J184,IF(2&lt;$E184,2,2+1))</f>
        <v>14</v>
      </c>
      <c r="R184" s="0" t="n">
        <f aca="false">INDEX($F184:$J184,IF(3&lt;$E184,3,3+1))</f>
        <v>11.1</v>
      </c>
      <c r="S184" s="0" t="n">
        <f aca="false">INDEX($F184:$J184,IF(4&lt;$E184,4,4+1))</f>
        <v>11.5</v>
      </c>
      <c r="T184" s="0" t="n">
        <f aca="false">INDEX($K184:$O184,IF(1&lt;$E184,1,1+1))</f>
        <v>28.3977888435</v>
      </c>
      <c r="U184" s="0" t="n">
        <f aca="false">INDEX($K184:$O184,IF(2&lt;$E184,2,2+1))</f>
        <v>1.80350909107</v>
      </c>
      <c r="V184" s="0" t="n">
        <f aca="false">INDEX($K184:$O184,IF(3&lt;$E184,3,3+1))</f>
        <v>6.59652715726</v>
      </c>
      <c r="W184" s="0" t="n">
        <f aca="false">INDEX($K184:$O184,IF(4&lt;$E184,4,4+1))</f>
        <v>24.2263758483</v>
      </c>
      <c r="X184" s="0" t="n">
        <f aca="false">1+COUNTIF($P184:$S184,"&gt;"&amp;$P184)+(COUNTIF($P184:$S184,$P184)-1)/2</f>
        <v>1</v>
      </c>
      <c r="Y184" s="0" t="n">
        <f aca="false">1+COUNTIF($P184:$S184,"&gt;"&amp;$Q184)+(COUNTIF($P184:$S184,$Q184)-1)/2</f>
        <v>2</v>
      </c>
      <c r="Z184" s="0" t="n">
        <f aca="false">1+COUNTIF($P184:$S184,"&gt;"&amp;$R184)+(COUNTIF($P184:$S184,$R184)-1)/2</f>
        <v>4</v>
      </c>
      <c r="AA184" s="0" t="n">
        <f aca="false">1+COUNTIF($P184:$S184,"&gt;"&amp;$S184)+(COUNTIF($P184:$S184,$S184)-1)/2</f>
        <v>3</v>
      </c>
      <c r="AB184" s="0" t="n">
        <f aca="false">1+COUNTIF($T184:$W184,"&gt;"&amp;$T184)+(COUNTIF($T184:$W184,$T184)-1)/2</f>
        <v>1</v>
      </c>
      <c r="AC184" s="0" t="n">
        <f aca="false">1+COUNTIF($T184:$W184,"&gt;"&amp;$U184)+(COUNTIF($T184:$W184,$U184)-1)/2</f>
        <v>4</v>
      </c>
      <c r="AD184" s="0" t="n">
        <f aca="false">1+COUNTIF($T184:$W184,"&gt;"&amp;$V184)+(COUNTIF($T184:$W184,$V184)-1)/2</f>
        <v>3</v>
      </c>
      <c r="AE184" s="0" t="n">
        <f aca="false">1+COUNTIF($T184:$W184,"&gt;"&amp;$W184)+(COUNTIF($T184:$W184,$W184)-1)/2</f>
        <v>2</v>
      </c>
      <c r="AF184" s="0" t="n">
        <f aca="false">IFERROR(CORREL($P184:$S184,$T184:$W184),"")</f>
        <v>0.622009334586511</v>
      </c>
      <c r="AG184" s="0" t="n">
        <f aca="false">IFERROR(CORREL($X184:$AA184,$AB184:$AE184),"")</f>
        <v>0.4</v>
      </c>
      <c r="AH184" s="0" t="n">
        <f aca="false">IFERROR((SIGN($P184-$Q184)*SIGN($T184-$U184)+SIGN($P184-$R184)*SIGN($T184-$V184)+SIGN($P184-$S184)*SIGN($T184-$W184)+SIGN($Q184-$R184)*SIGN($U184-$V184)+SIGN($Q184-$S184)*SIGN($U184-$W184)+SIGN($R184-$S184)*SIGN($V184-$W184))/SQRT((6-(($P184=$Q184)*1+($P184=$R184)*1+($P184=$S184)*1+($Q184=$R184)*1+($Q184=$S184)*1+($R184=$S184)*1))*(6-(($T184=$U184)*1+($T184=$V184)*1+($T184=$W184)*1+($U184=$V184)*1+($U184=$W184)*1+($V184=$W184)*1))),"")</f>
        <v>0.333333333333333</v>
      </c>
      <c r="AI184" s="0" t="n">
        <f aca="false">MATCH(MAX($K184:$O184),$K184:$O184,0)</f>
        <v>2</v>
      </c>
      <c r="AJ184" s="0" t="n">
        <f aca="false">IF(AI184&lt;&gt;$E184,1,0)</f>
        <v>0</v>
      </c>
      <c r="AK184" s="0" t="str">
        <f aca="false">IF(AJ184=1,INDEX($F184:$J184,AI184)/MAX($P184:$S184),"")</f>
        <v/>
      </c>
      <c r="AL184" s="0" t="str">
        <f aca="false">IF(AJ184=1,1+COUNTIF($P184:$S184,"&gt;"&amp;INDEX($F184:$J184,AI184)),"")</f>
        <v/>
      </c>
      <c r="AM184" s="0" t="n">
        <f aca="false">AVERAGE($P184:$S184)/MAX($P184:$S184)</f>
        <v>0.509943181818182</v>
      </c>
      <c r="AN184" s="0" t="n">
        <f aca="false">100-INDEX($F184:$J184,$E184)</f>
        <v>73.3</v>
      </c>
    </row>
    <row r="185" customFormat="false" ht="15" hidden="false" customHeight="false" outlineLevel="0" collapsed="false">
      <c r="A185" s="0" t="s">
        <v>40</v>
      </c>
      <c r="B185" s="0" t="n">
        <v>2019</v>
      </c>
      <c r="C185" s="0" t="s">
        <v>50</v>
      </c>
      <c r="D185" s="0" t="s">
        <v>42</v>
      </c>
      <c r="E185" s="0" t="n">
        <v>1</v>
      </c>
      <c r="F185" s="0" t="n">
        <v>20.7</v>
      </c>
      <c r="G185" s="0" t="n">
        <v>23</v>
      </c>
      <c r="H185" s="0" t="n">
        <v>16.3</v>
      </c>
      <c r="I185" s="0" t="n">
        <v>26.8</v>
      </c>
      <c r="J185" s="0" t="n">
        <v>7.8</v>
      </c>
      <c r="K185" s="0" t="n">
        <v>18.908654917</v>
      </c>
      <c r="L185" s="0" t="n">
        <v>4.64048254928</v>
      </c>
      <c r="M185" s="0" t="n">
        <v>48.7684033327</v>
      </c>
      <c r="N185" s="0" t="n">
        <v>18.7715364506</v>
      </c>
      <c r="O185" s="0" t="n">
        <v>8.91092275044</v>
      </c>
      <c r="P185" s="0" t="n">
        <f aca="false">INDEX($F185:$J185,IF(1&lt;$E185,1,1+1))</f>
        <v>23</v>
      </c>
      <c r="Q185" s="0" t="n">
        <f aca="false">INDEX($F185:$J185,IF(2&lt;$E185,2,2+1))</f>
        <v>16.3</v>
      </c>
      <c r="R185" s="0" t="n">
        <f aca="false">INDEX($F185:$J185,IF(3&lt;$E185,3,3+1))</f>
        <v>26.8</v>
      </c>
      <c r="S185" s="0" t="n">
        <f aca="false">INDEX($F185:$J185,IF(4&lt;$E185,4,4+1))</f>
        <v>7.8</v>
      </c>
      <c r="T185" s="0" t="n">
        <f aca="false">INDEX($K185:$O185,IF(1&lt;$E185,1,1+1))</f>
        <v>4.64048254928</v>
      </c>
      <c r="U185" s="0" t="n">
        <f aca="false">INDEX($K185:$O185,IF(2&lt;$E185,2,2+1))</f>
        <v>48.7684033327</v>
      </c>
      <c r="V185" s="0" t="n">
        <f aca="false">INDEX($K185:$O185,IF(3&lt;$E185,3,3+1))</f>
        <v>18.7715364506</v>
      </c>
      <c r="W185" s="0" t="n">
        <f aca="false">INDEX($K185:$O185,IF(4&lt;$E185,4,4+1))</f>
        <v>8.91092275044</v>
      </c>
      <c r="X185" s="0" t="n">
        <f aca="false">1+COUNTIF($P185:$S185,"&gt;"&amp;$P185)+(COUNTIF($P185:$S185,$P185)-1)/2</f>
        <v>2</v>
      </c>
      <c r="Y185" s="0" t="n">
        <f aca="false">1+COUNTIF($P185:$S185,"&gt;"&amp;$Q185)+(COUNTIF($P185:$S185,$Q185)-1)/2</f>
        <v>3</v>
      </c>
      <c r="Z185" s="0" t="n">
        <f aca="false">1+COUNTIF($P185:$S185,"&gt;"&amp;$R185)+(COUNTIF($P185:$S185,$R185)-1)/2</f>
        <v>1</v>
      </c>
      <c r="AA185" s="0" t="n">
        <f aca="false">1+COUNTIF($P185:$S185,"&gt;"&amp;$S185)+(COUNTIF($P185:$S185,$S185)-1)/2</f>
        <v>4</v>
      </c>
      <c r="AB185" s="0" t="n">
        <f aca="false">1+COUNTIF($T185:$W185,"&gt;"&amp;$T185)+(COUNTIF($T185:$W185,$T185)-1)/2</f>
        <v>4</v>
      </c>
      <c r="AC185" s="0" t="n">
        <f aca="false">1+COUNTIF($T185:$W185,"&gt;"&amp;$U185)+(COUNTIF($T185:$W185,$U185)-1)/2</f>
        <v>1</v>
      </c>
      <c r="AD185" s="0" t="n">
        <f aca="false">1+COUNTIF($T185:$W185,"&gt;"&amp;$V185)+(COUNTIF($T185:$W185,$V185)-1)/2</f>
        <v>2</v>
      </c>
      <c r="AE185" s="0" t="n">
        <f aca="false">1+COUNTIF($T185:$W185,"&gt;"&amp;$W185)+(COUNTIF($T185:$W185,$W185)-1)/2</f>
        <v>3</v>
      </c>
      <c r="AF185" s="0" t="n">
        <f aca="false">IFERROR(CORREL($P185:$S185,$T185:$W185),"")</f>
        <v>-0.0480796512963634</v>
      </c>
      <c r="AG185" s="0" t="n">
        <f aca="false">IFERROR(CORREL($X185:$AA185,$AB185:$AE185),"")</f>
        <v>0</v>
      </c>
      <c r="AH185" s="0" t="n">
        <f aca="false">IFERROR((SIGN($P185-$Q185)*SIGN($T185-$U185)+SIGN($P185-$R185)*SIGN($T185-$V185)+SIGN($P185-$S185)*SIGN($T185-$W185)+SIGN($Q185-$R185)*SIGN($U185-$V185)+SIGN($Q185-$S185)*SIGN($U185-$W185)+SIGN($R185-$S185)*SIGN($V185-$W185))/SQRT((6-(($P185=$Q185)*1+($P185=$R185)*1+($P185=$S185)*1+($Q185=$R185)*1+($Q185=$S185)*1+($R185=$S185)*1))*(6-(($T185=$U185)*1+($T185=$V185)*1+($T185=$W185)*1+($U185=$V185)*1+($U185=$W185)*1+($V185=$W185)*1))),"")</f>
        <v>0</v>
      </c>
      <c r="AI185" s="0" t="n">
        <f aca="false">MATCH(MAX($K185:$O185),$K185:$O185,0)</f>
        <v>3</v>
      </c>
      <c r="AJ185" s="0" t="n">
        <f aca="false">IF(AI185&lt;&gt;$E185,1,0)</f>
        <v>1</v>
      </c>
      <c r="AK185" s="0" t="n">
        <f aca="false">IF(AJ185=1,INDEX($F185:$J185,AI185)/MAX($P185:$S185),"")</f>
        <v>0.608208955223881</v>
      </c>
      <c r="AL185" s="0" t="n">
        <f aca="false">IF(AJ185=1,1+COUNTIF($P185:$S185,"&gt;"&amp;INDEX($F185:$J185,AI185)),"")</f>
        <v>3</v>
      </c>
      <c r="AM185" s="0" t="n">
        <f aca="false">AVERAGE($P185:$S185)/MAX($P185:$S185)</f>
        <v>0.689365671641791</v>
      </c>
      <c r="AN185" s="0" t="n">
        <f aca="false">100-INDEX($F185:$J185,$E185)</f>
        <v>79.3</v>
      </c>
    </row>
    <row r="186" customFormat="false" ht="15" hidden="false" customHeight="false" outlineLevel="0" collapsed="false">
      <c r="A186" s="0" t="s">
        <v>40</v>
      </c>
      <c r="B186" s="0" t="n">
        <v>2019</v>
      </c>
      <c r="C186" s="0" t="s">
        <v>50</v>
      </c>
      <c r="D186" s="0" t="s">
        <v>43</v>
      </c>
      <c r="E186" s="0" t="n">
        <v>2</v>
      </c>
      <c r="F186" s="0" t="n">
        <v>27.9</v>
      </c>
      <c r="G186" s="0" t="n">
        <v>24.8</v>
      </c>
      <c r="H186" s="0" t="n">
        <v>15.2</v>
      </c>
      <c r="I186" s="0" t="n">
        <v>11.9</v>
      </c>
      <c r="J186" s="0" t="n">
        <v>14.8</v>
      </c>
      <c r="K186" s="0" t="n">
        <v>7.64272768586</v>
      </c>
      <c r="L186" s="0" t="n">
        <v>23.0594728459</v>
      </c>
      <c r="M186" s="0" t="n">
        <v>15.4612775479</v>
      </c>
      <c r="N186" s="0" t="n">
        <v>39.3062718498</v>
      </c>
      <c r="O186" s="0" t="n">
        <v>14.5302500705</v>
      </c>
      <c r="P186" s="0" t="n">
        <f aca="false">INDEX($F186:$J186,IF(1&lt;$E186,1,1+1))</f>
        <v>27.9</v>
      </c>
      <c r="Q186" s="0" t="n">
        <f aca="false">INDEX($F186:$J186,IF(2&lt;$E186,2,2+1))</f>
        <v>15.2</v>
      </c>
      <c r="R186" s="0" t="n">
        <f aca="false">INDEX($F186:$J186,IF(3&lt;$E186,3,3+1))</f>
        <v>11.9</v>
      </c>
      <c r="S186" s="0" t="n">
        <f aca="false">INDEX($F186:$J186,IF(4&lt;$E186,4,4+1))</f>
        <v>14.8</v>
      </c>
      <c r="T186" s="0" t="n">
        <f aca="false">INDEX($K186:$O186,IF(1&lt;$E186,1,1+1))</f>
        <v>7.64272768586</v>
      </c>
      <c r="U186" s="0" t="n">
        <f aca="false">INDEX($K186:$O186,IF(2&lt;$E186,2,2+1))</f>
        <v>15.4612775479</v>
      </c>
      <c r="V186" s="0" t="n">
        <f aca="false">INDEX($K186:$O186,IF(3&lt;$E186,3,3+1))</f>
        <v>39.3062718498</v>
      </c>
      <c r="W186" s="0" t="n">
        <f aca="false">INDEX($K186:$O186,IF(4&lt;$E186,4,4+1))</f>
        <v>14.5302500705</v>
      </c>
      <c r="X186" s="0" t="n">
        <f aca="false">1+COUNTIF($P186:$S186,"&gt;"&amp;$P186)+(COUNTIF($P186:$S186,$P186)-1)/2</f>
        <v>1</v>
      </c>
      <c r="Y186" s="0" t="n">
        <f aca="false">1+COUNTIF($P186:$S186,"&gt;"&amp;$Q186)+(COUNTIF($P186:$S186,$Q186)-1)/2</f>
        <v>2</v>
      </c>
      <c r="Z186" s="0" t="n">
        <f aca="false">1+COUNTIF($P186:$S186,"&gt;"&amp;$R186)+(COUNTIF($P186:$S186,$R186)-1)/2</f>
        <v>4</v>
      </c>
      <c r="AA186" s="0" t="n">
        <f aca="false">1+COUNTIF($P186:$S186,"&gt;"&amp;$S186)+(COUNTIF($P186:$S186,$S186)-1)/2</f>
        <v>3</v>
      </c>
      <c r="AB186" s="0" t="n">
        <f aca="false">1+COUNTIF($T186:$W186,"&gt;"&amp;$T186)+(COUNTIF($T186:$W186,$T186)-1)/2</f>
        <v>4</v>
      </c>
      <c r="AC186" s="0" t="n">
        <f aca="false">1+COUNTIF($T186:$W186,"&gt;"&amp;$U186)+(COUNTIF($T186:$W186,$U186)-1)/2</f>
        <v>2</v>
      </c>
      <c r="AD186" s="0" t="n">
        <f aca="false">1+COUNTIF($T186:$W186,"&gt;"&amp;$V186)+(COUNTIF($T186:$W186,$V186)-1)/2</f>
        <v>1</v>
      </c>
      <c r="AE186" s="0" t="n">
        <f aca="false">1+COUNTIF($T186:$W186,"&gt;"&amp;$W186)+(COUNTIF($T186:$W186,$W186)-1)/2</f>
        <v>3</v>
      </c>
      <c r="AF186" s="0" t="n">
        <f aca="false">IFERROR(CORREL($P186:$S186,$T186:$W186),"")</f>
        <v>-0.716320720717132</v>
      </c>
      <c r="AG186" s="0" t="n">
        <f aca="false">IFERROR(CORREL($X186:$AA186,$AB186:$AE186),"")</f>
        <v>-0.8</v>
      </c>
      <c r="AH186" s="0" t="n">
        <f aca="false">IFERROR((SIGN($P186-$Q186)*SIGN($T186-$U186)+SIGN($P186-$R186)*SIGN($T186-$V186)+SIGN($P186-$S186)*SIGN($T186-$W186)+SIGN($Q186-$R186)*SIGN($U186-$V186)+SIGN($Q186-$S186)*SIGN($U186-$W186)+SIGN($R186-$S186)*SIGN($V186-$W186))/SQRT((6-(($P186=$Q186)*1+($P186=$R186)*1+($P186=$S186)*1+($Q186=$R186)*1+($Q186=$S186)*1+($R186=$S186)*1))*(6-(($T186=$U186)*1+($T186=$V186)*1+($T186=$W186)*1+($U186=$V186)*1+($U186=$W186)*1+($V186=$W186)*1))),"")</f>
        <v>-0.666666666666667</v>
      </c>
      <c r="AI186" s="0" t="n">
        <f aca="false">MATCH(MAX($K186:$O186),$K186:$O186,0)</f>
        <v>4</v>
      </c>
      <c r="AJ186" s="0" t="n">
        <f aca="false">IF(AI186&lt;&gt;$E186,1,0)</f>
        <v>1</v>
      </c>
      <c r="AK186" s="0" t="n">
        <f aca="false">IF(AJ186=1,INDEX($F186:$J186,AI186)/MAX($P186:$S186),"")</f>
        <v>0.426523297491039</v>
      </c>
      <c r="AL186" s="0" t="n">
        <f aca="false">IF(AJ186=1,1+COUNTIF($P186:$S186,"&gt;"&amp;INDEX($F186:$J186,AI186)),"")</f>
        <v>4</v>
      </c>
      <c r="AM186" s="0" t="n">
        <f aca="false">AVERAGE($P186:$S186)/MAX($P186:$S186)</f>
        <v>0.625448028673835</v>
      </c>
      <c r="AN186" s="0" t="n">
        <f aca="false">100-INDEX($F186:$J186,$E186)</f>
        <v>75.2</v>
      </c>
    </row>
    <row r="187" customFormat="false" ht="15" hidden="false" customHeight="false" outlineLevel="0" collapsed="false">
      <c r="A187" s="0" t="s">
        <v>40</v>
      </c>
      <c r="B187" s="0" t="n">
        <v>2019</v>
      </c>
      <c r="C187" s="0" t="s">
        <v>50</v>
      </c>
      <c r="D187" s="0" t="s">
        <v>44</v>
      </c>
      <c r="E187" s="0" t="n">
        <v>1</v>
      </c>
      <c r="F187" s="0" t="n">
        <v>33</v>
      </c>
      <c r="G187" s="0" t="n">
        <v>16.1</v>
      </c>
      <c r="H187" s="0" t="n">
        <v>13</v>
      </c>
      <c r="I187" s="0" t="n">
        <v>15.1</v>
      </c>
      <c r="J187" s="0" t="n">
        <v>17.4</v>
      </c>
      <c r="K187" s="0" t="n">
        <v>16.3147307978</v>
      </c>
      <c r="L187" s="0" t="n">
        <v>3.44070279156</v>
      </c>
      <c r="M187" s="0" t="n">
        <v>10.0317630856</v>
      </c>
      <c r="N187" s="0" t="n">
        <v>40.0603543479</v>
      </c>
      <c r="O187" s="0" t="n">
        <v>30.1524489772</v>
      </c>
      <c r="P187" s="0" t="n">
        <f aca="false">INDEX($F187:$J187,IF(1&lt;$E187,1,1+1))</f>
        <v>16.1</v>
      </c>
      <c r="Q187" s="0" t="n">
        <f aca="false">INDEX($F187:$J187,IF(2&lt;$E187,2,2+1))</f>
        <v>13</v>
      </c>
      <c r="R187" s="0" t="n">
        <f aca="false">INDEX($F187:$J187,IF(3&lt;$E187,3,3+1))</f>
        <v>15.1</v>
      </c>
      <c r="S187" s="0" t="n">
        <f aca="false">INDEX($F187:$J187,IF(4&lt;$E187,4,4+1))</f>
        <v>17.4</v>
      </c>
      <c r="T187" s="0" t="n">
        <f aca="false">INDEX($K187:$O187,IF(1&lt;$E187,1,1+1))</f>
        <v>3.44070279156</v>
      </c>
      <c r="U187" s="0" t="n">
        <f aca="false">INDEX($K187:$O187,IF(2&lt;$E187,2,2+1))</f>
        <v>10.0317630856</v>
      </c>
      <c r="V187" s="0" t="n">
        <f aca="false">INDEX($K187:$O187,IF(3&lt;$E187,3,3+1))</f>
        <v>40.0603543479</v>
      </c>
      <c r="W187" s="0" t="n">
        <f aca="false">INDEX($K187:$O187,IF(4&lt;$E187,4,4+1))</f>
        <v>30.1524489772</v>
      </c>
      <c r="X187" s="0" t="n">
        <f aca="false">1+COUNTIF($P187:$S187,"&gt;"&amp;$P187)+(COUNTIF($P187:$S187,$P187)-1)/2</f>
        <v>2</v>
      </c>
      <c r="Y187" s="0" t="n">
        <f aca="false">1+COUNTIF($P187:$S187,"&gt;"&amp;$Q187)+(COUNTIF($P187:$S187,$Q187)-1)/2</f>
        <v>4</v>
      </c>
      <c r="Z187" s="0" t="n">
        <f aca="false">1+COUNTIF($P187:$S187,"&gt;"&amp;$R187)+(COUNTIF($P187:$S187,$R187)-1)/2</f>
        <v>3</v>
      </c>
      <c r="AA187" s="0" t="n">
        <f aca="false">1+COUNTIF($P187:$S187,"&gt;"&amp;$S187)+(COUNTIF($P187:$S187,$S187)-1)/2</f>
        <v>1</v>
      </c>
      <c r="AB187" s="0" t="n">
        <f aca="false">1+COUNTIF($T187:$W187,"&gt;"&amp;$T187)+(COUNTIF($T187:$W187,$T187)-1)/2</f>
        <v>4</v>
      </c>
      <c r="AC187" s="0" t="n">
        <f aca="false">1+COUNTIF($T187:$W187,"&gt;"&amp;$U187)+(COUNTIF($T187:$W187,$U187)-1)/2</f>
        <v>3</v>
      </c>
      <c r="AD187" s="0" t="n">
        <f aca="false">1+COUNTIF($T187:$W187,"&gt;"&amp;$V187)+(COUNTIF($T187:$W187,$V187)-1)/2</f>
        <v>1</v>
      </c>
      <c r="AE187" s="0" t="n">
        <f aca="false">1+COUNTIF($T187:$W187,"&gt;"&amp;$W187)+(COUNTIF($T187:$W187,$W187)-1)/2</f>
        <v>2</v>
      </c>
      <c r="AF187" s="0" t="n">
        <f aca="false">IFERROR(CORREL($P187:$S187,$T187:$W187),"")</f>
        <v>0.279744710211322</v>
      </c>
      <c r="AG187" s="0" t="n">
        <f aca="false">IFERROR(CORREL($X187:$AA187,$AB187:$AE187),"")</f>
        <v>0</v>
      </c>
      <c r="AH187" s="0" t="n">
        <f aca="false">IFERROR((SIGN($P187-$Q187)*SIGN($T187-$U187)+SIGN($P187-$R187)*SIGN($T187-$V187)+SIGN($P187-$S187)*SIGN($T187-$W187)+SIGN($Q187-$R187)*SIGN($U187-$V187)+SIGN($Q187-$S187)*SIGN($U187-$W187)+SIGN($R187-$S187)*SIGN($V187-$W187))/SQRT((6-(($P187=$Q187)*1+($P187=$R187)*1+($P187=$S187)*1+($Q187=$R187)*1+($Q187=$S187)*1+($R187=$S187)*1))*(6-(($T187=$U187)*1+($T187=$V187)*1+($T187=$W187)*1+($U187=$V187)*1+($U187=$W187)*1+($V187=$W187)*1))),"")</f>
        <v>0</v>
      </c>
      <c r="AI187" s="0" t="n">
        <f aca="false">MATCH(MAX($K187:$O187),$K187:$O187,0)</f>
        <v>4</v>
      </c>
      <c r="AJ187" s="0" t="n">
        <f aca="false">IF(AI187&lt;&gt;$E187,1,0)</f>
        <v>1</v>
      </c>
      <c r="AK187" s="0" t="n">
        <f aca="false">IF(AJ187=1,INDEX($F187:$J187,AI187)/MAX($P187:$S187),"")</f>
        <v>0.867816091954023</v>
      </c>
      <c r="AL187" s="0" t="n">
        <f aca="false">IF(AJ187=1,1+COUNTIF($P187:$S187,"&gt;"&amp;INDEX($F187:$J187,AI187)),"")</f>
        <v>3</v>
      </c>
      <c r="AM187" s="0" t="n">
        <f aca="false">AVERAGE($P187:$S187)/MAX($P187:$S187)</f>
        <v>0.885057471264368</v>
      </c>
      <c r="AN187" s="0" t="n">
        <f aca="false">100-INDEX($F187:$J187,$E187)</f>
        <v>67</v>
      </c>
    </row>
    <row r="188" customFormat="false" ht="15" hidden="false" customHeight="false" outlineLevel="0" collapsed="false">
      <c r="A188" s="0" t="s">
        <v>40</v>
      </c>
      <c r="B188" s="0" t="n">
        <v>2019</v>
      </c>
      <c r="C188" s="0" t="s">
        <v>50</v>
      </c>
      <c r="D188" s="0" t="s">
        <v>45</v>
      </c>
      <c r="E188" s="0" t="n">
        <v>4</v>
      </c>
      <c r="F188" s="0" t="n">
        <v>17.6</v>
      </c>
      <c r="G188" s="0" t="n">
        <v>13.8</v>
      </c>
      <c r="H188" s="0" t="n">
        <v>22.6</v>
      </c>
      <c r="I188" s="0" t="n">
        <v>31.8</v>
      </c>
      <c r="J188" s="0" t="n">
        <v>8.7</v>
      </c>
      <c r="K188" s="0" t="n">
        <v>30.0918344073</v>
      </c>
      <c r="L188" s="0" t="n">
        <v>12.21092132</v>
      </c>
      <c r="M188" s="0" t="n">
        <v>15.0438315412</v>
      </c>
      <c r="N188" s="0" t="n">
        <v>34.1023712124</v>
      </c>
      <c r="O188" s="0" t="n">
        <v>8.55104151926</v>
      </c>
      <c r="P188" s="0" t="n">
        <f aca="false">INDEX($F188:$J188,IF(1&lt;$E188,1,1+1))</f>
        <v>17.6</v>
      </c>
      <c r="Q188" s="0" t="n">
        <f aca="false">INDEX($F188:$J188,IF(2&lt;$E188,2,2+1))</f>
        <v>13.8</v>
      </c>
      <c r="R188" s="0" t="n">
        <f aca="false">INDEX($F188:$J188,IF(3&lt;$E188,3,3+1))</f>
        <v>22.6</v>
      </c>
      <c r="S188" s="0" t="n">
        <f aca="false">INDEX($F188:$J188,IF(4&lt;$E188,4,4+1))</f>
        <v>8.7</v>
      </c>
      <c r="T188" s="0" t="n">
        <f aca="false">INDEX($K188:$O188,IF(1&lt;$E188,1,1+1))</f>
        <v>30.0918344073</v>
      </c>
      <c r="U188" s="0" t="n">
        <f aca="false">INDEX($K188:$O188,IF(2&lt;$E188,2,2+1))</f>
        <v>12.21092132</v>
      </c>
      <c r="V188" s="0" t="n">
        <f aca="false">INDEX($K188:$O188,IF(3&lt;$E188,3,3+1))</f>
        <v>15.0438315412</v>
      </c>
      <c r="W188" s="0" t="n">
        <f aca="false">INDEX($K188:$O188,IF(4&lt;$E188,4,4+1))</f>
        <v>8.55104151926</v>
      </c>
      <c r="X188" s="0" t="n">
        <f aca="false">1+COUNTIF($P188:$S188,"&gt;"&amp;$P188)+(COUNTIF($P188:$S188,$P188)-1)/2</f>
        <v>2</v>
      </c>
      <c r="Y188" s="0" t="n">
        <f aca="false">1+COUNTIF($P188:$S188,"&gt;"&amp;$Q188)+(COUNTIF($P188:$S188,$Q188)-1)/2</f>
        <v>3</v>
      </c>
      <c r="Z188" s="0" t="n">
        <f aca="false">1+COUNTIF($P188:$S188,"&gt;"&amp;$R188)+(COUNTIF($P188:$S188,$R188)-1)/2</f>
        <v>1</v>
      </c>
      <c r="AA188" s="0" t="n">
        <f aca="false">1+COUNTIF($P188:$S188,"&gt;"&amp;$S188)+(COUNTIF($P188:$S188,$S188)-1)/2</f>
        <v>4</v>
      </c>
      <c r="AB188" s="0" t="n">
        <f aca="false">1+COUNTIF($T188:$W188,"&gt;"&amp;$T188)+(COUNTIF($T188:$W188,$T188)-1)/2</f>
        <v>1</v>
      </c>
      <c r="AC188" s="0" t="n">
        <f aca="false">1+COUNTIF($T188:$W188,"&gt;"&amp;$U188)+(COUNTIF($T188:$W188,$U188)-1)/2</f>
        <v>3</v>
      </c>
      <c r="AD188" s="0" t="n">
        <f aca="false">1+COUNTIF($T188:$W188,"&gt;"&amp;$V188)+(COUNTIF($T188:$W188,$V188)-1)/2</f>
        <v>2</v>
      </c>
      <c r="AE188" s="0" t="n">
        <f aca="false">1+COUNTIF($T188:$W188,"&gt;"&amp;$W188)+(COUNTIF($T188:$W188,$W188)-1)/2</f>
        <v>4</v>
      </c>
      <c r="AF188" s="0" t="n">
        <f aca="false">IFERROR(CORREL($P188:$S188,$T188:$W188),"")</f>
        <v>0.476596848769614</v>
      </c>
      <c r="AG188" s="0" t="n">
        <f aca="false">IFERROR(CORREL($X188:$AA188,$AB188:$AE188),"")</f>
        <v>0.8</v>
      </c>
      <c r="AH188" s="0" t="n">
        <f aca="false">IFERROR((SIGN($P188-$Q188)*SIGN($T188-$U188)+SIGN($P188-$R188)*SIGN($T188-$V188)+SIGN($P188-$S188)*SIGN($T188-$W188)+SIGN($Q188-$R188)*SIGN($U188-$V188)+SIGN($Q188-$S188)*SIGN($U188-$W188)+SIGN($R188-$S188)*SIGN($V188-$W188))/SQRT((6-(($P188=$Q188)*1+($P188=$R188)*1+($P188=$S188)*1+($Q188=$R188)*1+($Q188=$S188)*1+($R188=$S188)*1))*(6-(($T188=$U188)*1+($T188=$V188)*1+($T188=$W188)*1+($U188=$V188)*1+($U188=$W188)*1+($V188=$W188)*1))),"")</f>
        <v>0.666666666666667</v>
      </c>
      <c r="AI188" s="0" t="n">
        <f aca="false">MATCH(MAX($K188:$O188),$K188:$O188,0)</f>
        <v>4</v>
      </c>
      <c r="AJ188" s="0" t="n">
        <f aca="false">IF(AI188&lt;&gt;$E188,1,0)</f>
        <v>0</v>
      </c>
      <c r="AK188" s="0" t="str">
        <f aca="false">IF(AJ188=1,INDEX($F188:$J188,AI188)/MAX($P188:$S188),"")</f>
        <v/>
      </c>
      <c r="AL188" s="0" t="str">
        <f aca="false">IF(AJ188=1,1+COUNTIF($P188:$S188,"&gt;"&amp;INDEX($F188:$J188,AI188)),"")</f>
        <v/>
      </c>
      <c r="AM188" s="0" t="n">
        <f aca="false">AVERAGE($P188:$S188)/MAX($P188:$S188)</f>
        <v>0.69358407079646</v>
      </c>
      <c r="AN188" s="0" t="n">
        <f aca="false">100-INDEX($F188:$J188,$E188)</f>
        <v>68.2</v>
      </c>
    </row>
    <row r="189" customFormat="false" ht="15" hidden="false" customHeight="false" outlineLevel="0" collapsed="false">
      <c r="A189" s="0" t="s">
        <v>40</v>
      </c>
      <c r="B189" s="0" t="n">
        <v>2019</v>
      </c>
      <c r="C189" s="0" t="s">
        <v>51</v>
      </c>
      <c r="D189" s="0" t="s">
        <v>42</v>
      </c>
      <c r="E189" s="0" t="n">
        <v>2</v>
      </c>
      <c r="F189" s="0" t="n">
        <v>6.3</v>
      </c>
      <c r="G189" s="0" t="n">
        <v>49.6</v>
      </c>
      <c r="H189" s="0" t="n">
        <v>12.4</v>
      </c>
      <c r="I189" s="0" t="n">
        <v>22.9</v>
      </c>
      <c r="J189" s="0" t="n">
        <v>6.3</v>
      </c>
      <c r="K189" s="0" t="n">
        <v>0.000705486121193</v>
      </c>
      <c r="L189" s="0" t="n">
        <v>95.7370416928</v>
      </c>
      <c r="M189" s="0" t="n">
        <v>0.00581826741685</v>
      </c>
      <c r="N189" s="0" t="n">
        <v>2.87907490066</v>
      </c>
      <c r="O189" s="0" t="n">
        <v>1.37735965298</v>
      </c>
      <c r="P189" s="0" t="n">
        <f aca="false">INDEX($F189:$J189,IF(1&lt;$E189,1,1+1))</f>
        <v>6.3</v>
      </c>
      <c r="Q189" s="0" t="n">
        <f aca="false">INDEX($F189:$J189,IF(2&lt;$E189,2,2+1))</f>
        <v>12.4</v>
      </c>
      <c r="R189" s="0" t="n">
        <f aca="false">INDEX($F189:$J189,IF(3&lt;$E189,3,3+1))</f>
        <v>22.9</v>
      </c>
      <c r="S189" s="0" t="n">
        <f aca="false">INDEX($F189:$J189,IF(4&lt;$E189,4,4+1))</f>
        <v>6.3</v>
      </c>
      <c r="T189" s="0" t="n">
        <f aca="false">INDEX($K189:$O189,IF(1&lt;$E189,1,1+1))</f>
        <v>0.000705486121193</v>
      </c>
      <c r="U189" s="0" t="n">
        <f aca="false">INDEX($K189:$O189,IF(2&lt;$E189,2,2+1))</f>
        <v>0.00581826741685</v>
      </c>
      <c r="V189" s="0" t="n">
        <f aca="false">INDEX($K189:$O189,IF(3&lt;$E189,3,3+1))</f>
        <v>2.87907490066</v>
      </c>
      <c r="W189" s="0" t="n">
        <f aca="false">INDEX($K189:$O189,IF(4&lt;$E189,4,4+1))</f>
        <v>1.37735965298</v>
      </c>
      <c r="X189" s="0" t="n">
        <f aca="false">1+COUNTIF($P189:$S189,"&gt;"&amp;$P189)+(COUNTIF($P189:$S189,$P189)-1)/2</f>
        <v>3.5</v>
      </c>
      <c r="Y189" s="0" t="n">
        <f aca="false">1+COUNTIF($P189:$S189,"&gt;"&amp;$Q189)+(COUNTIF($P189:$S189,$Q189)-1)/2</f>
        <v>2</v>
      </c>
      <c r="Z189" s="0" t="n">
        <f aca="false">1+COUNTIF($P189:$S189,"&gt;"&amp;$R189)+(COUNTIF($P189:$S189,$R189)-1)/2</f>
        <v>1</v>
      </c>
      <c r="AA189" s="0" t="n">
        <f aca="false">1+COUNTIF($P189:$S189,"&gt;"&amp;$S189)+(COUNTIF($P189:$S189,$S189)-1)/2</f>
        <v>3.5</v>
      </c>
      <c r="AB189" s="0" t="n">
        <f aca="false">1+COUNTIF($T189:$W189,"&gt;"&amp;$T189)+(COUNTIF($T189:$W189,$T189)-1)/2</f>
        <v>4</v>
      </c>
      <c r="AC189" s="0" t="n">
        <f aca="false">1+COUNTIF($T189:$W189,"&gt;"&amp;$U189)+(COUNTIF($T189:$W189,$U189)-1)/2</f>
        <v>3</v>
      </c>
      <c r="AD189" s="0" t="n">
        <f aca="false">1+COUNTIF($T189:$W189,"&gt;"&amp;$V189)+(COUNTIF($T189:$W189,$V189)-1)/2</f>
        <v>1</v>
      </c>
      <c r="AE189" s="0" t="n">
        <f aca="false">1+COUNTIF($T189:$W189,"&gt;"&amp;$W189)+(COUNTIF($T189:$W189,$W189)-1)/2</f>
        <v>2</v>
      </c>
      <c r="AF189" s="0" t="n">
        <f aca="false">IFERROR(CORREL($P189:$S189,$T189:$W189),"")</f>
        <v>0.733615179526516</v>
      </c>
      <c r="AG189" s="0" t="n">
        <f aca="false">IFERROR(CORREL($X189:$AA189,$AB189:$AE189),"")</f>
        <v>0.632455532033676</v>
      </c>
      <c r="AH189" s="0" t="n">
        <f aca="false">IFERROR((SIGN($P189-$Q189)*SIGN($T189-$U189)+SIGN($P189-$R189)*SIGN($T189-$V189)+SIGN($P189-$S189)*SIGN($T189-$W189)+SIGN($Q189-$R189)*SIGN($U189-$V189)+SIGN($Q189-$S189)*SIGN($U189-$W189)+SIGN($R189-$S189)*SIGN($V189-$W189))/SQRT((6-(($P189=$Q189)*1+($P189=$R189)*1+($P189=$S189)*1+($Q189=$R189)*1+($Q189=$S189)*1+($R189=$S189)*1))*(6-(($T189=$U189)*1+($T189=$V189)*1+($T189=$W189)*1+($U189=$V189)*1+($U189=$W189)*1+($V189=$W189)*1))),"")</f>
        <v>0.547722557505166</v>
      </c>
      <c r="AI189" s="0" t="n">
        <f aca="false">MATCH(MAX($K189:$O189),$K189:$O189,0)</f>
        <v>2</v>
      </c>
      <c r="AJ189" s="0" t="n">
        <f aca="false">IF(AI189&lt;&gt;$E189,1,0)</f>
        <v>0</v>
      </c>
      <c r="AK189" s="0" t="str">
        <f aca="false">IF(AJ189=1,INDEX($F189:$J189,AI189)/MAX($P189:$S189),"")</f>
        <v/>
      </c>
      <c r="AL189" s="0" t="str">
        <f aca="false">IF(AJ189=1,1+COUNTIF($P189:$S189,"&gt;"&amp;INDEX($F189:$J189,AI189)),"")</f>
        <v/>
      </c>
      <c r="AM189" s="0" t="n">
        <f aca="false">AVERAGE($P189:$S189)/MAX($P189:$S189)</f>
        <v>0.52292576419214</v>
      </c>
      <c r="AN189" s="0" t="n">
        <f aca="false">100-INDEX($F189:$J189,$E189)</f>
        <v>50.4</v>
      </c>
    </row>
    <row r="190" customFormat="false" ht="15" hidden="false" customHeight="false" outlineLevel="0" collapsed="false">
      <c r="A190" s="0" t="s">
        <v>40</v>
      </c>
      <c r="B190" s="0" t="n">
        <v>2019</v>
      </c>
      <c r="C190" s="0" t="s">
        <v>51</v>
      </c>
      <c r="D190" s="0" t="s">
        <v>43</v>
      </c>
      <c r="E190" s="0" t="n">
        <v>1</v>
      </c>
      <c r="F190" s="0" t="n">
        <v>47</v>
      </c>
      <c r="G190" s="0" t="n">
        <v>11.3</v>
      </c>
      <c r="H190" s="0" t="n">
        <v>9</v>
      </c>
      <c r="I190" s="0" t="n">
        <v>15.8</v>
      </c>
      <c r="J190" s="0" t="n">
        <v>14.4</v>
      </c>
      <c r="K190" s="0" t="n">
        <v>41.2488839969</v>
      </c>
      <c r="L190" s="0" t="n">
        <v>15.8870921292</v>
      </c>
      <c r="M190" s="0" t="n">
        <v>1.61404766296</v>
      </c>
      <c r="N190" s="0" t="n">
        <v>5.59866625803</v>
      </c>
      <c r="O190" s="0" t="n">
        <v>35.6513099528</v>
      </c>
      <c r="P190" s="0" t="n">
        <f aca="false">INDEX($F190:$J190,IF(1&lt;$E190,1,1+1))</f>
        <v>11.3</v>
      </c>
      <c r="Q190" s="0" t="n">
        <f aca="false">INDEX($F190:$J190,IF(2&lt;$E190,2,2+1))</f>
        <v>9</v>
      </c>
      <c r="R190" s="0" t="n">
        <f aca="false">INDEX($F190:$J190,IF(3&lt;$E190,3,3+1))</f>
        <v>15.8</v>
      </c>
      <c r="S190" s="0" t="n">
        <f aca="false">INDEX($F190:$J190,IF(4&lt;$E190,4,4+1))</f>
        <v>14.4</v>
      </c>
      <c r="T190" s="0" t="n">
        <f aca="false">INDEX($K190:$O190,IF(1&lt;$E190,1,1+1))</f>
        <v>15.8870921292</v>
      </c>
      <c r="U190" s="0" t="n">
        <f aca="false">INDEX($K190:$O190,IF(2&lt;$E190,2,2+1))</f>
        <v>1.61404766296</v>
      </c>
      <c r="V190" s="0" t="n">
        <f aca="false">INDEX($K190:$O190,IF(3&lt;$E190,3,3+1))</f>
        <v>5.59866625803</v>
      </c>
      <c r="W190" s="0" t="n">
        <f aca="false">INDEX($K190:$O190,IF(4&lt;$E190,4,4+1))</f>
        <v>35.6513099528</v>
      </c>
      <c r="X190" s="0" t="n">
        <f aca="false">1+COUNTIF($P190:$S190,"&gt;"&amp;$P190)+(COUNTIF($P190:$S190,$P190)-1)/2</f>
        <v>3</v>
      </c>
      <c r="Y190" s="0" t="n">
        <f aca="false">1+COUNTIF($P190:$S190,"&gt;"&amp;$Q190)+(COUNTIF($P190:$S190,$Q190)-1)/2</f>
        <v>4</v>
      </c>
      <c r="Z190" s="0" t="n">
        <f aca="false">1+COUNTIF($P190:$S190,"&gt;"&amp;$R190)+(COUNTIF($P190:$S190,$R190)-1)/2</f>
        <v>1</v>
      </c>
      <c r="AA190" s="0" t="n">
        <f aca="false">1+COUNTIF($P190:$S190,"&gt;"&amp;$S190)+(COUNTIF($P190:$S190,$S190)-1)/2</f>
        <v>2</v>
      </c>
      <c r="AB190" s="0" t="n">
        <f aca="false">1+COUNTIF($T190:$W190,"&gt;"&amp;$T190)+(COUNTIF($T190:$W190,$T190)-1)/2</f>
        <v>2</v>
      </c>
      <c r="AC190" s="0" t="n">
        <f aca="false">1+COUNTIF($T190:$W190,"&gt;"&amp;$U190)+(COUNTIF($T190:$W190,$U190)-1)/2</f>
        <v>4</v>
      </c>
      <c r="AD190" s="0" t="n">
        <f aca="false">1+COUNTIF($T190:$W190,"&gt;"&amp;$V190)+(COUNTIF($T190:$W190,$V190)-1)/2</f>
        <v>3</v>
      </c>
      <c r="AE190" s="0" t="n">
        <f aca="false">1+COUNTIF($T190:$W190,"&gt;"&amp;$W190)+(COUNTIF($T190:$W190,$W190)-1)/2</f>
        <v>1</v>
      </c>
      <c r="AF190" s="0" t="n">
        <f aca="false">IFERROR(CORREL($P190:$S190,$T190:$W190),"")</f>
        <v>0.387488710049673</v>
      </c>
      <c r="AG190" s="0" t="n">
        <f aca="false">IFERROR(CORREL($X190:$AA190,$AB190:$AE190),"")</f>
        <v>0.4</v>
      </c>
      <c r="AH190" s="0" t="n">
        <f aca="false">IFERROR((SIGN($P190-$Q190)*SIGN($T190-$U190)+SIGN($P190-$R190)*SIGN($T190-$V190)+SIGN($P190-$S190)*SIGN($T190-$W190)+SIGN($Q190-$R190)*SIGN($U190-$V190)+SIGN($Q190-$S190)*SIGN($U190-$W190)+SIGN($R190-$S190)*SIGN($V190-$W190))/SQRT((6-(($P190=$Q190)*1+($P190=$R190)*1+($P190=$S190)*1+($Q190=$R190)*1+($Q190=$S190)*1+($R190=$S190)*1))*(6-(($T190=$U190)*1+($T190=$V190)*1+($T190=$W190)*1+($U190=$V190)*1+($U190=$W190)*1+($V190=$W190)*1))),"")</f>
        <v>0.333333333333333</v>
      </c>
      <c r="AI190" s="0" t="n">
        <f aca="false">MATCH(MAX($K190:$O190),$K190:$O190,0)</f>
        <v>1</v>
      </c>
      <c r="AJ190" s="0" t="n">
        <f aca="false">IF(AI190&lt;&gt;$E190,1,0)</f>
        <v>0</v>
      </c>
      <c r="AK190" s="0" t="str">
        <f aca="false">IF(AJ190=1,INDEX($F190:$J190,AI190)/MAX($P190:$S190),"")</f>
        <v/>
      </c>
      <c r="AL190" s="0" t="str">
        <f aca="false">IF(AJ190=1,1+COUNTIF($P190:$S190,"&gt;"&amp;INDEX($F190:$J190,AI190)),"")</f>
        <v/>
      </c>
      <c r="AM190" s="0" t="n">
        <f aca="false">AVERAGE($P190:$S190)/MAX($P190:$S190)</f>
        <v>0.799050632911392</v>
      </c>
      <c r="AN190" s="0" t="n">
        <f aca="false">100-INDEX($F190:$J190,$E190)</f>
        <v>53</v>
      </c>
    </row>
    <row r="191" customFormat="false" ht="15" hidden="false" customHeight="false" outlineLevel="0" collapsed="false">
      <c r="A191" s="0" t="s">
        <v>40</v>
      </c>
      <c r="B191" s="0" t="n">
        <v>2019</v>
      </c>
      <c r="C191" s="0" t="s">
        <v>51</v>
      </c>
      <c r="D191" s="0" t="s">
        <v>44</v>
      </c>
      <c r="E191" s="0" t="n">
        <v>1</v>
      </c>
      <c r="F191" s="0" t="n">
        <v>34.2</v>
      </c>
      <c r="G191" s="0" t="n">
        <v>20.5</v>
      </c>
      <c r="H191" s="0" t="n">
        <v>18.8</v>
      </c>
      <c r="I191" s="0" t="n">
        <v>10.8</v>
      </c>
      <c r="J191" s="0" t="n">
        <v>13.2</v>
      </c>
      <c r="K191" s="0" t="n">
        <v>64.5241328732</v>
      </c>
      <c r="L191" s="0" t="n">
        <v>12.3092157603</v>
      </c>
      <c r="M191" s="0" t="n">
        <v>0.67631485302</v>
      </c>
      <c r="N191" s="0" t="n">
        <v>10.7559790355</v>
      </c>
      <c r="O191" s="0" t="n">
        <v>11.734357478</v>
      </c>
      <c r="P191" s="0" t="n">
        <f aca="false">INDEX($F191:$J191,IF(1&lt;$E191,1,1+1))</f>
        <v>20.5</v>
      </c>
      <c r="Q191" s="0" t="n">
        <f aca="false">INDEX($F191:$J191,IF(2&lt;$E191,2,2+1))</f>
        <v>18.8</v>
      </c>
      <c r="R191" s="0" t="n">
        <f aca="false">INDEX($F191:$J191,IF(3&lt;$E191,3,3+1))</f>
        <v>10.8</v>
      </c>
      <c r="S191" s="0" t="n">
        <f aca="false">INDEX($F191:$J191,IF(4&lt;$E191,4,4+1))</f>
        <v>13.2</v>
      </c>
      <c r="T191" s="0" t="n">
        <f aca="false">INDEX($K191:$O191,IF(1&lt;$E191,1,1+1))</f>
        <v>12.3092157603</v>
      </c>
      <c r="U191" s="0" t="n">
        <f aca="false">INDEX($K191:$O191,IF(2&lt;$E191,2,2+1))</f>
        <v>0.67631485302</v>
      </c>
      <c r="V191" s="0" t="n">
        <f aca="false">INDEX($K191:$O191,IF(3&lt;$E191,3,3+1))</f>
        <v>10.7559790355</v>
      </c>
      <c r="W191" s="0" t="n">
        <f aca="false">INDEX($K191:$O191,IF(4&lt;$E191,4,4+1))</f>
        <v>11.734357478</v>
      </c>
      <c r="X191" s="0" t="n">
        <f aca="false">1+COUNTIF($P191:$S191,"&gt;"&amp;$P191)+(COUNTIF($P191:$S191,$P191)-1)/2</f>
        <v>1</v>
      </c>
      <c r="Y191" s="0" t="n">
        <f aca="false">1+COUNTIF($P191:$S191,"&gt;"&amp;$Q191)+(COUNTIF($P191:$S191,$Q191)-1)/2</f>
        <v>2</v>
      </c>
      <c r="Z191" s="0" t="n">
        <f aca="false">1+COUNTIF($P191:$S191,"&gt;"&amp;$R191)+(COUNTIF($P191:$S191,$R191)-1)/2</f>
        <v>4</v>
      </c>
      <c r="AA191" s="0" t="n">
        <f aca="false">1+COUNTIF($P191:$S191,"&gt;"&amp;$S191)+(COUNTIF($P191:$S191,$S191)-1)/2</f>
        <v>3</v>
      </c>
      <c r="AB191" s="0" t="n">
        <f aca="false">1+COUNTIF($T191:$W191,"&gt;"&amp;$T191)+(COUNTIF($T191:$W191,$T191)-1)/2</f>
        <v>1</v>
      </c>
      <c r="AC191" s="0" t="n">
        <f aca="false">1+COUNTIF($T191:$W191,"&gt;"&amp;$U191)+(COUNTIF($T191:$W191,$U191)-1)/2</f>
        <v>4</v>
      </c>
      <c r="AD191" s="0" t="n">
        <f aca="false">1+COUNTIF($T191:$W191,"&gt;"&amp;$V191)+(COUNTIF($T191:$W191,$V191)-1)/2</f>
        <v>3</v>
      </c>
      <c r="AE191" s="0" t="n">
        <f aca="false">1+COUNTIF($T191:$W191,"&gt;"&amp;$W191)+(COUNTIF($T191:$W191,$W191)-1)/2</f>
        <v>2</v>
      </c>
      <c r="AF191" s="0" t="n">
        <f aca="false">IFERROR(CORREL($P191:$S191,$T191:$W191),"")</f>
        <v>-0.334969250345079</v>
      </c>
      <c r="AG191" s="0" t="n">
        <f aca="false">IFERROR(CORREL($X191:$AA191,$AB191:$AE191),"")</f>
        <v>0.4</v>
      </c>
      <c r="AH191" s="0" t="n">
        <f aca="false">IFERROR((SIGN($P191-$Q191)*SIGN($T191-$U191)+SIGN($P191-$R191)*SIGN($T191-$V191)+SIGN($P191-$S191)*SIGN($T191-$W191)+SIGN($Q191-$R191)*SIGN($U191-$V191)+SIGN($Q191-$S191)*SIGN($U191-$W191)+SIGN($R191-$S191)*SIGN($V191-$W191))/SQRT((6-(($P191=$Q191)*1+($P191=$R191)*1+($P191=$S191)*1+($Q191=$R191)*1+($Q191=$S191)*1+($R191=$S191)*1))*(6-(($T191=$U191)*1+($T191=$V191)*1+($T191=$W191)*1+($U191=$V191)*1+($U191=$W191)*1+($V191=$W191)*1))),"")</f>
        <v>0.333333333333333</v>
      </c>
      <c r="AI191" s="0" t="n">
        <f aca="false">MATCH(MAX($K191:$O191),$K191:$O191,0)</f>
        <v>1</v>
      </c>
      <c r="AJ191" s="0" t="n">
        <f aca="false">IF(AI191&lt;&gt;$E191,1,0)</f>
        <v>0</v>
      </c>
      <c r="AK191" s="0" t="str">
        <f aca="false">IF(AJ191=1,INDEX($F191:$J191,AI191)/MAX($P191:$S191),"")</f>
        <v/>
      </c>
      <c r="AL191" s="0" t="str">
        <f aca="false">IF(AJ191=1,1+COUNTIF($P191:$S191,"&gt;"&amp;INDEX($F191:$J191,AI191)),"")</f>
        <v/>
      </c>
      <c r="AM191" s="0" t="n">
        <f aca="false">AVERAGE($P191:$S191)/MAX($P191:$S191)</f>
        <v>0.771951219512195</v>
      </c>
      <c r="AN191" s="0" t="n">
        <f aca="false">100-INDEX($F191:$J191,$E191)</f>
        <v>65.8</v>
      </c>
    </row>
    <row r="192" customFormat="false" ht="15" hidden="false" customHeight="false" outlineLevel="0" collapsed="false">
      <c r="A192" s="0" t="s">
        <v>40</v>
      </c>
      <c r="B192" s="0" t="n">
        <v>2019</v>
      </c>
      <c r="C192" s="0" t="s">
        <v>51</v>
      </c>
      <c r="D192" s="0" t="s">
        <v>45</v>
      </c>
      <c r="E192" s="0" t="n">
        <v>4</v>
      </c>
      <c r="F192" s="0" t="n">
        <v>22.4</v>
      </c>
      <c r="G192" s="0" t="n">
        <v>24.4</v>
      </c>
      <c r="H192" s="0" t="n">
        <v>15.7</v>
      </c>
      <c r="I192" s="0" t="n">
        <v>25.7</v>
      </c>
      <c r="J192" s="0" t="n">
        <v>9.1</v>
      </c>
      <c r="K192" s="0" t="n">
        <v>22.6944617921</v>
      </c>
      <c r="L192" s="0" t="n">
        <v>7.79348375396</v>
      </c>
      <c r="M192" s="0" t="n">
        <v>42.5464946371</v>
      </c>
      <c r="N192" s="0" t="n">
        <v>20.7720020744</v>
      </c>
      <c r="O192" s="0" t="n">
        <v>6.19355774236</v>
      </c>
      <c r="P192" s="0" t="n">
        <f aca="false">INDEX($F192:$J192,IF(1&lt;$E192,1,1+1))</f>
        <v>22.4</v>
      </c>
      <c r="Q192" s="0" t="n">
        <f aca="false">INDEX($F192:$J192,IF(2&lt;$E192,2,2+1))</f>
        <v>24.4</v>
      </c>
      <c r="R192" s="0" t="n">
        <f aca="false">INDEX($F192:$J192,IF(3&lt;$E192,3,3+1))</f>
        <v>15.7</v>
      </c>
      <c r="S192" s="0" t="n">
        <f aca="false">INDEX($F192:$J192,IF(4&lt;$E192,4,4+1))</f>
        <v>9.1</v>
      </c>
      <c r="T192" s="0" t="n">
        <f aca="false">INDEX($K192:$O192,IF(1&lt;$E192,1,1+1))</f>
        <v>22.6944617921</v>
      </c>
      <c r="U192" s="0" t="n">
        <f aca="false">INDEX($K192:$O192,IF(2&lt;$E192,2,2+1))</f>
        <v>7.79348375396</v>
      </c>
      <c r="V192" s="0" t="n">
        <f aca="false">INDEX($K192:$O192,IF(3&lt;$E192,3,3+1))</f>
        <v>42.5464946371</v>
      </c>
      <c r="W192" s="0" t="n">
        <f aca="false">INDEX($K192:$O192,IF(4&lt;$E192,4,4+1))</f>
        <v>6.19355774236</v>
      </c>
      <c r="X192" s="0" t="n">
        <f aca="false">1+COUNTIF($P192:$S192,"&gt;"&amp;$P192)+(COUNTIF($P192:$S192,$P192)-1)/2</f>
        <v>2</v>
      </c>
      <c r="Y192" s="0" t="n">
        <f aca="false">1+COUNTIF($P192:$S192,"&gt;"&amp;$Q192)+(COUNTIF($P192:$S192,$Q192)-1)/2</f>
        <v>1</v>
      </c>
      <c r="Z192" s="0" t="n">
        <f aca="false">1+COUNTIF($P192:$S192,"&gt;"&amp;$R192)+(COUNTIF($P192:$S192,$R192)-1)/2</f>
        <v>3</v>
      </c>
      <c r="AA192" s="0" t="n">
        <f aca="false">1+COUNTIF($P192:$S192,"&gt;"&amp;$S192)+(COUNTIF($P192:$S192,$S192)-1)/2</f>
        <v>4</v>
      </c>
      <c r="AB192" s="0" t="n">
        <f aca="false">1+COUNTIF($T192:$W192,"&gt;"&amp;$T192)+(COUNTIF($T192:$W192,$T192)-1)/2</f>
        <v>2</v>
      </c>
      <c r="AC192" s="0" t="n">
        <f aca="false">1+COUNTIF($T192:$W192,"&gt;"&amp;$U192)+(COUNTIF($T192:$W192,$U192)-1)/2</f>
        <v>3</v>
      </c>
      <c r="AD192" s="0" t="n">
        <f aca="false">1+COUNTIF($T192:$W192,"&gt;"&amp;$V192)+(COUNTIF($T192:$W192,$V192)-1)/2</f>
        <v>1</v>
      </c>
      <c r="AE192" s="0" t="n">
        <f aca="false">1+COUNTIF($T192:$W192,"&gt;"&amp;$W192)+(COUNTIF($T192:$W192,$W192)-1)/2</f>
        <v>4</v>
      </c>
      <c r="AF192" s="0" t="n">
        <f aca="false">IFERROR(CORREL($P192:$S192,$T192:$W192),"")</f>
        <v>0.0132930103451563</v>
      </c>
      <c r="AG192" s="0" t="n">
        <f aca="false">IFERROR(CORREL($X192:$AA192,$AB192:$AE192),"")</f>
        <v>0.2</v>
      </c>
      <c r="AH192" s="0" t="n">
        <f aca="false">IFERROR((SIGN($P192-$Q192)*SIGN($T192-$U192)+SIGN($P192-$R192)*SIGN($T192-$V192)+SIGN($P192-$S192)*SIGN($T192-$W192)+SIGN($Q192-$R192)*SIGN($U192-$V192)+SIGN($Q192-$S192)*SIGN($U192-$W192)+SIGN($R192-$S192)*SIGN($V192-$W192))/SQRT((6-(($P192=$Q192)*1+($P192=$R192)*1+($P192=$S192)*1+($Q192=$R192)*1+($Q192=$S192)*1+($R192=$S192)*1))*(6-(($T192=$U192)*1+($T192=$V192)*1+($T192=$W192)*1+($U192=$V192)*1+($U192=$W192)*1+($V192=$W192)*1))),"")</f>
        <v>0</v>
      </c>
      <c r="AI192" s="0" t="n">
        <f aca="false">MATCH(MAX($K192:$O192),$K192:$O192,0)</f>
        <v>3</v>
      </c>
      <c r="AJ192" s="0" t="n">
        <f aca="false">IF(AI192&lt;&gt;$E192,1,0)</f>
        <v>1</v>
      </c>
      <c r="AK192" s="0" t="n">
        <f aca="false">IF(AJ192=1,INDEX($F192:$J192,AI192)/MAX($P192:$S192),"")</f>
        <v>0.64344262295082</v>
      </c>
      <c r="AL192" s="0" t="n">
        <f aca="false">IF(AJ192=1,1+COUNTIF($P192:$S192,"&gt;"&amp;INDEX($F192:$J192,AI192)),"")</f>
        <v>3</v>
      </c>
      <c r="AM192" s="0" t="n">
        <f aca="false">AVERAGE($P192:$S192)/MAX($P192:$S192)</f>
        <v>0.733606557377049</v>
      </c>
      <c r="AN192" s="0" t="n">
        <f aca="false">100-INDEX($F192:$J192,$E192)</f>
        <v>74.3</v>
      </c>
    </row>
    <row r="193" customFormat="false" ht="15" hidden="false" customHeight="false" outlineLevel="0" collapsed="false">
      <c r="A193" s="0" t="s">
        <v>40</v>
      </c>
      <c r="B193" s="0" t="n">
        <v>2019</v>
      </c>
      <c r="C193" s="0" t="s">
        <v>52</v>
      </c>
      <c r="D193" s="0" t="s">
        <v>42</v>
      </c>
      <c r="E193" s="0" t="n">
        <v>1</v>
      </c>
      <c r="F193" s="0" t="n">
        <v>53.1</v>
      </c>
      <c r="G193" s="0" t="n">
        <v>9.1</v>
      </c>
      <c r="H193" s="0" t="n">
        <v>12.2</v>
      </c>
      <c r="I193" s="0" t="n">
        <v>11.2</v>
      </c>
      <c r="J193" s="0" t="n">
        <v>8</v>
      </c>
      <c r="K193" s="0" t="n">
        <v>74.6369143011</v>
      </c>
      <c r="L193" s="0" t="n">
        <v>0.334880305342</v>
      </c>
      <c r="M193" s="0" t="n">
        <v>10.9042409172</v>
      </c>
      <c r="N193" s="0" t="n">
        <v>0.340970170592</v>
      </c>
      <c r="O193" s="0" t="n">
        <v>13.7829943057</v>
      </c>
      <c r="P193" s="0" t="n">
        <f aca="false">INDEX($F193:$J193,IF(1&lt;$E193,1,1+1))</f>
        <v>9.1</v>
      </c>
      <c r="Q193" s="0" t="n">
        <f aca="false">INDEX($F193:$J193,IF(2&lt;$E193,2,2+1))</f>
        <v>12.2</v>
      </c>
      <c r="R193" s="0" t="n">
        <f aca="false">INDEX($F193:$J193,IF(3&lt;$E193,3,3+1))</f>
        <v>11.2</v>
      </c>
      <c r="S193" s="0" t="n">
        <f aca="false">INDEX($F193:$J193,IF(4&lt;$E193,4,4+1))</f>
        <v>8</v>
      </c>
      <c r="T193" s="0" t="n">
        <f aca="false">INDEX($K193:$O193,IF(1&lt;$E193,1,1+1))</f>
        <v>0.334880305342</v>
      </c>
      <c r="U193" s="0" t="n">
        <f aca="false">INDEX($K193:$O193,IF(2&lt;$E193,2,2+1))</f>
        <v>10.9042409172</v>
      </c>
      <c r="V193" s="0" t="n">
        <f aca="false">INDEX($K193:$O193,IF(3&lt;$E193,3,3+1))</f>
        <v>0.340970170592</v>
      </c>
      <c r="W193" s="0" t="n">
        <f aca="false">INDEX($K193:$O193,IF(4&lt;$E193,4,4+1))</f>
        <v>13.7829943057</v>
      </c>
      <c r="X193" s="0" t="n">
        <f aca="false">1+COUNTIF($P193:$S193,"&gt;"&amp;$P193)+(COUNTIF($P193:$S193,$P193)-1)/2</f>
        <v>3</v>
      </c>
      <c r="Y193" s="0" t="n">
        <f aca="false">1+COUNTIF($P193:$S193,"&gt;"&amp;$Q193)+(COUNTIF($P193:$S193,$Q193)-1)/2</f>
        <v>1</v>
      </c>
      <c r="Z193" s="0" t="n">
        <f aca="false">1+COUNTIF($P193:$S193,"&gt;"&amp;$R193)+(COUNTIF($P193:$S193,$R193)-1)/2</f>
        <v>2</v>
      </c>
      <c r="AA193" s="0" t="n">
        <f aca="false">1+COUNTIF($P193:$S193,"&gt;"&amp;$S193)+(COUNTIF($P193:$S193,$S193)-1)/2</f>
        <v>4</v>
      </c>
      <c r="AB193" s="0" t="n">
        <f aca="false">1+COUNTIF($T193:$W193,"&gt;"&amp;$T193)+(COUNTIF($T193:$W193,$T193)-1)/2</f>
        <v>4</v>
      </c>
      <c r="AC193" s="0" t="n">
        <f aca="false">1+COUNTIF($T193:$W193,"&gt;"&amp;$U193)+(COUNTIF($T193:$W193,$U193)-1)/2</f>
        <v>2</v>
      </c>
      <c r="AD193" s="0" t="n">
        <f aca="false">1+COUNTIF($T193:$W193,"&gt;"&amp;$V193)+(COUNTIF($T193:$W193,$V193)-1)/2</f>
        <v>3</v>
      </c>
      <c r="AE193" s="0" t="n">
        <f aca="false">1+COUNTIF($T193:$W193,"&gt;"&amp;$W193)+(COUNTIF($T193:$W193,$W193)-1)/2</f>
        <v>1</v>
      </c>
      <c r="AF193" s="0" t="n">
        <f aca="false">IFERROR(CORREL($P193:$S193,$T193:$W193),"")</f>
        <v>-0.164187562807691</v>
      </c>
      <c r="AG193" s="0" t="n">
        <f aca="false">IFERROR(CORREL($X193:$AA193,$AB193:$AE193),"")</f>
        <v>-0.2</v>
      </c>
      <c r="AH193" s="0" t="n">
        <f aca="false">IFERROR((SIGN($P193-$Q193)*SIGN($T193-$U193)+SIGN($P193-$R193)*SIGN($T193-$V193)+SIGN($P193-$S193)*SIGN($T193-$W193)+SIGN($Q193-$R193)*SIGN($U193-$V193)+SIGN($Q193-$S193)*SIGN($U193-$W193)+SIGN($R193-$S193)*SIGN($V193-$W193))/SQRT((6-(($P193=$Q193)*1+($P193=$R193)*1+($P193=$S193)*1+($Q193=$R193)*1+($Q193=$S193)*1+($R193=$S193)*1))*(6-(($T193=$U193)*1+($T193=$V193)*1+($T193=$W193)*1+($U193=$V193)*1+($U193=$W193)*1+($V193=$W193)*1))),"")</f>
        <v>0</v>
      </c>
      <c r="AI193" s="0" t="n">
        <f aca="false">MATCH(MAX($K193:$O193),$K193:$O193,0)</f>
        <v>1</v>
      </c>
      <c r="AJ193" s="0" t="n">
        <f aca="false">IF(AI193&lt;&gt;$E193,1,0)</f>
        <v>0</v>
      </c>
      <c r="AK193" s="0" t="str">
        <f aca="false">IF(AJ193=1,INDEX($F193:$J193,AI193)/MAX($P193:$S193),"")</f>
        <v/>
      </c>
      <c r="AL193" s="0" t="str">
        <f aca="false">IF(AJ193=1,1+COUNTIF($P193:$S193,"&gt;"&amp;INDEX($F193:$J193,AI193)),"")</f>
        <v/>
      </c>
      <c r="AM193" s="0" t="n">
        <f aca="false">AVERAGE($P193:$S193)/MAX($P193:$S193)</f>
        <v>0.829918032786885</v>
      </c>
      <c r="AN193" s="0" t="n">
        <f aca="false">100-INDEX($F193:$J193,$E193)</f>
        <v>46.9</v>
      </c>
    </row>
    <row r="194" customFormat="false" ht="15" hidden="false" customHeight="false" outlineLevel="0" collapsed="false">
      <c r="A194" s="0" t="s">
        <v>40</v>
      </c>
      <c r="B194" s="0" t="n">
        <v>2019</v>
      </c>
      <c r="C194" s="0" t="s">
        <v>52</v>
      </c>
      <c r="D194" s="0" t="s">
        <v>43</v>
      </c>
      <c r="E194" s="0" t="n">
        <v>5</v>
      </c>
      <c r="F194" s="0" t="n">
        <v>9.6</v>
      </c>
      <c r="G194" s="0" t="n">
        <v>13.5</v>
      </c>
      <c r="H194" s="0" t="n">
        <v>12</v>
      </c>
      <c r="I194" s="0" t="n">
        <v>11.3</v>
      </c>
      <c r="J194" s="0" t="n">
        <v>47.2</v>
      </c>
      <c r="K194" s="0" t="n">
        <v>8.9514718403</v>
      </c>
      <c r="L194" s="0" t="n">
        <v>10.9489826237</v>
      </c>
      <c r="M194" s="0" t="n">
        <v>6.42111980248</v>
      </c>
      <c r="N194" s="0" t="n">
        <v>46.6926937399</v>
      </c>
      <c r="O194" s="0" t="n">
        <v>26.9857319936</v>
      </c>
      <c r="P194" s="0" t="n">
        <f aca="false">INDEX($F194:$J194,IF(1&lt;$E194,1,1+1))</f>
        <v>9.6</v>
      </c>
      <c r="Q194" s="0" t="n">
        <f aca="false">INDEX($F194:$J194,IF(2&lt;$E194,2,2+1))</f>
        <v>13.5</v>
      </c>
      <c r="R194" s="0" t="n">
        <f aca="false">INDEX($F194:$J194,IF(3&lt;$E194,3,3+1))</f>
        <v>12</v>
      </c>
      <c r="S194" s="0" t="n">
        <f aca="false">INDEX($F194:$J194,IF(4&lt;$E194,4,4+1))</f>
        <v>11.3</v>
      </c>
      <c r="T194" s="0" t="n">
        <f aca="false">INDEX($K194:$O194,IF(1&lt;$E194,1,1+1))</f>
        <v>8.9514718403</v>
      </c>
      <c r="U194" s="0" t="n">
        <f aca="false">INDEX($K194:$O194,IF(2&lt;$E194,2,2+1))</f>
        <v>10.9489826237</v>
      </c>
      <c r="V194" s="0" t="n">
        <f aca="false">INDEX($K194:$O194,IF(3&lt;$E194,3,3+1))</f>
        <v>6.42111980248</v>
      </c>
      <c r="W194" s="0" t="n">
        <f aca="false">INDEX($K194:$O194,IF(4&lt;$E194,4,4+1))</f>
        <v>46.6926937399</v>
      </c>
      <c r="X194" s="0" t="n">
        <f aca="false">1+COUNTIF($P194:$S194,"&gt;"&amp;$P194)+(COUNTIF($P194:$S194,$P194)-1)/2</f>
        <v>4</v>
      </c>
      <c r="Y194" s="0" t="n">
        <f aca="false">1+COUNTIF($P194:$S194,"&gt;"&amp;$Q194)+(COUNTIF($P194:$S194,$Q194)-1)/2</f>
        <v>1</v>
      </c>
      <c r="Z194" s="0" t="n">
        <f aca="false">1+COUNTIF($P194:$S194,"&gt;"&amp;$R194)+(COUNTIF($P194:$S194,$R194)-1)/2</f>
        <v>2</v>
      </c>
      <c r="AA194" s="0" t="n">
        <f aca="false">1+COUNTIF($P194:$S194,"&gt;"&amp;$S194)+(COUNTIF($P194:$S194,$S194)-1)/2</f>
        <v>3</v>
      </c>
      <c r="AB194" s="0" t="n">
        <f aca="false">1+COUNTIF($T194:$W194,"&gt;"&amp;$T194)+(COUNTIF($T194:$W194,$T194)-1)/2</f>
        <v>3</v>
      </c>
      <c r="AC194" s="0" t="n">
        <f aca="false">1+COUNTIF($T194:$W194,"&gt;"&amp;$U194)+(COUNTIF($T194:$W194,$U194)-1)/2</f>
        <v>2</v>
      </c>
      <c r="AD194" s="0" t="n">
        <f aca="false">1+COUNTIF($T194:$W194,"&gt;"&amp;$V194)+(COUNTIF($T194:$W194,$V194)-1)/2</f>
        <v>4</v>
      </c>
      <c r="AE194" s="0" t="n">
        <f aca="false">1+COUNTIF($T194:$W194,"&gt;"&amp;$W194)+(COUNTIF($T194:$W194,$W194)-1)/2</f>
        <v>1</v>
      </c>
      <c r="AF194" s="0" t="n">
        <f aca="false">IFERROR(CORREL($P194:$S194,$T194:$W194),"")</f>
        <v>-0.0923120365083228</v>
      </c>
      <c r="AG194" s="0" t="n">
        <f aca="false">IFERROR(CORREL($X194:$AA194,$AB194:$AE194),"")</f>
        <v>0</v>
      </c>
      <c r="AH194" s="0" t="n">
        <f aca="false">IFERROR((SIGN($P194-$Q194)*SIGN($T194-$U194)+SIGN($P194-$R194)*SIGN($T194-$V194)+SIGN($P194-$S194)*SIGN($T194-$W194)+SIGN($Q194-$R194)*SIGN($U194-$V194)+SIGN($Q194-$S194)*SIGN($U194-$W194)+SIGN($R194-$S194)*SIGN($V194-$W194))/SQRT((6-(($P194=$Q194)*1+($P194=$R194)*1+($P194=$S194)*1+($Q194=$R194)*1+($Q194=$S194)*1+($R194=$S194)*1))*(6-(($T194=$U194)*1+($T194=$V194)*1+($T194=$W194)*1+($U194=$V194)*1+($U194=$W194)*1+($V194=$W194)*1))),"")</f>
        <v>0</v>
      </c>
      <c r="AI194" s="0" t="n">
        <f aca="false">MATCH(MAX($K194:$O194),$K194:$O194,0)</f>
        <v>4</v>
      </c>
      <c r="AJ194" s="0" t="n">
        <f aca="false">IF(AI194&lt;&gt;$E194,1,0)</f>
        <v>1</v>
      </c>
      <c r="AK194" s="0" t="n">
        <f aca="false">IF(AJ194=1,INDEX($F194:$J194,AI194)/MAX($P194:$S194),"")</f>
        <v>0.837037037037037</v>
      </c>
      <c r="AL194" s="0" t="n">
        <f aca="false">IF(AJ194=1,1+COUNTIF($P194:$S194,"&gt;"&amp;INDEX($F194:$J194,AI194)),"")</f>
        <v>3</v>
      </c>
      <c r="AM194" s="0" t="n">
        <f aca="false">AVERAGE($P194:$S194)/MAX($P194:$S194)</f>
        <v>0.859259259259259</v>
      </c>
      <c r="AN194" s="0" t="n">
        <f aca="false">100-INDEX($F194:$J194,$E194)</f>
        <v>52.8</v>
      </c>
    </row>
    <row r="195" customFormat="false" ht="15" hidden="false" customHeight="false" outlineLevel="0" collapsed="false">
      <c r="A195" s="0" t="s">
        <v>40</v>
      </c>
      <c r="B195" s="0" t="n">
        <v>2019</v>
      </c>
      <c r="C195" s="0" t="s">
        <v>52</v>
      </c>
      <c r="D195" s="0" t="s">
        <v>44</v>
      </c>
      <c r="E195" s="0" t="n">
        <v>1</v>
      </c>
      <c r="F195" s="0" t="n">
        <v>32.4</v>
      </c>
      <c r="G195" s="0" t="n">
        <v>16.5</v>
      </c>
      <c r="H195" s="0" t="n">
        <v>19.4</v>
      </c>
      <c r="I195" s="0" t="n">
        <v>14.6</v>
      </c>
      <c r="J195" s="0" t="n">
        <v>10.7</v>
      </c>
      <c r="K195" s="0" t="n">
        <v>16.950697274</v>
      </c>
      <c r="L195" s="0" t="n">
        <v>16.7103809182</v>
      </c>
      <c r="M195" s="0" t="n">
        <v>10.0225153041</v>
      </c>
      <c r="N195" s="0" t="n">
        <v>39.7662527447</v>
      </c>
      <c r="O195" s="0" t="n">
        <v>16.5501537591</v>
      </c>
      <c r="P195" s="0" t="n">
        <f aca="false">INDEX($F195:$J195,IF(1&lt;$E195,1,1+1))</f>
        <v>16.5</v>
      </c>
      <c r="Q195" s="0" t="n">
        <f aca="false">INDEX($F195:$J195,IF(2&lt;$E195,2,2+1))</f>
        <v>19.4</v>
      </c>
      <c r="R195" s="0" t="n">
        <f aca="false">INDEX($F195:$J195,IF(3&lt;$E195,3,3+1))</f>
        <v>14.6</v>
      </c>
      <c r="S195" s="0" t="n">
        <f aca="false">INDEX($F195:$J195,IF(4&lt;$E195,4,4+1))</f>
        <v>10.7</v>
      </c>
      <c r="T195" s="0" t="n">
        <f aca="false">INDEX($K195:$O195,IF(1&lt;$E195,1,1+1))</f>
        <v>16.7103809182</v>
      </c>
      <c r="U195" s="0" t="n">
        <f aca="false">INDEX($K195:$O195,IF(2&lt;$E195,2,2+1))</f>
        <v>10.0225153041</v>
      </c>
      <c r="V195" s="0" t="n">
        <f aca="false">INDEX($K195:$O195,IF(3&lt;$E195,3,3+1))</f>
        <v>39.7662527447</v>
      </c>
      <c r="W195" s="0" t="n">
        <f aca="false">INDEX($K195:$O195,IF(4&lt;$E195,4,4+1))</f>
        <v>16.5501537591</v>
      </c>
      <c r="X195" s="0" t="n">
        <f aca="false">1+COUNTIF($P195:$S195,"&gt;"&amp;$P195)+(COUNTIF($P195:$S195,$P195)-1)/2</f>
        <v>2</v>
      </c>
      <c r="Y195" s="0" t="n">
        <f aca="false">1+COUNTIF($P195:$S195,"&gt;"&amp;$Q195)+(COUNTIF($P195:$S195,$Q195)-1)/2</f>
        <v>1</v>
      </c>
      <c r="Z195" s="0" t="n">
        <f aca="false">1+COUNTIF($P195:$S195,"&gt;"&amp;$R195)+(COUNTIF($P195:$S195,$R195)-1)/2</f>
        <v>3</v>
      </c>
      <c r="AA195" s="0" t="n">
        <f aca="false">1+COUNTIF($P195:$S195,"&gt;"&amp;$S195)+(COUNTIF($P195:$S195,$S195)-1)/2</f>
        <v>4</v>
      </c>
      <c r="AB195" s="0" t="n">
        <f aca="false">1+COUNTIF($T195:$W195,"&gt;"&amp;$T195)+(COUNTIF($T195:$W195,$T195)-1)/2</f>
        <v>2</v>
      </c>
      <c r="AC195" s="0" t="n">
        <f aca="false">1+COUNTIF($T195:$W195,"&gt;"&amp;$U195)+(COUNTIF($T195:$W195,$U195)-1)/2</f>
        <v>4</v>
      </c>
      <c r="AD195" s="0" t="n">
        <f aca="false">1+COUNTIF($T195:$W195,"&gt;"&amp;$V195)+(COUNTIF($T195:$W195,$V195)-1)/2</f>
        <v>1</v>
      </c>
      <c r="AE195" s="0" t="n">
        <f aca="false">1+COUNTIF($T195:$W195,"&gt;"&amp;$W195)+(COUNTIF($T195:$W195,$W195)-1)/2</f>
        <v>3</v>
      </c>
      <c r="AF195" s="0" t="n">
        <f aca="false">IFERROR(CORREL($P195:$S195,$T195:$W195),"")</f>
        <v>-0.299999523792075</v>
      </c>
      <c r="AG195" s="0" t="n">
        <f aca="false">IFERROR(CORREL($X195:$AA195,$AB195:$AE195),"")</f>
        <v>-0.4</v>
      </c>
      <c r="AH195" s="0" t="n">
        <f aca="false">IFERROR((SIGN($P195-$Q195)*SIGN($T195-$U195)+SIGN($P195-$R195)*SIGN($T195-$V195)+SIGN($P195-$S195)*SIGN($T195-$W195)+SIGN($Q195-$R195)*SIGN($U195-$V195)+SIGN($Q195-$S195)*SIGN($U195-$W195)+SIGN($R195-$S195)*SIGN($V195-$W195))/SQRT((6-(($P195=$Q195)*1+($P195=$R195)*1+($P195=$S195)*1+($Q195=$R195)*1+($Q195=$S195)*1+($R195=$S195)*1))*(6-(($T195=$U195)*1+($T195=$V195)*1+($T195=$W195)*1+($U195=$V195)*1+($U195=$W195)*1+($V195=$W195)*1))),"")</f>
        <v>-0.333333333333333</v>
      </c>
      <c r="AI195" s="0" t="n">
        <f aca="false">MATCH(MAX($K195:$O195),$K195:$O195,0)</f>
        <v>4</v>
      </c>
      <c r="AJ195" s="0" t="n">
        <f aca="false">IF(AI195&lt;&gt;$E195,1,0)</f>
        <v>1</v>
      </c>
      <c r="AK195" s="0" t="n">
        <f aca="false">IF(AJ195=1,INDEX($F195:$J195,AI195)/MAX($P195:$S195),"")</f>
        <v>0.752577319587629</v>
      </c>
      <c r="AL195" s="0" t="n">
        <f aca="false">IF(AJ195=1,1+COUNTIF($P195:$S195,"&gt;"&amp;INDEX($F195:$J195,AI195)),"")</f>
        <v>3</v>
      </c>
      <c r="AM195" s="0" t="n">
        <f aca="false">AVERAGE($P195:$S195)/MAX($P195:$S195)</f>
        <v>0.788659793814433</v>
      </c>
      <c r="AN195" s="0" t="n">
        <f aca="false">100-INDEX($F195:$J195,$E195)</f>
        <v>67.6</v>
      </c>
    </row>
    <row r="196" customFormat="false" ht="15" hidden="false" customHeight="false" outlineLevel="0" collapsed="false">
      <c r="A196" s="0" t="s">
        <v>40</v>
      </c>
      <c r="B196" s="0" t="n">
        <v>2019</v>
      </c>
      <c r="C196" s="0" t="s">
        <v>52</v>
      </c>
      <c r="D196" s="0" t="s">
        <v>45</v>
      </c>
      <c r="E196" s="0" t="n">
        <v>2</v>
      </c>
      <c r="F196" s="0" t="n">
        <v>12.5</v>
      </c>
      <c r="G196" s="0" t="n">
        <v>42.8</v>
      </c>
      <c r="H196" s="0" t="n">
        <v>18.7</v>
      </c>
      <c r="I196" s="0" t="n">
        <v>10</v>
      </c>
      <c r="J196" s="0" t="n">
        <v>9.5</v>
      </c>
      <c r="K196" s="0" t="n">
        <v>7.56943485338</v>
      </c>
      <c r="L196" s="0" t="n">
        <v>55.1384034909</v>
      </c>
      <c r="M196" s="0" t="n">
        <v>8.07401121196</v>
      </c>
      <c r="N196" s="0" t="n">
        <v>27.2802619099</v>
      </c>
      <c r="O196" s="0" t="n">
        <v>1.93788853385</v>
      </c>
      <c r="P196" s="0" t="n">
        <f aca="false">INDEX($F196:$J196,IF(1&lt;$E196,1,1+1))</f>
        <v>12.5</v>
      </c>
      <c r="Q196" s="0" t="n">
        <f aca="false">INDEX($F196:$J196,IF(2&lt;$E196,2,2+1))</f>
        <v>18.7</v>
      </c>
      <c r="R196" s="0" t="n">
        <f aca="false">INDEX($F196:$J196,IF(3&lt;$E196,3,3+1))</f>
        <v>10</v>
      </c>
      <c r="S196" s="0" t="n">
        <f aca="false">INDEX($F196:$J196,IF(4&lt;$E196,4,4+1))</f>
        <v>9.5</v>
      </c>
      <c r="T196" s="0" t="n">
        <f aca="false">INDEX($K196:$O196,IF(1&lt;$E196,1,1+1))</f>
        <v>7.56943485338</v>
      </c>
      <c r="U196" s="0" t="n">
        <f aca="false">INDEX($K196:$O196,IF(2&lt;$E196,2,2+1))</f>
        <v>8.07401121196</v>
      </c>
      <c r="V196" s="0" t="n">
        <f aca="false">INDEX($K196:$O196,IF(3&lt;$E196,3,3+1))</f>
        <v>27.2802619099</v>
      </c>
      <c r="W196" s="0" t="n">
        <f aca="false">INDEX($K196:$O196,IF(4&lt;$E196,4,4+1))</f>
        <v>1.93788853385</v>
      </c>
      <c r="X196" s="0" t="n">
        <f aca="false">1+COUNTIF($P196:$S196,"&gt;"&amp;$P196)+(COUNTIF($P196:$S196,$P196)-1)/2</f>
        <v>2</v>
      </c>
      <c r="Y196" s="0" t="n">
        <f aca="false">1+COUNTIF($P196:$S196,"&gt;"&amp;$Q196)+(COUNTIF($P196:$S196,$Q196)-1)/2</f>
        <v>1</v>
      </c>
      <c r="Z196" s="0" t="n">
        <f aca="false">1+COUNTIF($P196:$S196,"&gt;"&amp;$R196)+(COUNTIF($P196:$S196,$R196)-1)/2</f>
        <v>3</v>
      </c>
      <c r="AA196" s="0" t="n">
        <f aca="false">1+COUNTIF($P196:$S196,"&gt;"&amp;$S196)+(COUNTIF($P196:$S196,$S196)-1)/2</f>
        <v>4</v>
      </c>
      <c r="AB196" s="0" t="n">
        <f aca="false">1+COUNTIF($T196:$W196,"&gt;"&amp;$T196)+(COUNTIF($T196:$W196,$T196)-1)/2</f>
        <v>3</v>
      </c>
      <c r="AC196" s="0" t="n">
        <f aca="false">1+COUNTIF($T196:$W196,"&gt;"&amp;$U196)+(COUNTIF($T196:$W196,$U196)-1)/2</f>
        <v>2</v>
      </c>
      <c r="AD196" s="0" t="n">
        <f aca="false">1+COUNTIF($T196:$W196,"&gt;"&amp;$V196)+(COUNTIF($T196:$W196,$V196)-1)/2</f>
        <v>1</v>
      </c>
      <c r="AE196" s="0" t="n">
        <f aca="false">1+COUNTIF($T196:$W196,"&gt;"&amp;$W196)+(COUNTIF($T196:$W196,$W196)-1)/2</f>
        <v>4</v>
      </c>
      <c r="AF196" s="0" t="n">
        <f aca="false">IFERROR(CORREL($P196:$S196,$T196:$W196),"")</f>
        <v>-0.226747823849752</v>
      </c>
      <c r="AG196" s="0" t="n">
        <f aca="false">IFERROR(CORREL($X196:$AA196,$AB196:$AE196),"")</f>
        <v>0.4</v>
      </c>
      <c r="AH196" s="0" t="n">
        <f aca="false">IFERROR((SIGN($P196-$Q196)*SIGN($T196-$U196)+SIGN($P196-$R196)*SIGN($T196-$V196)+SIGN($P196-$S196)*SIGN($T196-$W196)+SIGN($Q196-$R196)*SIGN($U196-$V196)+SIGN($Q196-$S196)*SIGN($U196-$W196)+SIGN($R196-$S196)*SIGN($V196-$W196))/SQRT((6-(($P196=$Q196)*1+($P196=$R196)*1+($P196=$S196)*1+($Q196=$R196)*1+($Q196=$S196)*1+($R196=$S196)*1))*(6-(($T196=$U196)*1+($T196=$V196)*1+($T196=$W196)*1+($U196=$V196)*1+($U196=$W196)*1+($V196=$W196)*1))),"")</f>
        <v>0.333333333333333</v>
      </c>
      <c r="AI196" s="0" t="n">
        <f aca="false">MATCH(MAX($K196:$O196),$K196:$O196,0)</f>
        <v>2</v>
      </c>
      <c r="AJ196" s="0" t="n">
        <f aca="false">IF(AI196&lt;&gt;$E196,1,0)</f>
        <v>0</v>
      </c>
      <c r="AK196" s="0" t="str">
        <f aca="false">IF(AJ196=1,INDEX($F196:$J196,AI196)/MAX($P196:$S196),"")</f>
        <v/>
      </c>
      <c r="AL196" s="0" t="str">
        <f aca="false">IF(AJ196=1,1+COUNTIF($P196:$S196,"&gt;"&amp;INDEX($F196:$J196,AI196)),"")</f>
        <v/>
      </c>
      <c r="AM196" s="0" t="n">
        <f aca="false">AVERAGE($P196:$S196)/MAX($P196:$S196)</f>
        <v>0.677807486631016</v>
      </c>
      <c r="AN196" s="0" t="n">
        <f aca="false">100-INDEX($F196:$J196,$E196)</f>
        <v>57.2</v>
      </c>
    </row>
    <row r="197" customFormat="false" ht="15" hidden="false" customHeight="false" outlineLevel="0" collapsed="false">
      <c r="A197" s="0" t="s">
        <v>40</v>
      </c>
      <c r="B197" s="0" t="n">
        <v>2019</v>
      </c>
      <c r="C197" s="0" t="s">
        <v>46</v>
      </c>
      <c r="D197" s="0" t="s">
        <v>42</v>
      </c>
      <c r="E197" s="0" t="n">
        <v>5</v>
      </c>
      <c r="F197" s="0" t="n">
        <v>11.1</v>
      </c>
      <c r="G197" s="0" t="n">
        <v>8.4</v>
      </c>
      <c r="H197" s="0" t="n">
        <v>25.4</v>
      </c>
      <c r="I197" s="0" t="n">
        <v>16.5</v>
      </c>
      <c r="J197" s="0" t="n">
        <v>30.7</v>
      </c>
      <c r="K197" s="0" t="n">
        <v>56.5320124003</v>
      </c>
      <c r="L197" s="0" t="n">
        <v>0.192162156164</v>
      </c>
      <c r="M197" s="0" t="n">
        <v>15.3748043772</v>
      </c>
      <c r="N197" s="0" t="n">
        <v>26.8918322323</v>
      </c>
      <c r="O197" s="0" t="n">
        <v>1.00918883409</v>
      </c>
      <c r="P197" s="0" t="n">
        <f aca="false">INDEX($F197:$J197,IF(1&lt;$E197,1,1+1))</f>
        <v>11.1</v>
      </c>
      <c r="Q197" s="0" t="n">
        <f aca="false">INDEX($F197:$J197,IF(2&lt;$E197,2,2+1))</f>
        <v>8.4</v>
      </c>
      <c r="R197" s="0" t="n">
        <f aca="false">INDEX($F197:$J197,IF(3&lt;$E197,3,3+1))</f>
        <v>25.4</v>
      </c>
      <c r="S197" s="0" t="n">
        <f aca="false">INDEX($F197:$J197,IF(4&lt;$E197,4,4+1))</f>
        <v>16.5</v>
      </c>
      <c r="T197" s="0" t="n">
        <f aca="false">INDEX($K197:$O197,IF(1&lt;$E197,1,1+1))</f>
        <v>56.5320124003</v>
      </c>
      <c r="U197" s="0" t="n">
        <f aca="false">INDEX($K197:$O197,IF(2&lt;$E197,2,2+1))</f>
        <v>0.192162156164</v>
      </c>
      <c r="V197" s="0" t="n">
        <f aca="false">INDEX($K197:$O197,IF(3&lt;$E197,3,3+1))</f>
        <v>15.3748043772</v>
      </c>
      <c r="W197" s="0" t="n">
        <f aca="false">INDEX($K197:$O197,IF(4&lt;$E197,4,4+1))</f>
        <v>26.8918322323</v>
      </c>
      <c r="X197" s="0" t="n">
        <f aca="false">1+COUNTIF($P197:$S197,"&gt;"&amp;$P197)+(COUNTIF($P197:$S197,$P197)-1)/2</f>
        <v>3</v>
      </c>
      <c r="Y197" s="0" t="n">
        <f aca="false">1+COUNTIF($P197:$S197,"&gt;"&amp;$Q197)+(COUNTIF($P197:$S197,$Q197)-1)/2</f>
        <v>4</v>
      </c>
      <c r="Z197" s="0" t="n">
        <f aca="false">1+COUNTIF($P197:$S197,"&gt;"&amp;$R197)+(COUNTIF($P197:$S197,$R197)-1)/2</f>
        <v>1</v>
      </c>
      <c r="AA197" s="0" t="n">
        <f aca="false">1+COUNTIF($P197:$S197,"&gt;"&amp;$S197)+(COUNTIF($P197:$S197,$S197)-1)/2</f>
        <v>2</v>
      </c>
      <c r="AB197" s="0" t="n">
        <f aca="false">1+COUNTIF($T197:$W197,"&gt;"&amp;$T197)+(COUNTIF($T197:$W197,$T197)-1)/2</f>
        <v>1</v>
      </c>
      <c r="AC197" s="0" t="n">
        <f aca="false">1+COUNTIF($T197:$W197,"&gt;"&amp;$U197)+(COUNTIF($T197:$W197,$U197)-1)/2</f>
        <v>4</v>
      </c>
      <c r="AD197" s="0" t="n">
        <f aca="false">1+COUNTIF($T197:$W197,"&gt;"&amp;$V197)+(COUNTIF($T197:$W197,$V197)-1)/2</f>
        <v>3</v>
      </c>
      <c r="AE197" s="0" t="n">
        <f aca="false">1+COUNTIF($T197:$W197,"&gt;"&amp;$W197)+(COUNTIF($T197:$W197,$W197)-1)/2</f>
        <v>2</v>
      </c>
      <c r="AF197" s="0" t="n">
        <f aca="false">IFERROR(CORREL($P197:$S197,$T197:$W197),"")</f>
        <v>-0.104686471948933</v>
      </c>
      <c r="AG197" s="0" t="n">
        <f aca="false">IFERROR(CORREL($X197:$AA197,$AB197:$AE197),"")</f>
        <v>0.2</v>
      </c>
      <c r="AH197" s="0" t="n">
        <f aca="false">IFERROR((SIGN($P197-$Q197)*SIGN($T197-$U197)+SIGN($P197-$R197)*SIGN($T197-$V197)+SIGN($P197-$S197)*SIGN($T197-$W197)+SIGN($Q197-$R197)*SIGN($U197-$V197)+SIGN($Q197-$S197)*SIGN($U197-$W197)+SIGN($R197-$S197)*SIGN($V197-$W197))/SQRT((6-(($P197=$Q197)*1+($P197=$R197)*1+($P197=$S197)*1+($Q197=$R197)*1+($Q197=$S197)*1+($R197=$S197)*1))*(6-(($T197=$U197)*1+($T197=$V197)*1+($T197=$W197)*1+($U197=$V197)*1+($U197=$W197)*1+($V197=$W197)*1))),"")</f>
        <v>0</v>
      </c>
      <c r="AI197" s="0" t="n">
        <f aca="false">MATCH(MAX($K197:$O197),$K197:$O197,0)</f>
        <v>1</v>
      </c>
      <c r="AJ197" s="0" t="n">
        <f aca="false">IF(AI197&lt;&gt;$E197,1,0)</f>
        <v>1</v>
      </c>
      <c r="AK197" s="0" t="n">
        <f aca="false">IF(AJ197=1,INDEX($F197:$J197,AI197)/MAX($P197:$S197),"")</f>
        <v>0.437007874015748</v>
      </c>
      <c r="AL197" s="0" t="n">
        <f aca="false">IF(AJ197=1,1+COUNTIF($P197:$S197,"&gt;"&amp;INDEX($F197:$J197,AI197)),"")</f>
        <v>3</v>
      </c>
      <c r="AM197" s="0" t="n">
        <f aca="false">AVERAGE($P197:$S197)/MAX($P197:$S197)</f>
        <v>0.604330708661417</v>
      </c>
      <c r="AN197" s="0" t="n">
        <f aca="false">100-INDEX($F197:$J197,$E197)</f>
        <v>69.3</v>
      </c>
    </row>
    <row r="198" customFormat="false" ht="15" hidden="false" customHeight="false" outlineLevel="0" collapsed="false">
      <c r="A198" s="0" t="s">
        <v>40</v>
      </c>
      <c r="B198" s="0" t="n">
        <v>2019</v>
      </c>
      <c r="C198" s="0" t="s">
        <v>46</v>
      </c>
      <c r="D198" s="0" t="s">
        <v>43</v>
      </c>
      <c r="E198" s="0" t="n">
        <v>2</v>
      </c>
      <c r="F198" s="0" t="n">
        <v>15.9</v>
      </c>
      <c r="G198" s="0" t="n">
        <v>47.7</v>
      </c>
      <c r="H198" s="0" t="n">
        <v>9.9</v>
      </c>
      <c r="I198" s="0" t="n">
        <v>10.5</v>
      </c>
      <c r="J198" s="0" t="n">
        <v>8</v>
      </c>
      <c r="K198" s="0" t="n">
        <v>3.05301923355</v>
      </c>
      <c r="L198" s="0" t="n">
        <v>69.3650330851</v>
      </c>
      <c r="M198" s="0" t="n">
        <v>1.1392123396</v>
      </c>
      <c r="N198" s="0" t="n">
        <v>23.5431699426</v>
      </c>
      <c r="O198" s="0" t="n">
        <v>2.89956539911</v>
      </c>
      <c r="P198" s="0" t="n">
        <f aca="false">INDEX($F198:$J198,IF(1&lt;$E198,1,1+1))</f>
        <v>15.9</v>
      </c>
      <c r="Q198" s="0" t="n">
        <f aca="false">INDEX($F198:$J198,IF(2&lt;$E198,2,2+1))</f>
        <v>9.9</v>
      </c>
      <c r="R198" s="0" t="n">
        <f aca="false">INDEX($F198:$J198,IF(3&lt;$E198,3,3+1))</f>
        <v>10.5</v>
      </c>
      <c r="S198" s="0" t="n">
        <f aca="false">INDEX($F198:$J198,IF(4&lt;$E198,4,4+1))</f>
        <v>8</v>
      </c>
      <c r="T198" s="0" t="n">
        <f aca="false">INDEX($K198:$O198,IF(1&lt;$E198,1,1+1))</f>
        <v>3.05301923355</v>
      </c>
      <c r="U198" s="0" t="n">
        <f aca="false">INDEX($K198:$O198,IF(2&lt;$E198,2,2+1))</f>
        <v>1.1392123396</v>
      </c>
      <c r="V198" s="0" t="n">
        <f aca="false">INDEX($K198:$O198,IF(3&lt;$E198,3,3+1))</f>
        <v>23.5431699426</v>
      </c>
      <c r="W198" s="0" t="n">
        <f aca="false">INDEX($K198:$O198,IF(4&lt;$E198,4,4+1))</f>
        <v>2.89956539911</v>
      </c>
      <c r="X198" s="0" t="n">
        <f aca="false">1+COUNTIF($P198:$S198,"&gt;"&amp;$P198)+(COUNTIF($P198:$S198,$P198)-1)/2</f>
        <v>1</v>
      </c>
      <c r="Y198" s="0" t="n">
        <f aca="false">1+COUNTIF($P198:$S198,"&gt;"&amp;$Q198)+(COUNTIF($P198:$S198,$Q198)-1)/2</f>
        <v>3</v>
      </c>
      <c r="Z198" s="0" t="n">
        <f aca="false">1+COUNTIF($P198:$S198,"&gt;"&amp;$R198)+(COUNTIF($P198:$S198,$R198)-1)/2</f>
        <v>2</v>
      </c>
      <c r="AA198" s="0" t="n">
        <f aca="false">1+COUNTIF($P198:$S198,"&gt;"&amp;$S198)+(COUNTIF($P198:$S198,$S198)-1)/2</f>
        <v>4</v>
      </c>
      <c r="AB198" s="0" t="n">
        <f aca="false">1+COUNTIF($T198:$W198,"&gt;"&amp;$T198)+(COUNTIF($T198:$W198,$T198)-1)/2</f>
        <v>2</v>
      </c>
      <c r="AC198" s="0" t="n">
        <f aca="false">1+COUNTIF($T198:$W198,"&gt;"&amp;$U198)+(COUNTIF($T198:$W198,$U198)-1)/2</f>
        <v>4</v>
      </c>
      <c r="AD198" s="0" t="n">
        <f aca="false">1+COUNTIF($T198:$W198,"&gt;"&amp;$V198)+(COUNTIF($T198:$W198,$V198)-1)/2</f>
        <v>1</v>
      </c>
      <c r="AE198" s="0" t="n">
        <f aca="false">1+COUNTIF($T198:$W198,"&gt;"&amp;$W198)+(COUNTIF($T198:$W198,$W198)-1)/2</f>
        <v>3</v>
      </c>
      <c r="AF198" s="0" t="n">
        <f aca="false">IFERROR(CORREL($P198:$S198,$T198:$W198),"")</f>
        <v>-0.0838905454703319</v>
      </c>
      <c r="AG198" s="0" t="n">
        <f aca="false">IFERROR(CORREL($X198:$AA198,$AB198:$AE198),"")</f>
        <v>0.6</v>
      </c>
      <c r="AH198" s="0" t="n">
        <f aca="false">IFERROR((SIGN($P198-$Q198)*SIGN($T198-$U198)+SIGN($P198-$R198)*SIGN($T198-$V198)+SIGN($P198-$S198)*SIGN($T198-$W198)+SIGN($Q198-$R198)*SIGN($U198-$V198)+SIGN($Q198-$S198)*SIGN($U198-$W198)+SIGN($R198-$S198)*SIGN($V198-$W198))/SQRT((6-(($P198=$Q198)*1+($P198=$R198)*1+($P198=$S198)*1+($Q198=$R198)*1+($Q198=$S198)*1+($R198=$S198)*1))*(6-(($T198=$U198)*1+($T198=$V198)*1+($T198=$W198)*1+($U198=$V198)*1+($U198=$W198)*1+($V198=$W198)*1))),"")</f>
        <v>0.333333333333333</v>
      </c>
      <c r="AI198" s="0" t="n">
        <f aca="false">MATCH(MAX($K198:$O198),$K198:$O198,0)</f>
        <v>2</v>
      </c>
      <c r="AJ198" s="0" t="n">
        <f aca="false">IF(AI198&lt;&gt;$E198,1,0)</f>
        <v>0</v>
      </c>
      <c r="AK198" s="0" t="str">
        <f aca="false">IF(AJ198=1,INDEX($F198:$J198,AI198)/MAX($P198:$S198),"")</f>
        <v/>
      </c>
      <c r="AL198" s="0" t="str">
        <f aca="false">IF(AJ198=1,1+COUNTIF($P198:$S198,"&gt;"&amp;INDEX($F198:$J198,AI198)),"")</f>
        <v/>
      </c>
      <c r="AM198" s="0" t="n">
        <f aca="false">AVERAGE($P198:$S198)/MAX($P198:$S198)</f>
        <v>0.696540880503145</v>
      </c>
      <c r="AN198" s="0" t="n">
        <f aca="false">100-INDEX($F198:$J198,$E198)</f>
        <v>52.3</v>
      </c>
    </row>
    <row r="199" customFormat="false" ht="15" hidden="false" customHeight="false" outlineLevel="0" collapsed="false">
      <c r="A199" s="0" t="s">
        <v>40</v>
      </c>
      <c r="B199" s="0" t="n">
        <v>2019</v>
      </c>
      <c r="C199" s="0" t="s">
        <v>46</v>
      </c>
      <c r="D199" s="0" t="s">
        <v>44</v>
      </c>
      <c r="E199" s="0" t="n">
        <v>1</v>
      </c>
      <c r="F199" s="0" t="n">
        <v>31.4</v>
      </c>
      <c r="G199" s="0" t="n">
        <v>16.5</v>
      </c>
      <c r="H199" s="0" t="n">
        <v>16</v>
      </c>
      <c r="I199" s="0" t="n">
        <v>19.1</v>
      </c>
      <c r="J199" s="0" t="n">
        <v>8.7</v>
      </c>
      <c r="K199" s="0" t="n">
        <v>25.411720817</v>
      </c>
      <c r="L199" s="0" t="n">
        <v>7.8654110811</v>
      </c>
      <c r="M199" s="0" t="n">
        <v>25.6186432679</v>
      </c>
      <c r="N199" s="0" t="n">
        <v>3.38515564659</v>
      </c>
      <c r="O199" s="0" t="n">
        <v>37.7190691874</v>
      </c>
      <c r="P199" s="0" t="n">
        <f aca="false">INDEX($F199:$J199,IF(1&lt;$E199,1,1+1))</f>
        <v>16.5</v>
      </c>
      <c r="Q199" s="0" t="n">
        <f aca="false">INDEX($F199:$J199,IF(2&lt;$E199,2,2+1))</f>
        <v>16</v>
      </c>
      <c r="R199" s="0" t="n">
        <f aca="false">INDEX($F199:$J199,IF(3&lt;$E199,3,3+1))</f>
        <v>19.1</v>
      </c>
      <c r="S199" s="0" t="n">
        <f aca="false">INDEX($F199:$J199,IF(4&lt;$E199,4,4+1))</f>
        <v>8.7</v>
      </c>
      <c r="T199" s="0" t="n">
        <f aca="false">INDEX($K199:$O199,IF(1&lt;$E199,1,1+1))</f>
        <v>7.8654110811</v>
      </c>
      <c r="U199" s="0" t="n">
        <f aca="false">INDEX($K199:$O199,IF(2&lt;$E199,2,2+1))</f>
        <v>25.6186432679</v>
      </c>
      <c r="V199" s="0" t="n">
        <f aca="false">INDEX($K199:$O199,IF(3&lt;$E199,3,3+1))</f>
        <v>3.38515564659</v>
      </c>
      <c r="W199" s="0" t="n">
        <f aca="false">INDEX($K199:$O199,IF(4&lt;$E199,4,4+1))</f>
        <v>37.7190691874</v>
      </c>
      <c r="X199" s="0" t="n">
        <f aca="false">1+COUNTIF($P199:$S199,"&gt;"&amp;$P199)+(COUNTIF($P199:$S199,$P199)-1)/2</f>
        <v>2</v>
      </c>
      <c r="Y199" s="0" t="n">
        <f aca="false">1+COUNTIF($P199:$S199,"&gt;"&amp;$Q199)+(COUNTIF($P199:$S199,$Q199)-1)/2</f>
        <v>3</v>
      </c>
      <c r="Z199" s="0" t="n">
        <f aca="false">1+COUNTIF($P199:$S199,"&gt;"&amp;$R199)+(COUNTIF($P199:$S199,$R199)-1)/2</f>
        <v>1</v>
      </c>
      <c r="AA199" s="0" t="n">
        <f aca="false">1+COUNTIF($P199:$S199,"&gt;"&amp;$S199)+(COUNTIF($P199:$S199,$S199)-1)/2</f>
        <v>4</v>
      </c>
      <c r="AB199" s="0" t="n">
        <f aca="false">1+COUNTIF($T199:$W199,"&gt;"&amp;$T199)+(COUNTIF($T199:$W199,$T199)-1)/2</f>
        <v>3</v>
      </c>
      <c r="AC199" s="0" t="n">
        <f aca="false">1+COUNTIF($T199:$W199,"&gt;"&amp;$U199)+(COUNTIF($T199:$W199,$U199)-1)/2</f>
        <v>2</v>
      </c>
      <c r="AD199" s="0" t="n">
        <f aca="false">1+COUNTIF($T199:$W199,"&gt;"&amp;$V199)+(COUNTIF($T199:$W199,$V199)-1)/2</f>
        <v>4</v>
      </c>
      <c r="AE199" s="0" t="n">
        <f aca="false">1+COUNTIF($T199:$W199,"&gt;"&amp;$W199)+(COUNTIF($T199:$W199,$W199)-1)/2</f>
        <v>1</v>
      </c>
      <c r="AF199" s="0" t="n">
        <f aca="false">IFERROR(CORREL($P199:$S199,$T199:$W199),"")</f>
        <v>-0.899938811919587</v>
      </c>
      <c r="AG199" s="0" t="n">
        <f aca="false">IFERROR(CORREL($X199:$AA199,$AB199:$AE199),"")</f>
        <v>-1</v>
      </c>
      <c r="AH199" s="0" t="n">
        <f aca="false">IFERROR((SIGN($P199-$Q199)*SIGN($T199-$U199)+SIGN($P199-$R199)*SIGN($T199-$V199)+SIGN($P199-$S199)*SIGN($T199-$W199)+SIGN($Q199-$R199)*SIGN($U199-$V199)+SIGN($Q199-$S199)*SIGN($U199-$W199)+SIGN($R199-$S199)*SIGN($V199-$W199))/SQRT((6-(($P199=$Q199)*1+($P199=$R199)*1+($P199=$S199)*1+($Q199=$R199)*1+($Q199=$S199)*1+($R199=$S199)*1))*(6-(($T199=$U199)*1+($T199=$V199)*1+($T199=$W199)*1+($U199=$V199)*1+($U199=$W199)*1+($V199=$W199)*1))),"")</f>
        <v>-1</v>
      </c>
      <c r="AI199" s="0" t="n">
        <f aca="false">MATCH(MAX($K199:$O199),$K199:$O199,0)</f>
        <v>5</v>
      </c>
      <c r="AJ199" s="0" t="n">
        <f aca="false">IF(AI199&lt;&gt;$E199,1,0)</f>
        <v>1</v>
      </c>
      <c r="AK199" s="0" t="n">
        <f aca="false">IF(AJ199=1,INDEX($F199:$J199,AI199)/MAX($P199:$S199),"")</f>
        <v>0.455497382198953</v>
      </c>
      <c r="AL199" s="0" t="n">
        <f aca="false">IF(AJ199=1,1+COUNTIF($P199:$S199,"&gt;"&amp;INDEX($F199:$J199,AI199)),"")</f>
        <v>4</v>
      </c>
      <c r="AM199" s="0" t="n">
        <f aca="false">AVERAGE($P199:$S199)/MAX($P199:$S199)</f>
        <v>0.789267015706806</v>
      </c>
      <c r="AN199" s="0" t="n">
        <f aca="false">100-INDEX($F199:$J199,$E199)</f>
        <v>68.6</v>
      </c>
    </row>
    <row r="200" customFormat="false" ht="15" hidden="false" customHeight="false" outlineLevel="0" collapsed="false">
      <c r="A200" s="0" t="s">
        <v>40</v>
      </c>
      <c r="B200" s="0" t="n">
        <v>2019</v>
      </c>
      <c r="C200" s="0" t="s">
        <v>46</v>
      </c>
      <c r="D200" s="0" t="s">
        <v>45</v>
      </c>
      <c r="E200" s="0" t="n">
        <v>4</v>
      </c>
      <c r="F200" s="0" t="n">
        <v>11.7</v>
      </c>
      <c r="G200" s="0" t="n">
        <v>13.1</v>
      </c>
      <c r="H200" s="0" t="n">
        <v>10.8</v>
      </c>
      <c r="I200" s="0" t="n">
        <v>47.2</v>
      </c>
      <c r="J200" s="0" t="n">
        <v>8.8</v>
      </c>
      <c r="K200" s="0" t="n">
        <v>7.31920411</v>
      </c>
      <c r="L200" s="0" t="n">
        <v>21.7944180784</v>
      </c>
      <c r="M200" s="0" t="n">
        <v>6.34001730606</v>
      </c>
      <c r="N200" s="0" t="n">
        <v>59.4945981332</v>
      </c>
      <c r="O200" s="0" t="n">
        <v>5.05176237239</v>
      </c>
      <c r="P200" s="0" t="n">
        <f aca="false">INDEX($F200:$J200,IF(1&lt;$E200,1,1+1))</f>
        <v>11.7</v>
      </c>
      <c r="Q200" s="0" t="n">
        <f aca="false">INDEX($F200:$J200,IF(2&lt;$E200,2,2+1))</f>
        <v>13.1</v>
      </c>
      <c r="R200" s="0" t="n">
        <f aca="false">INDEX($F200:$J200,IF(3&lt;$E200,3,3+1))</f>
        <v>10.8</v>
      </c>
      <c r="S200" s="0" t="n">
        <f aca="false">INDEX($F200:$J200,IF(4&lt;$E200,4,4+1))</f>
        <v>8.8</v>
      </c>
      <c r="T200" s="0" t="n">
        <f aca="false">INDEX($K200:$O200,IF(1&lt;$E200,1,1+1))</f>
        <v>7.31920411</v>
      </c>
      <c r="U200" s="0" t="n">
        <f aca="false">INDEX($K200:$O200,IF(2&lt;$E200,2,2+1))</f>
        <v>21.7944180784</v>
      </c>
      <c r="V200" s="0" t="n">
        <f aca="false">INDEX($K200:$O200,IF(3&lt;$E200,3,3+1))</f>
        <v>6.34001730606</v>
      </c>
      <c r="W200" s="0" t="n">
        <f aca="false">INDEX($K200:$O200,IF(4&lt;$E200,4,4+1))</f>
        <v>5.05176237239</v>
      </c>
      <c r="X200" s="0" t="n">
        <f aca="false">1+COUNTIF($P200:$S200,"&gt;"&amp;$P200)+(COUNTIF($P200:$S200,$P200)-1)/2</f>
        <v>2</v>
      </c>
      <c r="Y200" s="0" t="n">
        <f aca="false">1+COUNTIF($P200:$S200,"&gt;"&amp;$Q200)+(COUNTIF($P200:$S200,$Q200)-1)/2</f>
        <v>1</v>
      </c>
      <c r="Z200" s="0" t="n">
        <f aca="false">1+COUNTIF($P200:$S200,"&gt;"&amp;$R200)+(COUNTIF($P200:$S200,$R200)-1)/2</f>
        <v>3</v>
      </c>
      <c r="AA200" s="0" t="n">
        <f aca="false">1+COUNTIF($P200:$S200,"&gt;"&amp;$S200)+(COUNTIF($P200:$S200,$S200)-1)/2</f>
        <v>4</v>
      </c>
      <c r="AB200" s="0" t="n">
        <f aca="false">1+COUNTIF($T200:$W200,"&gt;"&amp;$T200)+(COUNTIF($T200:$W200,$T200)-1)/2</f>
        <v>2</v>
      </c>
      <c r="AC200" s="0" t="n">
        <f aca="false">1+COUNTIF($T200:$W200,"&gt;"&amp;$U200)+(COUNTIF($T200:$W200,$U200)-1)/2</f>
        <v>1</v>
      </c>
      <c r="AD200" s="0" t="n">
        <f aca="false">1+COUNTIF($T200:$W200,"&gt;"&amp;$V200)+(COUNTIF($T200:$W200,$V200)-1)/2</f>
        <v>3</v>
      </c>
      <c r="AE200" s="0" t="n">
        <f aca="false">1+COUNTIF($T200:$W200,"&gt;"&amp;$W200)+(COUNTIF($T200:$W200,$W200)-1)/2</f>
        <v>4</v>
      </c>
      <c r="AF200" s="0" t="n">
        <f aca="false">IFERROR(CORREL($P200:$S200,$T200:$W200),"")</f>
        <v>0.813741292093612</v>
      </c>
      <c r="AG200" s="0" t="n">
        <f aca="false">IFERROR(CORREL($X200:$AA200,$AB200:$AE200),"")</f>
        <v>1</v>
      </c>
      <c r="AH200" s="0" t="n">
        <f aca="false">IFERROR((SIGN($P200-$Q200)*SIGN($T200-$U200)+SIGN($P200-$R200)*SIGN($T200-$V200)+SIGN($P200-$S200)*SIGN($T200-$W200)+SIGN($Q200-$R200)*SIGN($U200-$V200)+SIGN($Q200-$S200)*SIGN($U200-$W200)+SIGN($R200-$S200)*SIGN($V200-$W200))/SQRT((6-(($P200=$Q200)*1+($P200=$R200)*1+($P200=$S200)*1+($Q200=$R200)*1+($Q200=$S200)*1+($R200=$S200)*1))*(6-(($T200=$U200)*1+($T200=$V200)*1+($T200=$W200)*1+($U200=$V200)*1+($U200=$W200)*1+($V200=$W200)*1))),"")</f>
        <v>1</v>
      </c>
      <c r="AI200" s="0" t="n">
        <f aca="false">MATCH(MAX($K200:$O200),$K200:$O200,0)</f>
        <v>4</v>
      </c>
      <c r="AJ200" s="0" t="n">
        <f aca="false">IF(AI200&lt;&gt;$E200,1,0)</f>
        <v>0</v>
      </c>
      <c r="AK200" s="0" t="str">
        <f aca="false">IF(AJ200=1,INDEX($F200:$J200,AI200)/MAX($P200:$S200),"")</f>
        <v/>
      </c>
      <c r="AL200" s="0" t="str">
        <f aca="false">IF(AJ200=1,1+COUNTIF($P200:$S200,"&gt;"&amp;INDEX($F200:$J200,AI200)),"")</f>
        <v/>
      </c>
      <c r="AM200" s="0" t="n">
        <f aca="false">AVERAGE($P200:$S200)/MAX($P200:$S200)</f>
        <v>0.847328244274809</v>
      </c>
      <c r="AN200" s="0" t="n">
        <f aca="false">100-INDEX($F200:$J200,$E200)</f>
        <v>52.8</v>
      </c>
    </row>
    <row r="201" customFormat="false" ht="15" hidden="false" customHeight="false" outlineLevel="0" collapsed="false">
      <c r="A201" s="0" t="s">
        <v>40</v>
      </c>
      <c r="B201" s="0" t="n">
        <v>2019</v>
      </c>
      <c r="C201" s="0" t="s">
        <v>47</v>
      </c>
      <c r="D201" s="0" t="s">
        <v>42</v>
      </c>
      <c r="E201" s="0" t="n">
        <v>3</v>
      </c>
      <c r="F201" s="0" t="n">
        <v>25.4</v>
      </c>
      <c r="G201" s="0" t="n">
        <v>10.7</v>
      </c>
      <c r="H201" s="0" t="n">
        <v>39.2</v>
      </c>
      <c r="I201" s="0" t="n">
        <v>12.4</v>
      </c>
      <c r="J201" s="0" t="n">
        <v>8.3</v>
      </c>
      <c r="K201" s="0" t="n">
        <v>8.8398005632</v>
      </c>
      <c r="L201" s="0" t="n">
        <v>1.35567731411</v>
      </c>
      <c r="M201" s="0" t="n">
        <v>3.5015988639</v>
      </c>
      <c r="N201" s="0" t="n">
        <v>16.4419991729</v>
      </c>
      <c r="O201" s="0" t="n">
        <v>69.8609240859</v>
      </c>
      <c r="P201" s="0" t="n">
        <f aca="false">INDEX($F201:$J201,IF(1&lt;$E201,1,1+1))</f>
        <v>25.4</v>
      </c>
      <c r="Q201" s="0" t="n">
        <f aca="false">INDEX($F201:$J201,IF(2&lt;$E201,2,2+1))</f>
        <v>10.7</v>
      </c>
      <c r="R201" s="0" t="n">
        <f aca="false">INDEX($F201:$J201,IF(3&lt;$E201,3,3+1))</f>
        <v>12.4</v>
      </c>
      <c r="S201" s="0" t="n">
        <f aca="false">INDEX($F201:$J201,IF(4&lt;$E201,4,4+1))</f>
        <v>8.3</v>
      </c>
      <c r="T201" s="0" t="n">
        <f aca="false">INDEX($K201:$O201,IF(1&lt;$E201,1,1+1))</f>
        <v>8.8398005632</v>
      </c>
      <c r="U201" s="0" t="n">
        <f aca="false">INDEX($K201:$O201,IF(2&lt;$E201,2,2+1))</f>
        <v>1.35567731411</v>
      </c>
      <c r="V201" s="0" t="n">
        <f aca="false">INDEX($K201:$O201,IF(3&lt;$E201,3,3+1))</f>
        <v>16.4419991729</v>
      </c>
      <c r="W201" s="0" t="n">
        <f aca="false">INDEX($K201:$O201,IF(4&lt;$E201,4,4+1))</f>
        <v>69.8609240859</v>
      </c>
      <c r="X201" s="0" t="n">
        <f aca="false">1+COUNTIF($P201:$S201,"&gt;"&amp;$P201)+(COUNTIF($P201:$S201,$P201)-1)/2</f>
        <v>1</v>
      </c>
      <c r="Y201" s="0" t="n">
        <f aca="false">1+COUNTIF($P201:$S201,"&gt;"&amp;$Q201)+(COUNTIF($P201:$S201,$Q201)-1)/2</f>
        <v>3</v>
      </c>
      <c r="Z201" s="0" t="n">
        <f aca="false">1+COUNTIF($P201:$S201,"&gt;"&amp;$R201)+(COUNTIF($P201:$S201,$R201)-1)/2</f>
        <v>2</v>
      </c>
      <c r="AA201" s="0" t="n">
        <f aca="false">1+COUNTIF($P201:$S201,"&gt;"&amp;$S201)+(COUNTIF($P201:$S201,$S201)-1)/2</f>
        <v>4</v>
      </c>
      <c r="AB201" s="0" t="n">
        <f aca="false">1+COUNTIF($T201:$W201,"&gt;"&amp;$T201)+(COUNTIF($T201:$W201,$T201)-1)/2</f>
        <v>3</v>
      </c>
      <c r="AC201" s="0" t="n">
        <f aca="false">1+COUNTIF($T201:$W201,"&gt;"&amp;$U201)+(COUNTIF($T201:$W201,$U201)-1)/2</f>
        <v>4</v>
      </c>
      <c r="AD201" s="0" t="n">
        <f aca="false">1+COUNTIF($T201:$W201,"&gt;"&amp;$V201)+(COUNTIF($T201:$W201,$V201)-1)/2</f>
        <v>2</v>
      </c>
      <c r="AE201" s="0" t="n">
        <f aca="false">1+COUNTIF($T201:$W201,"&gt;"&amp;$W201)+(COUNTIF($T201:$W201,$W201)-1)/2</f>
        <v>1</v>
      </c>
      <c r="AF201" s="0" t="n">
        <f aca="false">IFERROR(CORREL($P201:$S201,$T201:$W201),"")</f>
        <v>-0.48654436773964</v>
      </c>
      <c r="AG201" s="0" t="n">
        <f aca="false">IFERROR(CORREL($X201:$AA201,$AB201:$AE201),"")</f>
        <v>-0.4</v>
      </c>
      <c r="AH201" s="0" t="n">
        <f aca="false">IFERROR((SIGN($P201-$Q201)*SIGN($T201-$U201)+SIGN($P201-$R201)*SIGN($T201-$V201)+SIGN($P201-$S201)*SIGN($T201-$W201)+SIGN($Q201-$R201)*SIGN($U201-$V201)+SIGN($Q201-$S201)*SIGN($U201-$W201)+SIGN($R201-$S201)*SIGN($V201-$W201))/SQRT((6-(($P201=$Q201)*1+($P201=$R201)*1+($P201=$S201)*1+($Q201=$R201)*1+($Q201=$S201)*1+($R201=$S201)*1))*(6-(($T201=$U201)*1+($T201=$V201)*1+($T201=$W201)*1+($U201=$V201)*1+($U201=$W201)*1+($V201=$W201)*1))),"")</f>
        <v>-0.333333333333333</v>
      </c>
      <c r="AI201" s="0" t="n">
        <f aca="false">MATCH(MAX($K201:$O201),$K201:$O201,0)</f>
        <v>5</v>
      </c>
      <c r="AJ201" s="0" t="n">
        <f aca="false">IF(AI201&lt;&gt;$E201,1,0)</f>
        <v>1</v>
      </c>
      <c r="AK201" s="0" t="n">
        <f aca="false">IF(AJ201=1,INDEX($F201:$J201,AI201)/MAX($P201:$S201),"")</f>
        <v>0.326771653543307</v>
      </c>
      <c r="AL201" s="0" t="n">
        <f aca="false">IF(AJ201=1,1+COUNTIF($P201:$S201,"&gt;"&amp;INDEX($F201:$J201,AI201)),"")</f>
        <v>4</v>
      </c>
      <c r="AM201" s="0" t="n">
        <f aca="false">AVERAGE($P201:$S201)/MAX($P201:$S201)</f>
        <v>0.559055118110236</v>
      </c>
      <c r="AN201" s="0" t="n">
        <f aca="false">100-INDEX($F201:$J201,$E201)</f>
        <v>60.8</v>
      </c>
    </row>
    <row r="202" customFormat="false" ht="15" hidden="false" customHeight="false" outlineLevel="0" collapsed="false">
      <c r="A202" s="0" t="s">
        <v>40</v>
      </c>
      <c r="B202" s="0" t="n">
        <v>2019</v>
      </c>
      <c r="C202" s="0" t="s">
        <v>47</v>
      </c>
      <c r="D202" s="0" t="s">
        <v>43</v>
      </c>
      <c r="E202" s="0" t="n">
        <v>1</v>
      </c>
      <c r="F202" s="0" t="n">
        <v>46</v>
      </c>
      <c r="G202" s="0" t="n">
        <v>11.1</v>
      </c>
      <c r="H202" s="0" t="n">
        <v>9.1</v>
      </c>
      <c r="I202" s="0" t="n">
        <v>18.3</v>
      </c>
      <c r="J202" s="0" t="n">
        <v>11.4</v>
      </c>
      <c r="K202" s="0" t="n">
        <v>8.58947830243</v>
      </c>
      <c r="L202" s="0" t="n">
        <v>5.92194261002</v>
      </c>
      <c r="M202" s="0" t="n">
        <v>13.7234424064</v>
      </c>
      <c r="N202" s="0" t="n">
        <v>19.1367045972</v>
      </c>
      <c r="O202" s="0" t="n">
        <v>52.628432084</v>
      </c>
      <c r="P202" s="0" t="n">
        <f aca="false">INDEX($F202:$J202,IF(1&lt;$E202,1,1+1))</f>
        <v>11.1</v>
      </c>
      <c r="Q202" s="0" t="n">
        <f aca="false">INDEX($F202:$J202,IF(2&lt;$E202,2,2+1))</f>
        <v>9.1</v>
      </c>
      <c r="R202" s="0" t="n">
        <f aca="false">INDEX($F202:$J202,IF(3&lt;$E202,3,3+1))</f>
        <v>18.3</v>
      </c>
      <c r="S202" s="0" t="n">
        <f aca="false">INDEX($F202:$J202,IF(4&lt;$E202,4,4+1))</f>
        <v>11.4</v>
      </c>
      <c r="T202" s="0" t="n">
        <f aca="false">INDEX($K202:$O202,IF(1&lt;$E202,1,1+1))</f>
        <v>5.92194261002</v>
      </c>
      <c r="U202" s="0" t="n">
        <f aca="false">INDEX($K202:$O202,IF(2&lt;$E202,2,2+1))</f>
        <v>13.7234424064</v>
      </c>
      <c r="V202" s="0" t="n">
        <f aca="false">INDEX($K202:$O202,IF(3&lt;$E202,3,3+1))</f>
        <v>19.1367045972</v>
      </c>
      <c r="W202" s="0" t="n">
        <f aca="false">INDEX($K202:$O202,IF(4&lt;$E202,4,4+1))</f>
        <v>52.628432084</v>
      </c>
      <c r="X202" s="0" t="n">
        <f aca="false">1+COUNTIF($P202:$S202,"&gt;"&amp;$P202)+(COUNTIF($P202:$S202,$P202)-1)/2</f>
        <v>3</v>
      </c>
      <c r="Y202" s="0" t="n">
        <f aca="false">1+COUNTIF($P202:$S202,"&gt;"&amp;$Q202)+(COUNTIF($P202:$S202,$Q202)-1)/2</f>
        <v>4</v>
      </c>
      <c r="Z202" s="0" t="n">
        <f aca="false">1+COUNTIF($P202:$S202,"&gt;"&amp;$R202)+(COUNTIF($P202:$S202,$R202)-1)/2</f>
        <v>1</v>
      </c>
      <c r="AA202" s="0" t="n">
        <f aca="false">1+COUNTIF($P202:$S202,"&gt;"&amp;$S202)+(COUNTIF($P202:$S202,$S202)-1)/2</f>
        <v>2</v>
      </c>
      <c r="AB202" s="0" t="n">
        <f aca="false">1+COUNTIF($T202:$W202,"&gt;"&amp;$T202)+(COUNTIF($T202:$W202,$T202)-1)/2</f>
        <v>4</v>
      </c>
      <c r="AC202" s="0" t="n">
        <f aca="false">1+COUNTIF($T202:$W202,"&gt;"&amp;$U202)+(COUNTIF($T202:$W202,$U202)-1)/2</f>
        <v>3</v>
      </c>
      <c r="AD202" s="0" t="n">
        <f aca="false">1+COUNTIF($T202:$W202,"&gt;"&amp;$V202)+(COUNTIF($T202:$W202,$V202)-1)/2</f>
        <v>2</v>
      </c>
      <c r="AE202" s="0" t="n">
        <f aca="false">1+COUNTIF($T202:$W202,"&gt;"&amp;$W202)+(COUNTIF($T202:$W202,$W202)-1)/2</f>
        <v>1</v>
      </c>
      <c r="AF202" s="0" t="n">
        <f aca="false">IFERROR(CORREL($P202:$S202,$T202:$W202),"")</f>
        <v>0.00176071299151533</v>
      </c>
      <c r="AG202" s="0" t="n">
        <f aca="false">IFERROR(CORREL($X202:$AA202,$AB202:$AE202),"")</f>
        <v>0.6</v>
      </c>
      <c r="AH202" s="0" t="n">
        <f aca="false">IFERROR((SIGN($P202-$Q202)*SIGN($T202-$U202)+SIGN($P202-$R202)*SIGN($T202-$V202)+SIGN($P202-$S202)*SIGN($T202-$W202)+SIGN($Q202-$R202)*SIGN($U202-$V202)+SIGN($Q202-$S202)*SIGN($U202-$W202)+SIGN($R202-$S202)*SIGN($V202-$W202))/SQRT((6-(($P202=$Q202)*1+($P202=$R202)*1+($P202=$S202)*1+($Q202=$R202)*1+($Q202=$S202)*1+($R202=$S202)*1))*(6-(($T202=$U202)*1+($T202=$V202)*1+($T202=$W202)*1+($U202=$V202)*1+($U202=$W202)*1+($V202=$W202)*1))),"")</f>
        <v>0.333333333333333</v>
      </c>
      <c r="AI202" s="0" t="n">
        <f aca="false">MATCH(MAX($K202:$O202),$K202:$O202,0)</f>
        <v>5</v>
      </c>
      <c r="AJ202" s="0" t="n">
        <f aca="false">IF(AI202&lt;&gt;$E202,1,0)</f>
        <v>1</v>
      </c>
      <c r="AK202" s="0" t="n">
        <f aca="false">IF(AJ202=1,INDEX($F202:$J202,AI202)/MAX($P202:$S202),"")</f>
        <v>0.622950819672131</v>
      </c>
      <c r="AL202" s="0" t="n">
        <f aca="false">IF(AJ202=1,1+COUNTIF($P202:$S202,"&gt;"&amp;INDEX($F202:$J202,AI202)),"")</f>
        <v>2</v>
      </c>
      <c r="AM202" s="0" t="n">
        <f aca="false">AVERAGE($P202:$S202)/MAX($P202:$S202)</f>
        <v>0.681693989071038</v>
      </c>
      <c r="AN202" s="0" t="n">
        <f aca="false">100-INDEX($F202:$J202,$E202)</f>
        <v>54</v>
      </c>
    </row>
    <row r="203" customFormat="false" ht="15" hidden="false" customHeight="false" outlineLevel="0" collapsed="false">
      <c r="A203" s="0" t="s">
        <v>40</v>
      </c>
      <c r="B203" s="0" t="n">
        <v>2019</v>
      </c>
      <c r="C203" s="0" t="s">
        <v>47</v>
      </c>
      <c r="D203" s="0" t="s">
        <v>44</v>
      </c>
      <c r="E203" s="0" t="n">
        <v>2</v>
      </c>
      <c r="F203" s="0" t="n">
        <v>35.8</v>
      </c>
      <c r="G203" s="0" t="n">
        <v>24</v>
      </c>
      <c r="H203" s="0" t="n">
        <v>14.1</v>
      </c>
      <c r="I203" s="0" t="n">
        <v>15.1</v>
      </c>
      <c r="J203" s="0" t="n">
        <v>6.9</v>
      </c>
      <c r="K203" s="0" t="n">
        <v>28.3559440982</v>
      </c>
      <c r="L203" s="0" t="n">
        <v>16.9719365591</v>
      </c>
      <c r="M203" s="0" t="n">
        <v>29.3111828896</v>
      </c>
      <c r="N203" s="0" t="n">
        <v>22.9048194546</v>
      </c>
      <c r="O203" s="0" t="n">
        <v>2.45611699839</v>
      </c>
      <c r="P203" s="0" t="n">
        <f aca="false">INDEX($F203:$J203,IF(1&lt;$E203,1,1+1))</f>
        <v>35.8</v>
      </c>
      <c r="Q203" s="0" t="n">
        <f aca="false">INDEX($F203:$J203,IF(2&lt;$E203,2,2+1))</f>
        <v>14.1</v>
      </c>
      <c r="R203" s="0" t="n">
        <f aca="false">INDEX($F203:$J203,IF(3&lt;$E203,3,3+1))</f>
        <v>15.1</v>
      </c>
      <c r="S203" s="0" t="n">
        <f aca="false">INDEX($F203:$J203,IF(4&lt;$E203,4,4+1))</f>
        <v>6.9</v>
      </c>
      <c r="T203" s="0" t="n">
        <f aca="false">INDEX($K203:$O203,IF(1&lt;$E203,1,1+1))</f>
        <v>28.3559440982</v>
      </c>
      <c r="U203" s="0" t="n">
        <f aca="false">INDEX($K203:$O203,IF(2&lt;$E203,2,2+1))</f>
        <v>29.3111828896</v>
      </c>
      <c r="V203" s="0" t="n">
        <f aca="false">INDEX($K203:$O203,IF(3&lt;$E203,3,3+1))</f>
        <v>22.9048194546</v>
      </c>
      <c r="W203" s="0" t="n">
        <f aca="false">INDEX($K203:$O203,IF(4&lt;$E203,4,4+1))</f>
        <v>2.45611699839</v>
      </c>
      <c r="X203" s="0" t="n">
        <f aca="false">1+COUNTIF($P203:$S203,"&gt;"&amp;$P203)+(COUNTIF($P203:$S203,$P203)-1)/2</f>
        <v>1</v>
      </c>
      <c r="Y203" s="0" t="n">
        <f aca="false">1+COUNTIF($P203:$S203,"&gt;"&amp;$Q203)+(COUNTIF($P203:$S203,$Q203)-1)/2</f>
        <v>3</v>
      </c>
      <c r="Z203" s="0" t="n">
        <f aca="false">1+COUNTIF($P203:$S203,"&gt;"&amp;$R203)+(COUNTIF($P203:$S203,$R203)-1)/2</f>
        <v>2</v>
      </c>
      <c r="AA203" s="0" t="n">
        <f aca="false">1+COUNTIF($P203:$S203,"&gt;"&amp;$S203)+(COUNTIF($P203:$S203,$S203)-1)/2</f>
        <v>4</v>
      </c>
      <c r="AB203" s="0" t="n">
        <f aca="false">1+COUNTIF($T203:$W203,"&gt;"&amp;$T203)+(COUNTIF($T203:$W203,$T203)-1)/2</f>
        <v>2</v>
      </c>
      <c r="AC203" s="0" t="n">
        <f aca="false">1+COUNTIF($T203:$W203,"&gt;"&amp;$U203)+(COUNTIF($T203:$W203,$U203)-1)/2</f>
        <v>1</v>
      </c>
      <c r="AD203" s="0" t="n">
        <f aca="false">1+COUNTIF($T203:$W203,"&gt;"&amp;$V203)+(COUNTIF($T203:$W203,$V203)-1)/2</f>
        <v>3</v>
      </c>
      <c r="AE203" s="0" t="n">
        <f aca="false">1+COUNTIF($T203:$W203,"&gt;"&amp;$W203)+(COUNTIF($T203:$W203,$W203)-1)/2</f>
        <v>4</v>
      </c>
      <c r="AF203" s="0" t="n">
        <f aca="false">IFERROR(CORREL($P203:$S203,$T203:$W203),"")</f>
        <v>0.639786325787302</v>
      </c>
      <c r="AG203" s="0" t="n">
        <f aca="false">IFERROR(CORREL($X203:$AA203,$AB203:$AE203),"")</f>
        <v>0.4</v>
      </c>
      <c r="AH203" s="0" t="n">
        <f aca="false">IFERROR((SIGN($P203-$Q203)*SIGN($T203-$U203)+SIGN($P203-$R203)*SIGN($T203-$V203)+SIGN($P203-$S203)*SIGN($T203-$W203)+SIGN($Q203-$R203)*SIGN($U203-$V203)+SIGN($Q203-$S203)*SIGN($U203-$W203)+SIGN($R203-$S203)*SIGN($V203-$W203))/SQRT((6-(($P203=$Q203)*1+($P203=$R203)*1+($P203=$S203)*1+($Q203=$R203)*1+($Q203=$S203)*1+($R203=$S203)*1))*(6-(($T203=$U203)*1+($T203=$V203)*1+($T203=$W203)*1+($U203=$V203)*1+($U203=$W203)*1+($V203=$W203)*1))),"")</f>
        <v>0.333333333333333</v>
      </c>
      <c r="AI203" s="0" t="n">
        <f aca="false">MATCH(MAX($K203:$O203),$K203:$O203,0)</f>
        <v>3</v>
      </c>
      <c r="AJ203" s="0" t="n">
        <f aca="false">IF(AI203&lt;&gt;$E203,1,0)</f>
        <v>1</v>
      </c>
      <c r="AK203" s="0" t="n">
        <f aca="false">IF(AJ203=1,INDEX($F203:$J203,AI203)/MAX($P203:$S203),"")</f>
        <v>0.393854748603352</v>
      </c>
      <c r="AL203" s="0" t="n">
        <f aca="false">IF(AJ203=1,1+COUNTIF($P203:$S203,"&gt;"&amp;INDEX($F203:$J203,AI203)),"")</f>
        <v>3</v>
      </c>
      <c r="AM203" s="0" t="n">
        <f aca="false">AVERAGE($P203:$S203)/MAX($P203:$S203)</f>
        <v>0.502094972067039</v>
      </c>
      <c r="AN203" s="0" t="n">
        <f aca="false">100-INDEX($F203:$J203,$E203)</f>
        <v>76</v>
      </c>
    </row>
    <row r="204" customFormat="false" ht="15" hidden="false" customHeight="false" outlineLevel="0" collapsed="false">
      <c r="A204" s="0" t="s">
        <v>40</v>
      </c>
      <c r="B204" s="0" t="n">
        <v>2019</v>
      </c>
      <c r="C204" s="0" t="s">
        <v>47</v>
      </c>
      <c r="D204" s="0" t="s">
        <v>45</v>
      </c>
      <c r="E204" s="0" t="n">
        <v>2</v>
      </c>
      <c r="F204" s="0" t="n">
        <v>24.4</v>
      </c>
      <c r="G204" s="0" t="n">
        <v>24.3</v>
      </c>
      <c r="H204" s="0" t="n">
        <v>34.3</v>
      </c>
      <c r="I204" s="0" t="n">
        <v>8.4</v>
      </c>
      <c r="J204" s="0" t="n">
        <v>4.5</v>
      </c>
      <c r="K204" s="0" t="n">
        <v>34.5676576134</v>
      </c>
      <c r="L204" s="0" t="n">
        <v>21.9105066719</v>
      </c>
      <c r="M204" s="0" t="n">
        <v>7.92412117165</v>
      </c>
      <c r="N204" s="0" t="n">
        <v>19.4601502149</v>
      </c>
      <c r="O204" s="0" t="n">
        <v>16.1375643282</v>
      </c>
      <c r="P204" s="0" t="n">
        <f aca="false">INDEX($F204:$J204,IF(1&lt;$E204,1,1+1))</f>
        <v>24.4</v>
      </c>
      <c r="Q204" s="0" t="n">
        <f aca="false">INDEX($F204:$J204,IF(2&lt;$E204,2,2+1))</f>
        <v>34.3</v>
      </c>
      <c r="R204" s="0" t="n">
        <f aca="false">INDEX($F204:$J204,IF(3&lt;$E204,3,3+1))</f>
        <v>8.4</v>
      </c>
      <c r="S204" s="0" t="n">
        <f aca="false">INDEX($F204:$J204,IF(4&lt;$E204,4,4+1))</f>
        <v>4.5</v>
      </c>
      <c r="T204" s="0" t="n">
        <f aca="false">INDEX($K204:$O204,IF(1&lt;$E204,1,1+1))</f>
        <v>34.5676576134</v>
      </c>
      <c r="U204" s="0" t="n">
        <f aca="false">INDEX($K204:$O204,IF(2&lt;$E204,2,2+1))</f>
        <v>7.92412117165</v>
      </c>
      <c r="V204" s="0" t="n">
        <f aca="false">INDEX($K204:$O204,IF(3&lt;$E204,3,3+1))</f>
        <v>19.4601502149</v>
      </c>
      <c r="W204" s="0" t="n">
        <f aca="false">INDEX($K204:$O204,IF(4&lt;$E204,4,4+1))</f>
        <v>16.1375643282</v>
      </c>
      <c r="X204" s="0" t="n">
        <f aca="false">1+COUNTIF($P204:$S204,"&gt;"&amp;$P204)+(COUNTIF($P204:$S204,$P204)-1)/2</f>
        <v>2</v>
      </c>
      <c r="Y204" s="0" t="n">
        <f aca="false">1+COUNTIF($P204:$S204,"&gt;"&amp;$Q204)+(COUNTIF($P204:$S204,$Q204)-1)/2</f>
        <v>1</v>
      </c>
      <c r="Z204" s="0" t="n">
        <f aca="false">1+COUNTIF($P204:$S204,"&gt;"&amp;$R204)+(COUNTIF($P204:$S204,$R204)-1)/2</f>
        <v>3</v>
      </c>
      <c r="AA204" s="0" t="n">
        <f aca="false">1+COUNTIF($P204:$S204,"&gt;"&amp;$S204)+(COUNTIF($P204:$S204,$S204)-1)/2</f>
        <v>4</v>
      </c>
      <c r="AB204" s="0" t="n">
        <f aca="false">1+COUNTIF($T204:$W204,"&gt;"&amp;$T204)+(COUNTIF($T204:$W204,$T204)-1)/2</f>
        <v>1</v>
      </c>
      <c r="AC204" s="0" t="n">
        <f aca="false">1+COUNTIF($T204:$W204,"&gt;"&amp;$U204)+(COUNTIF($T204:$W204,$U204)-1)/2</f>
        <v>4</v>
      </c>
      <c r="AD204" s="0" t="n">
        <f aca="false">1+COUNTIF($T204:$W204,"&gt;"&amp;$V204)+(COUNTIF($T204:$W204,$V204)-1)/2</f>
        <v>2</v>
      </c>
      <c r="AE204" s="0" t="n">
        <f aca="false">1+COUNTIF($T204:$W204,"&gt;"&amp;$W204)+(COUNTIF($T204:$W204,$W204)-1)/2</f>
        <v>3</v>
      </c>
      <c r="AF204" s="0" t="n">
        <f aca="false">IFERROR(CORREL($P204:$S204,$T204:$W204),"")</f>
        <v>-0.0999082713578591</v>
      </c>
      <c r="AG204" s="0" t="n">
        <f aca="false">IFERROR(CORREL($X204:$AA204,$AB204:$AE204),"")</f>
        <v>-0.2</v>
      </c>
      <c r="AH204" s="0" t="n">
        <f aca="false">IFERROR((SIGN($P204-$Q204)*SIGN($T204-$U204)+SIGN($P204-$R204)*SIGN($T204-$V204)+SIGN($P204-$S204)*SIGN($T204-$W204)+SIGN($Q204-$R204)*SIGN($U204-$V204)+SIGN($Q204-$S204)*SIGN($U204-$W204)+SIGN($R204-$S204)*SIGN($V204-$W204))/SQRT((6-(($P204=$Q204)*1+($P204=$R204)*1+($P204=$S204)*1+($Q204=$R204)*1+($Q204=$S204)*1+($R204=$S204)*1))*(6-(($T204=$U204)*1+($T204=$V204)*1+($T204=$W204)*1+($U204=$V204)*1+($U204=$W204)*1+($V204=$W204)*1))),"")</f>
        <v>0</v>
      </c>
      <c r="AI204" s="0" t="n">
        <f aca="false">MATCH(MAX($K204:$O204),$K204:$O204,0)</f>
        <v>1</v>
      </c>
      <c r="AJ204" s="0" t="n">
        <f aca="false">IF(AI204&lt;&gt;$E204,1,0)</f>
        <v>1</v>
      </c>
      <c r="AK204" s="0" t="n">
        <f aca="false">IF(AJ204=1,INDEX($F204:$J204,AI204)/MAX($P204:$S204),"")</f>
        <v>0.711370262390671</v>
      </c>
      <c r="AL204" s="0" t="n">
        <f aca="false">IF(AJ204=1,1+COUNTIF($P204:$S204,"&gt;"&amp;INDEX($F204:$J204,AI204)),"")</f>
        <v>2</v>
      </c>
      <c r="AM204" s="0" t="n">
        <f aca="false">AVERAGE($P204:$S204)/MAX($P204:$S204)</f>
        <v>0.521865889212828</v>
      </c>
      <c r="AN204" s="0" t="n">
        <f aca="false">100-INDEX($F204:$J204,$E204)</f>
        <v>75.7</v>
      </c>
    </row>
    <row r="205" customFormat="false" ht="15" hidden="false" customHeight="false" outlineLevel="0" collapsed="false">
      <c r="A205" s="0" t="s">
        <v>40</v>
      </c>
      <c r="B205" s="0" t="n">
        <v>2018</v>
      </c>
      <c r="C205" s="0" t="s">
        <v>48</v>
      </c>
      <c r="D205" s="0" t="s">
        <v>42</v>
      </c>
      <c r="E205" s="0" t="n">
        <v>2</v>
      </c>
      <c r="F205" s="0" t="n">
        <v>14.6</v>
      </c>
      <c r="G205" s="0" t="n">
        <v>46.6</v>
      </c>
      <c r="H205" s="0" t="n">
        <v>13.7</v>
      </c>
      <c r="I205" s="0" t="n">
        <v>7.4</v>
      </c>
      <c r="J205" s="0" t="n">
        <v>9.3</v>
      </c>
      <c r="K205" s="0" t="n">
        <v>34.0522428265</v>
      </c>
      <c r="L205" s="0" t="n">
        <v>17.1386066352</v>
      </c>
      <c r="M205" s="0" t="n">
        <v>2.25382877693</v>
      </c>
      <c r="N205" s="0" t="n">
        <v>13.1599118321</v>
      </c>
      <c r="O205" s="0" t="n">
        <v>33.3954099293</v>
      </c>
      <c r="P205" s="0" t="n">
        <f aca="false">INDEX($F205:$J205,IF(1&lt;$E205,1,1+1))</f>
        <v>14.6</v>
      </c>
      <c r="Q205" s="0" t="n">
        <f aca="false">INDEX($F205:$J205,IF(2&lt;$E205,2,2+1))</f>
        <v>13.7</v>
      </c>
      <c r="R205" s="0" t="n">
        <f aca="false">INDEX($F205:$J205,IF(3&lt;$E205,3,3+1))</f>
        <v>7.4</v>
      </c>
      <c r="S205" s="0" t="n">
        <f aca="false">INDEX($F205:$J205,IF(4&lt;$E205,4,4+1))</f>
        <v>9.3</v>
      </c>
      <c r="T205" s="0" t="n">
        <f aca="false">INDEX($K205:$O205,IF(1&lt;$E205,1,1+1))</f>
        <v>34.0522428265</v>
      </c>
      <c r="U205" s="0" t="n">
        <f aca="false">INDEX($K205:$O205,IF(2&lt;$E205,2,2+1))</f>
        <v>2.25382877693</v>
      </c>
      <c r="V205" s="0" t="n">
        <f aca="false">INDEX($K205:$O205,IF(3&lt;$E205,3,3+1))</f>
        <v>13.1599118321</v>
      </c>
      <c r="W205" s="0" t="n">
        <f aca="false">INDEX($K205:$O205,IF(4&lt;$E205,4,4+1))</f>
        <v>33.3954099293</v>
      </c>
      <c r="X205" s="0" t="n">
        <f aca="false">1+COUNTIF($P205:$S205,"&gt;"&amp;$P205)+(COUNTIF($P205:$S205,$P205)-1)/2</f>
        <v>1</v>
      </c>
      <c r="Y205" s="0" t="n">
        <f aca="false">1+COUNTIF($P205:$S205,"&gt;"&amp;$Q205)+(COUNTIF($P205:$S205,$Q205)-1)/2</f>
        <v>2</v>
      </c>
      <c r="Z205" s="0" t="n">
        <f aca="false">1+COUNTIF($P205:$S205,"&gt;"&amp;$R205)+(COUNTIF($P205:$S205,$R205)-1)/2</f>
        <v>4</v>
      </c>
      <c r="AA205" s="0" t="n">
        <f aca="false">1+COUNTIF($P205:$S205,"&gt;"&amp;$S205)+(COUNTIF($P205:$S205,$S205)-1)/2</f>
        <v>3</v>
      </c>
      <c r="AB205" s="0" t="n">
        <f aca="false">1+COUNTIF($T205:$W205,"&gt;"&amp;$T205)+(COUNTIF($T205:$W205,$T205)-1)/2</f>
        <v>1</v>
      </c>
      <c r="AC205" s="0" t="n">
        <f aca="false">1+COUNTIF($T205:$W205,"&gt;"&amp;$U205)+(COUNTIF($T205:$W205,$U205)-1)/2</f>
        <v>4</v>
      </c>
      <c r="AD205" s="0" t="n">
        <f aca="false">1+COUNTIF($T205:$W205,"&gt;"&amp;$V205)+(COUNTIF($T205:$W205,$V205)-1)/2</f>
        <v>3</v>
      </c>
      <c r="AE205" s="0" t="n">
        <f aca="false">1+COUNTIF($T205:$W205,"&gt;"&amp;$W205)+(COUNTIF($T205:$W205,$W205)-1)/2</f>
        <v>2</v>
      </c>
      <c r="AF205" s="0" t="n">
        <f aca="false">IFERROR(CORREL($P205:$S205,$T205:$W205),"")</f>
        <v>0.0234473974287854</v>
      </c>
      <c r="AG205" s="0" t="n">
        <f aca="false">IFERROR(CORREL($X205:$AA205,$AB205:$AE205),"")</f>
        <v>0.4</v>
      </c>
      <c r="AH205" s="0" t="n">
        <f aca="false">IFERROR((SIGN($P205-$Q205)*SIGN($T205-$U205)+SIGN($P205-$R205)*SIGN($T205-$V205)+SIGN($P205-$S205)*SIGN($T205-$W205)+SIGN($Q205-$R205)*SIGN($U205-$V205)+SIGN($Q205-$S205)*SIGN($U205-$W205)+SIGN($R205-$S205)*SIGN($V205-$W205))/SQRT((6-(($P205=$Q205)*1+($P205=$R205)*1+($P205=$S205)*1+($Q205=$R205)*1+($Q205=$S205)*1+($R205=$S205)*1))*(6-(($T205=$U205)*1+($T205=$V205)*1+($T205=$W205)*1+($U205=$V205)*1+($U205=$W205)*1+($V205=$W205)*1))),"")</f>
        <v>0.333333333333333</v>
      </c>
      <c r="AI205" s="0" t="n">
        <f aca="false">MATCH(MAX($K205:$O205),$K205:$O205,0)</f>
        <v>1</v>
      </c>
      <c r="AJ205" s="0" t="n">
        <f aca="false">IF(AI205&lt;&gt;$E205,1,0)</f>
        <v>1</v>
      </c>
      <c r="AK205" s="0" t="n">
        <f aca="false">IF(AJ205=1,INDEX($F205:$J205,AI205)/MAX($P205:$S205),"")</f>
        <v>1</v>
      </c>
      <c r="AL205" s="0" t="n">
        <f aca="false">IF(AJ205=1,1+COUNTIF($P205:$S205,"&gt;"&amp;INDEX($F205:$J205,AI205)),"")</f>
        <v>1</v>
      </c>
      <c r="AM205" s="0" t="n">
        <f aca="false">AVERAGE($P205:$S205)/MAX($P205:$S205)</f>
        <v>0.770547945205479</v>
      </c>
      <c r="AN205" s="0" t="n">
        <f aca="false">100-INDEX($F205:$J205,$E205)</f>
        <v>53.4</v>
      </c>
    </row>
    <row r="206" customFormat="false" ht="15" hidden="false" customHeight="false" outlineLevel="0" collapsed="false">
      <c r="A206" s="0" t="s">
        <v>40</v>
      </c>
      <c r="B206" s="0" t="n">
        <v>2018</v>
      </c>
      <c r="C206" s="0" t="s">
        <v>48</v>
      </c>
      <c r="D206" s="0" t="s">
        <v>43</v>
      </c>
      <c r="E206" s="0" t="n">
        <v>1</v>
      </c>
      <c r="F206" s="0" t="n">
        <v>35</v>
      </c>
      <c r="G206" s="0" t="n">
        <v>15.7</v>
      </c>
      <c r="H206" s="0" t="n">
        <v>12.6</v>
      </c>
      <c r="I206" s="0" t="n">
        <v>18.2</v>
      </c>
      <c r="J206" s="0" t="n">
        <v>9.9</v>
      </c>
      <c r="K206" s="0" t="n">
        <v>25.0376223215</v>
      </c>
      <c r="L206" s="0" t="n">
        <v>18.607671907</v>
      </c>
      <c r="M206" s="0" t="n">
        <v>4.76912851265</v>
      </c>
      <c r="N206" s="0" t="n">
        <v>16.3557460095</v>
      </c>
      <c r="O206" s="0" t="n">
        <v>35.2298312494</v>
      </c>
      <c r="P206" s="0" t="n">
        <f aca="false">INDEX($F206:$J206,IF(1&lt;$E206,1,1+1))</f>
        <v>15.7</v>
      </c>
      <c r="Q206" s="0" t="n">
        <f aca="false">INDEX($F206:$J206,IF(2&lt;$E206,2,2+1))</f>
        <v>12.6</v>
      </c>
      <c r="R206" s="0" t="n">
        <f aca="false">INDEX($F206:$J206,IF(3&lt;$E206,3,3+1))</f>
        <v>18.2</v>
      </c>
      <c r="S206" s="0" t="n">
        <f aca="false">INDEX($F206:$J206,IF(4&lt;$E206,4,4+1))</f>
        <v>9.9</v>
      </c>
      <c r="T206" s="0" t="n">
        <f aca="false">INDEX($K206:$O206,IF(1&lt;$E206,1,1+1))</f>
        <v>18.607671907</v>
      </c>
      <c r="U206" s="0" t="n">
        <f aca="false">INDEX($K206:$O206,IF(2&lt;$E206,2,2+1))</f>
        <v>4.76912851265</v>
      </c>
      <c r="V206" s="0" t="n">
        <f aca="false">INDEX($K206:$O206,IF(3&lt;$E206,3,3+1))</f>
        <v>16.3557460095</v>
      </c>
      <c r="W206" s="0" t="n">
        <f aca="false">INDEX($K206:$O206,IF(4&lt;$E206,4,4+1))</f>
        <v>35.2298312494</v>
      </c>
      <c r="X206" s="0" t="n">
        <f aca="false">1+COUNTIF($P206:$S206,"&gt;"&amp;$P206)+(COUNTIF($P206:$S206,$P206)-1)/2</f>
        <v>2</v>
      </c>
      <c r="Y206" s="0" t="n">
        <f aca="false">1+COUNTIF($P206:$S206,"&gt;"&amp;$Q206)+(COUNTIF($P206:$S206,$Q206)-1)/2</f>
        <v>3</v>
      </c>
      <c r="Z206" s="0" t="n">
        <f aca="false">1+COUNTIF($P206:$S206,"&gt;"&amp;$R206)+(COUNTIF($P206:$S206,$R206)-1)/2</f>
        <v>1</v>
      </c>
      <c r="AA206" s="0" t="n">
        <f aca="false">1+COUNTIF($P206:$S206,"&gt;"&amp;$S206)+(COUNTIF($P206:$S206,$S206)-1)/2</f>
        <v>4</v>
      </c>
      <c r="AB206" s="0" t="n">
        <f aca="false">1+COUNTIF($T206:$W206,"&gt;"&amp;$T206)+(COUNTIF($T206:$W206,$T206)-1)/2</f>
        <v>2</v>
      </c>
      <c r="AC206" s="0" t="n">
        <f aca="false">1+COUNTIF($T206:$W206,"&gt;"&amp;$U206)+(COUNTIF($T206:$W206,$U206)-1)/2</f>
        <v>4</v>
      </c>
      <c r="AD206" s="0" t="n">
        <f aca="false">1+COUNTIF($T206:$W206,"&gt;"&amp;$V206)+(COUNTIF($T206:$W206,$V206)-1)/2</f>
        <v>3</v>
      </c>
      <c r="AE206" s="0" t="n">
        <f aca="false">1+COUNTIF($T206:$W206,"&gt;"&amp;$W206)+(COUNTIF($T206:$W206,$W206)-1)/2</f>
        <v>1</v>
      </c>
      <c r="AF206" s="0" t="n">
        <f aca="false">IFERROR(CORREL($P206:$S206,$T206:$W206),"")</f>
        <v>-0.427824342590165</v>
      </c>
      <c r="AG206" s="0" t="n">
        <f aca="false">IFERROR(CORREL($X206:$AA206,$AB206:$AE206),"")</f>
        <v>-0.4</v>
      </c>
      <c r="AH206" s="0" t="n">
        <f aca="false">IFERROR((SIGN($P206-$Q206)*SIGN($T206-$U206)+SIGN($P206-$R206)*SIGN($T206-$V206)+SIGN($P206-$S206)*SIGN($T206-$W206)+SIGN($Q206-$R206)*SIGN($U206-$V206)+SIGN($Q206-$S206)*SIGN($U206-$W206)+SIGN($R206-$S206)*SIGN($V206-$W206))/SQRT((6-(($P206=$Q206)*1+($P206=$R206)*1+($P206=$S206)*1+($Q206=$R206)*1+($Q206=$S206)*1+($R206=$S206)*1))*(6-(($T206=$U206)*1+($T206=$V206)*1+($T206=$W206)*1+($U206=$V206)*1+($U206=$W206)*1+($V206=$W206)*1))),"")</f>
        <v>-0.333333333333333</v>
      </c>
      <c r="AI206" s="0" t="n">
        <f aca="false">MATCH(MAX($K206:$O206),$K206:$O206,0)</f>
        <v>5</v>
      </c>
      <c r="AJ206" s="0" t="n">
        <f aca="false">IF(AI206&lt;&gt;$E206,1,0)</f>
        <v>1</v>
      </c>
      <c r="AK206" s="0" t="n">
        <f aca="false">IF(AJ206=1,INDEX($F206:$J206,AI206)/MAX($P206:$S206),"")</f>
        <v>0.543956043956044</v>
      </c>
      <c r="AL206" s="0" t="n">
        <f aca="false">IF(AJ206=1,1+COUNTIF($P206:$S206,"&gt;"&amp;INDEX($F206:$J206,AI206)),"")</f>
        <v>4</v>
      </c>
      <c r="AM206" s="0" t="n">
        <f aca="false">AVERAGE($P206:$S206)/MAX($P206:$S206)</f>
        <v>0.774725274725275</v>
      </c>
      <c r="AN206" s="0" t="n">
        <f aca="false">100-INDEX($F206:$J206,$E206)</f>
        <v>65</v>
      </c>
    </row>
    <row r="207" customFormat="false" ht="15" hidden="false" customHeight="false" outlineLevel="0" collapsed="false">
      <c r="A207" s="0" t="s">
        <v>40</v>
      </c>
      <c r="B207" s="0" t="n">
        <v>2018</v>
      </c>
      <c r="C207" s="0" t="s">
        <v>48</v>
      </c>
      <c r="D207" s="0" t="s">
        <v>44</v>
      </c>
      <c r="E207" s="0" t="n">
        <v>4</v>
      </c>
      <c r="F207" s="0" t="n">
        <v>22.1</v>
      </c>
      <c r="G207" s="0" t="n">
        <v>13.9</v>
      </c>
      <c r="H207" s="0" t="n">
        <v>15.6</v>
      </c>
      <c r="I207" s="0" t="n">
        <v>22.2</v>
      </c>
      <c r="J207" s="0" t="n">
        <v>17.6</v>
      </c>
      <c r="K207" s="0" t="n">
        <v>8.7899754668</v>
      </c>
      <c r="L207" s="0" t="n">
        <v>18.3812011355</v>
      </c>
      <c r="M207" s="0" t="n">
        <v>15.3637569255</v>
      </c>
      <c r="N207" s="0" t="n">
        <v>28.9814754367</v>
      </c>
      <c r="O207" s="0" t="n">
        <v>28.4835910355</v>
      </c>
      <c r="P207" s="0" t="n">
        <f aca="false">INDEX($F207:$J207,IF(1&lt;$E207,1,1+1))</f>
        <v>22.1</v>
      </c>
      <c r="Q207" s="0" t="n">
        <f aca="false">INDEX($F207:$J207,IF(2&lt;$E207,2,2+1))</f>
        <v>13.9</v>
      </c>
      <c r="R207" s="0" t="n">
        <f aca="false">INDEX($F207:$J207,IF(3&lt;$E207,3,3+1))</f>
        <v>15.6</v>
      </c>
      <c r="S207" s="0" t="n">
        <f aca="false">INDEX($F207:$J207,IF(4&lt;$E207,4,4+1))</f>
        <v>17.6</v>
      </c>
      <c r="T207" s="0" t="n">
        <f aca="false">INDEX($K207:$O207,IF(1&lt;$E207,1,1+1))</f>
        <v>8.7899754668</v>
      </c>
      <c r="U207" s="0" t="n">
        <f aca="false">INDEX($K207:$O207,IF(2&lt;$E207,2,2+1))</f>
        <v>18.3812011355</v>
      </c>
      <c r="V207" s="0" t="n">
        <f aca="false">INDEX($K207:$O207,IF(3&lt;$E207,3,3+1))</f>
        <v>15.3637569255</v>
      </c>
      <c r="W207" s="0" t="n">
        <f aca="false">INDEX($K207:$O207,IF(4&lt;$E207,4,4+1))</f>
        <v>28.4835910355</v>
      </c>
      <c r="X207" s="0" t="n">
        <f aca="false">1+COUNTIF($P207:$S207,"&gt;"&amp;$P207)+(COUNTIF($P207:$S207,$P207)-1)/2</f>
        <v>1</v>
      </c>
      <c r="Y207" s="0" t="n">
        <f aca="false">1+COUNTIF($P207:$S207,"&gt;"&amp;$Q207)+(COUNTIF($P207:$S207,$Q207)-1)/2</f>
        <v>4</v>
      </c>
      <c r="Z207" s="0" t="n">
        <f aca="false">1+COUNTIF($P207:$S207,"&gt;"&amp;$R207)+(COUNTIF($P207:$S207,$R207)-1)/2</f>
        <v>3</v>
      </c>
      <c r="AA207" s="0" t="n">
        <f aca="false">1+COUNTIF($P207:$S207,"&gt;"&amp;$S207)+(COUNTIF($P207:$S207,$S207)-1)/2</f>
        <v>2</v>
      </c>
      <c r="AB207" s="0" t="n">
        <f aca="false">1+COUNTIF($T207:$W207,"&gt;"&amp;$T207)+(COUNTIF($T207:$W207,$T207)-1)/2</f>
        <v>4</v>
      </c>
      <c r="AC207" s="0" t="n">
        <f aca="false">1+COUNTIF($T207:$W207,"&gt;"&amp;$U207)+(COUNTIF($T207:$W207,$U207)-1)/2</f>
        <v>2</v>
      </c>
      <c r="AD207" s="0" t="n">
        <f aca="false">1+COUNTIF($T207:$W207,"&gt;"&amp;$V207)+(COUNTIF($T207:$W207,$V207)-1)/2</f>
        <v>3</v>
      </c>
      <c r="AE207" s="0" t="n">
        <f aca="false">1+COUNTIF($T207:$W207,"&gt;"&amp;$W207)+(COUNTIF($T207:$W207,$W207)-1)/2</f>
        <v>1</v>
      </c>
      <c r="AF207" s="0" t="n">
        <f aca="false">IFERROR(CORREL($P207:$S207,$T207:$W207),"")</f>
        <v>-0.435185560321275</v>
      </c>
      <c r="AG207" s="0" t="n">
        <f aca="false">IFERROR(CORREL($X207:$AA207,$AB207:$AE207),"")</f>
        <v>-0.4</v>
      </c>
      <c r="AH207" s="0" t="n">
        <f aca="false">IFERROR((SIGN($P207-$Q207)*SIGN($T207-$U207)+SIGN($P207-$R207)*SIGN($T207-$V207)+SIGN($P207-$S207)*SIGN($T207-$W207)+SIGN($Q207-$R207)*SIGN($U207-$V207)+SIGN($Q207-$S207)*SIGN($U207-$W207)+SIGN($R207-$S207)*SIGN($V207-$W207))/SQRT((6-(($P207=$Q207)*1+($P207=$R207)*1+($P207=$S207)*1+($Q207=$R207)*1+($Q207=$S207)*1+($R207=$S207)*1))*(6-(($T207=$U207)*1+($T207=$V207)*1+($T207=$W207)*1+($U207=$V207)*1+($U207=$W207)*1+($V207=$W207)*1))),"")</f>
        <v>-0.333333333333333</v>
      </c>
      <c r="AI207" s="0" t="n">
        <f aca="false">MATCH(MAX($K207:$O207),$K207:$O207,0)</f>
        <v>4</v>
      </c>
      <c r="AJ207" s="0" t="n">
        <f aca="false">IF(AI207&lt;&gt;$E207,1,0)</f>
        <v>0</v>
      </c>
      <c r="AK207" s="0" t="str">
        <f aca="false">IF(AJ207=1,INDEX($F207:$J207,AI207)/MAX($P207:$S207),"")</f>
        <v/>
      </c>
      <c r="AL207" s="0" t="str">
        <f aca="false">IF(AJ207=1,1+COUNTIF($P207:$S207,"&gt;"&amp;INDEX($F207:$J207,AI207)),"")</f>
        <v/>
      </c>
      <c r="AM207" s="0" t="n">
        <f aca="false">AVERAGE($P207:$S207)/MAX($P207:$S207)</f>
        <v>0.782805429864253</v>
      </c>
      <c r="AN207" s="0" t="n">
        <f aca="false">100-INDEX($F207:$J207,$E207)</f>
        <v>77.8</v>
      </c>
    </row>
    <row r="208" customFormat="false" ht="15" hidden="false" customHeight="false" outlineLevel="0" collapsed="false">
      <c r="A208" s="0" t="s">
        <v>40</v>
      </c>
      <c r="B208" s="0" t="n">
        <v>2018</v>
      </c>
      <c r="C208" s="0" t="s">
        <v>48</v>
      </c>
      <c r="D208" s="0" t="s">
        <v>45</v>
      </c>
      <c r="E208" s="0" t="n">
        <v>5</v>
      </c>
      <c r="F208" s="0" t="n">
        <v>20.2</v>
      </c>
      <c r="G208" s="0" t="n">
        <v>13.4</v>
      </c>
      <c r="H208" s="0" t="n">
        <v>16.6</v>
      </c>
      <c r="I208" s="0" t="n">
        <v>16.1</v>
      </c>
      <c r="J208" s="0" t="n">
        <v>25</v>
      </c>
      <c r="K208" s="0" t="n">
        <v>17.0747984599</v>
      </c>
      <c r="L208" s="0" t="n">
        <v>6.46610370004</v>
      </c>
      <c r="M208" s="0" t="n">
        <v>31.4894497953</v>
      </c>
      <c r="N208" s="0" t="n">
        <v>23.0356538756</v>
      </c>
      <c r="O208" s="0" t="n">
        <v>21.9339941691</v>
      </c>
      <c r="P208" s="0" t="n">
        <f aca="false">INDEX($F208:$J208,IF(1&lt;$E208,1,1+1))</f>
        <v>20.2</v>
      </c>
      <c r="Q208" s="0" t="n">
        <f aca="false">INDEX($F208:$J208,IF(2&lt;$E208,2,2+1))</f>
        <v>13.4</v>
      </c>
      <c r="R208" s="0" t="n">
        <f aca="false">INDEX($F208:$J208,IF(3&lt;$E208,3,3+1))</f>
        <v>16.6</v>
      </c>
      <c r="S208" s="0" t="n">
        <f aca="false">INDEX($F208:$J208,IF(4&lt;$E208,4,4+1))</f>
        <v>16.1</v>
      </c>
      <c r="T208" s="0" t="n">
        <f aca="false">INDEX($K208:$O208,IF(1&lt;$E208,1,1+1))</f>
        <v>17.0747984599</v>
      </c>
      <c r="U208" s="0" t="n">
        <f aca="false">INDEX($K208:$O208,IF(2&lt;$E208,2,2+1))</f>
        <v>6.46610370004</v>
      </c>
      <c r="V208" s="0" t="n">
        <f aca="false">INDEX($K208:$O208,IF(3&lt;$E208,3,3+1))</f>
        <v>31.4894497953</v>
      </c>
      <c r="W208" s="0" t="n">
        <f aca="false">INDEX($K208:$O208,IF(4&lt;$E208,4,4+1))</f>
        <v>23.0356538756</v>
      </c>
      <c r="X208" s="0" t="n">
        <f aca="false">1+COUNTIF($P208:$S208,"&gt;"&amp;$P208)+(COUNTIF($P208:$S208,$P208)-1)/2</f>
        <v>1</v>
      </c>
      <c r="Y208" s="0" t="n">
        <f aca="false">1+COUNTIF($P208:$S208,"&gt;"&amp;$Q208)+(COUNTIF($P208:$S208,$Q208)-1)/2</f>
        <v>4</v>
      </c>
      <c r="Z208" s="0" t="n">
        <f aca="false">1+COUNTIF($P208:$S208,"&gt;"&amp;$R208)+(COUNTIF($P208:$S208,$R208)-1)/2</f>
        <v>2</v>
      </c>
      <c r="AA208" s="0" t="n">
        <f aca="false">1+COUNTIF($P208:$S208,"&gt;"&amp;$S208)+(COUNTIF($P208:$S208,$S208)-1)/2</f>
        <v>3</v>
      </c>
      <c r="AB208" s="0" t="n">
        <f aca="false">1+COUNTIF($T208:$W208,"&gt;"&amp;$T208)+(COUNTIF($T208:$W208,$T208)-1)/2</f>
        <v>3</v>
      </c>
      <c r="AC208" s="0" t="n">
        <f aca="false">1+COUNTIF($T208:$W208,"&gt;"&amp;$U208)+(COUNTIF($T208:$W208,$U208)-1)/2</f>
        <v>4</v>
      </c>
      <c r="AD208" s="0" t="n">
        <f aca="false">1+COUNTIF($T208:$W208,"&gt;"&amp;$V208)+(COUNTIF($T208:$W208,$V208)-1)/2</f>
        <v>1</v>
      </c>
      <c r="AE208" s="0" t="n">
        <f aca="false">1+COUNTIF($T208:$W208,"&gt;"&amp;$W208)+(COUNTIF($T208:$W208,$W208)-1)/2</f>
        <v>2</v>
      </c>
      <c r="AF208" s="0" t="n">
        <f aca="false">IFERROR(CORREL($P208:$S208,$T208:$W208),"")</f>
        <v>0.35374575005206</v>
      </c>
      <c r="AG208" s="0" t="n">
        <f aca="false">IFERROR(CORREL($X208:$AA208,$AB208:$AE208),"")</f>
        <v>0.4</v>
      </c>
      <c r="AH208" s="0" t="n">
        <f aca="false">IFERROR((SIGN($P208-$Q208)*SIGN($T208-$U208)+SIGN($P208-$R208)*SIGN($T208-$V208)+SIGN($P208-$S208)*SIGN($T208-$W208)+SIGN($Q208-$R208)*SIGN($U208-$V208)+SIGN($Q208-$S208)*SIGN($U208-$W208)+SIGN($R208-$S208)*SIGN($V208-$W208))/SQRT((6-(($P208=$Q208)*1+($P208=$R208)*1+($P208=$S208)*1+($Q208=$R208)*1+($Q208=$S208)*1+($R208=$S208)*1))*(6-(($T208=$U208)*1+($T208=$V208)*1+($T208=$W208)*1+($U208=$V208)*1+($U208=$W208)*1+($V208=$W208)*1))),"")</f>
        <v>0.333333333333333</v>
      </c>
      <c r="AI208" s="0" t="n">
        <f aca="false">MATCH(MAX($K208:$O208),$K208:$O208,0)</f>
        <v>3</v>
      </c>
      <c r="AJ208" s="0" t="n">
        <f aca="false">IF(AI208&lt;&gt;$E208,1,0)</f>
        <v>1</v>
      </c>
      <c r="AK208" s="0" t="n">
        <f aca="false">IF(AJ208=1,INDEX($F208:$J208,AI208)/MAX($P208:$S208),"")</f>
        <v>0.821782178217822</v>
      </c>
      <c r="AL208" s="0" t="n">
        <f aca="false">IF(AJ208=1,1+COUNTIF($P208:$S208,"&gt;"&amp;INDEX($F208:$J208,AI208)),"")</f>
        <v>2</v>
      </c>
      <c r="AM208" s="0" t="n">
        <f aca="false">AVERAGE($P208:$S208)/MAX($P208:$S208)</f>
        <v>0.820544554455446</v>
      </c>
      <c r="AN208" s="0" t="n">
        <f aca="false">100-INDEX($F208:$J208,$E208)</f>
        <v>75</v>
      </c>
    </row>
    <row r="209" customFormat="false" ht="15" hidden="false" customHeight="false" outlineLevel="0" collapsed="false">
      <c r="A209" s="0" t="s">
        <v>40</v>
      </c>
      <c r="B209" s="0" t="n">
        <v>2018</v>
      </c>
      <c r="C209" s="0" t="s">
        <v>49</v>
      </c>
      <c r="D209" s="0" t="s">
        <v>42</v>
      </c>
      <c r="E209" s="0" t="n">
        <v>1</v>
      </c>
      <c r="F209" s="0" t="n">
        <v>53.9</v>
      </c>
      <c r="G209" s="0" t="n">
        <v>8.4</v>
      </c>
      <c r="H209" s="0" t="n">
        <v>7.4</v>
      </c>
      <c r="I209" s="0" t="n">
        <v>11.2</v>
      </c>
      <c r="J209" s="0" t="n">
        <v>15.6</v>
      </c>
      <c r="K209" s="0" t="n">
        <v>48.6384179979</v>
      </c>
      <c r="L209" s="0" t="n">
        <v>16.4375616437</v>
      </c>
      <c r="M209" s="0" t="n">
        <v>3.88314182372</v>
      </c>
      <c r="N209" s="0" t="n">
        <v>20.179582196</v>
      </c>
      <c r="O209" s="0" t="n">
        <v>10.8612963386</v>
      </c>
      <c r="P209" s="0" t="n">
        <f aca="false">INDEX($F209:$J209,IF(1&lt;$E209,1,1+1))</f>
        <v>8.4</v>
      </c>
      <c r="Q209" s="0" t="n">
        <f aca="false">INDEX($F209:$J209,IF(2&lt;$E209,2,2+1))</f>
        <v>7.4</v>
      </c>
      <c r="R209" s="0" t="n">
        <f aca="false">INDEX($F209:$J209,IF(3&lt;$E209,3,3+1))</f>
        <v>11.2</v>
      </c>
      <c r="S209" s="0" t="n">
        <f aca="false">INDEX($F209:$J209,IF(4&lt;$E209,4,4+1))</f>
        <v>15.6</v>
      </c>
      <c r="T209" s="0" t="n">
        <f aca="false">INDEX($K209:$O209,IF(1&lt;$E209,1,1+1))</f>
        <v>16.4375616437</v>
      </c>
      <c r="U209" s="0" t="n">
        <f aca="false">INDEX($K209:$O209,IF(2&lt;$E209,2,2+1))</f>
        <v>3.88314182372</v>
      </c>
      <c r="V209" s="0" t="n">
        <f aca="false">INDEX($K209:$O209,IF(3&lt;$E209,3,3+1))</f>
        <v>20.179582196</v>
      </c>
      <c r="W209" s="0" t="n">
        <f aca="false">INDEX($K209:$O209,IF(4&lt;$E209,4,4+1))</f>
        <v>10.8612963386</v>
      </c>
      <c r="X209" s="0" t="n">
        <f aca="false">1+COUNTIF($P209:$S209,"&gt;"&amp;$P209)+(COUNTIF($P209:$S209,$P209)-1)/2</f>
        <v>3</v>
      </c>
      <c r="Y209" s="0" t="n">
        <f aca="false">1+COUNTIF($P209:$S209,"&gt;"&amp;$Q209)+(COUNTIF($P209:$S209,$Q209)-1)/2</f>
        <v>4</v>
      </c>
      <c r="Z209" s="0" t="n">
        <f aca="false">1+COUNTIF($P209:$S209,"&gt;"&amp;$R209)+(COUNTIF($P209:$S209,$R209)-1)/2</f>
        <v>2</v>
      </c>
      <c r="AA209" s="0" t="n">
        <f aca="false">1+COUNTIF($P209:$S209,"&gt;"&amp;$S209)+(COUNTIF($P209:$S209,$S209)-1)/2</f>
        <v>1</v>
      </c>
      <c r="AB209" s="0" t="n">
        <f aca="false">1+COUNTIF($T209:$W209,"&gt;"&amp;$T209)+(COUNTIF($T209:$W209,$T209)-1)/2</f>
        <v>2</v>
      </c>
      <c r="AC209" s="0" t="n">
        <f aca="false">1+COUNTIF($T209:$W209,"&gt;"&amp;$U209)+(COUNTIF($T209:$W209,$U209)-1)/2</f>
        <v>4</v>
      </c>
      <c r="AD209" s="0" t="n">
        <f aca="false">1+COUNTIF($T209:$W209,"&gt;"&amp;$V209)+(COUNTIF($T209:$W209,$V209)-1)/2</f>
        <v>1</v>
      </c>
      <c r="AE209" s="0" t="n">
        <f aca="false">1+COUNTIF($T209:$W209,"&gt;"&amp;$W209)+(COUNTIF($T209:$W209,$W209)-1)/2</f>
        <v>3</v>
      </c>
      <c r="AF209" s="0" t="n">
        <f aca="false">IFERROR(CORREL($P209:$S209,$T209:$W209),"")</f>
        <v>0.19530362089625</v>
      </c>
      <c r="AG209" s="0" t="n">
        <f aca="false">IFERROR(CORREL($X209:$AA209,$AB209:$AE209),"")</f>
        <v>0.4</v>
      </c>
      <c r="AH209" s="0" t="n">
        <f aca="false">IFERROR((SIGN($P209-$Q209)*SIGN($T209-$U209)+SIGN($P209-$R209)*SIGN($T209-$V209)+SIGN($P209-$S209)*SIGN($T209-$W209)+SIGN($Q209-$R209)*SIGN($U209-$V209)+SIGN($Q209-$S209)*SIGN($U209-$W209)+SIGN($R209-$S209)*SIGN($V209-$W209))/SQRT((6-(($P209=$Q209)*1+($P209=$R209)*1+($P209=$S209)*1+($Q209=$R209)*1+($Q209=$S209)*1+($R209=$S209)*1))*(6-(($T209=$U209)*1+($T209=$V209)*1+($T209=$W209)*1+($U209=$V209)*1+($U209=$W209)*1+($V209=$W209)*1))),"")</f>
        <v>0.333333333333333</v>
      </c>
      <c r="AI209" s="0" t="n">
        <f aca="false">MATCH(MAX($K209:$O209),$K209:$O209,0)</f>
        <v>1</v>
      </c>
      <c r="AJ209" s="0" t="n">
        <f aca="false">IF(AI209&lt;&gt;$E209,1,0)</f>
        <v>0</v>
      </c>
      <c r="AK209" s="0" t="str">
        <f aca="false">IF(AJ209=1,INDEX($F209:$J209,AI209)/MAX($P209:$S209),"")</f>
        <v/>
      </c>
      <c r="AL209" s="0" t="str">
        <f aca="false">IF(AJ209=1,1+COUNTIF($P209:$S209,"&gt;"&amp;INDEX($F209:$J209,AI209)),"")</f>
        <v/>
      </c>
      <c r="AM209" s="0" t="n">
        <f aca="false">AVERAGE($P209:$S209)/MAX($P209:$S209)</f>
        <v>0.682692307692308</v>
      </c>
      <c r="AN209" s="0" t="n">
        <f aca="false">100-INDEX($F209:$J209,$E209)</f>
        <v>46.1</v>
      </c>
    </row>
    <row r="210" customFormat="false" ht="15" hidden="false" customHeight="false" outlineLevel="0" collapsed="false">
      <c r="A210" s="0" t="s">
        <v>40</v>
      </c>
      <c r="B210" s="0" t="n">
        <v>2018</v>
      </c>
      <c r="C210" s="0" t="s">
        <v>49</v>
      </c>
      <c r="D210" s="0" t="s">
        <v>43</v>
      </c>
      <c r="E210" s="0" t="n">
        <v>1</v>
      </c>
      <c r="F210" s="0" t="n">
        <v>38</v>
      </c>
      <c r="G210" s="0" t="n">
        <v>19</v>
      </c>
      <c r="H210" s="0" t="n">
        <v>13.2</v>
      </c>
      <c r="I210" s="0" t="n">
        <v>20.9</v>
      </c>
      <c r="J210" s="0" t="n">
        <v>5.3</v>
      </c>
      <c r="K210" s="0" t="n">
        <v>53.4428813797</v>
      </c>
      <c r="L210" s="0" t="n">
        <v>25.3045670906</v>
      </c>
      <c r="M210" s="0" t="n">
        <v>14.5851254273</v>
      </c>
      <c r="N210" s="0" t="n">
        <v>2.92538374786</v>
      </c>
      <c r="O210" s="0" t="n">
        <v>3.74204235448</v>
      </c>
      <c r="P210" s="0" t="n">
        <f aca="false">INDEX($F210:$J210,IF(1&lt;$E210,1,1+1))</f>
        <v>19</v>
      </c>
      <c r="Q210" s="0" t="n">
        <f aca="false">INDEX($F210:$J210,IF(2&lt;$E210,2,2+1))</f>
        <v>13.2</v>
      </c>
      <c r="R210" s="0" t="n">
        <f aca="false">INDEX($F210:$J210,IF(3&lt;$E210,3,3+1))</f>
        <v>20.9</v>
      </c>
      <c r="S210" s="0" t="n">
        <f aca="false">INDEX($F210:$J210,IF(4&lt;$E210,4,4+1))</f>
        <v>5.3</v>
      </c>
      <c r="T210" s="0" t="n">
        <f aca="false">INDEX($K210:$O210,IF(1&lt;$E210,1,1+1))</f>
        <v>25.3045670906</v>
      </c>
      <c r="U210" s="0" t="n">
        <f aca="false">INDEX($K210:$O210,IF(2&lt;$E210,2,2+1))</f>
        <v>14.5851254273</v>
      </c>
      <c r="V210" s="0" t="n">
        <f aca="false">INDEX($K210:$O210,IF(3&lt;$E210,3,3+1))</f>
        <v>2.92538374786</v>
      </c>
      <c r="W210" s="0" t="n">
        <f aca="false">INDEX($K210:$O210,IF(4&lt;$E210,4,4+1))</f>
        <v>3.74204235448</v>
      </c>
      <c r="X210" s="0" t="n">
        <f aca="false">1+COUNTIF($P210:$S210,"&gt;"&amp;$P210)+(COUNTIF($P210:$S210,$P210)-1)/2</f>
        <v>2</v>
      </c>
      <c r="Y210" s="0" t="n">
        <f aca="false">1+COUNTIF($P210:$S210,"&gt;"&amp;$Q210)+(COUNTIF($P210:$S210,$Q210)-1)/2</f>
        <v>3</v>
      </c>
      <c r="Z210" s="0" t="n">
        <f aca="false">1+COUNTIF($P210:$S210,"&gt;"&amp;$R210)+(COUNTIF($P210:$S210,$R210)-1)/2</f>
        <v>1</v>
      </c>
      <c r="AA210" s="0" t="n">
        <f aca="false">1+COUNTIF($P210:$S210,"&gt;"&amp;$S210)+(COUNTIF($P210:$S210,$S210)-1)/2</f>
        <v>4</v>
      </c>
      <c r="AB210" s="0" t="n">
        <f aca="false">1+COUNTIF($T210:$W210,"&gt;"&amp;$T210)+(COUNTIF($T210:$W210,$T210)-1)/2</f>
        <v>1</v>
      </c>
      <c r="AC210" s="0" t="n">
        <f aca="false">1+COUNTIF($T210:$W210,"&gt;"&amp;$U210)+(COUNTIF($T210:$W210,$U210)-1)/2</f>
        <v>2</v>
      </c>
      <c r="AD210" s="0" t="n">
        <f aca="false">1+COUNTIF($T210:$W210,"&gt;"&amp;$V210)+(COUNTIF($T210:$W210,$V210)-1)/2</f>
        <v>4</v>
      </c>
      <c r="AE210" s="0" t="n">
        <f aca="false">1+COUNTIF($T210:$W210,"&gt;"&amp;$W210)+(COUNTIF($T210:$W210,$W210)-1)/2</f>
        <v>3</v>
      </c>
      <c r="AF210" s="0" t="n">
        <f aca="false">IFERROR(CORREL($P210:$S210,$T210:$W210),"")</f>
        <v>0.336017527927304</v>
      </c>
      <c r="AG210" s="0" t="n">
        <f aca="false">IFERROR(CORREL($X210:$AA210,$AB210:$AE210),"")</f>
        <v>-0.2</v>
      </c>
      <c r="AH210" s="0" t="n">
        <f aca="false">IFERROR((SIGN($P210-$Q210)*SIGN($T210-$U210)+SIGN($P210-$R210)*SIGN($T210-$V210)+SIGN($P210-$S210)*SIGN($T210-$W210)+SIGN($Q210-$R210)*SIGN($U210-$V210)+SIGN($Q210-$S210)*SIGN($U210-$W210)+SIGN($R210-$S210)*SIGN($V210-$W210))/SQRT((6-(($P210=$Q210)*1+($P210=$R210)*1+($P210=$S210)*1+($Q210=$R210)*1+($Q210=$S210)*1+($R210=$S210)*1))*(6-(($T210=$U210)*1+($T210=$V210)*1+($T210=$W210)*1+($U210=$V210)*1+($U210=$W210)*1+($V210=$W210)*1))),"")</f>
        <v>0</v>
      </c>
      <c r="AI210" s="0" t="n">
        <f aca="false">MATCH(MAX($K210:$O210),$K210:$O210,0)</f>
        <v>1</v>
      </c>
      <c r="AJ210" s="0" t="n">
        <f aca="false">IF(AI210&lt;&gt;$E210,1,0)</f>
        <v>0</v>
      </c>
      <c r="AK210" s="0" t="str">
        <f aca="false">IF(AJ210=1,INDEX($F210:$J210,AI210)/MAX($P210:$S210),"")</f>
        <v/>
      </c>
      <c r="AL210" s="0" t="str">
        <f aca="false">IF(AJ210=1,1+COUNTIF($P210:$S210,"&gt;"&amp;INDEX($F210:$J210,AI210)),"")</f>
        <v/>
      </c>
      <c r="AM210" s="0" t="n">
        <f aca="false">AVERAGE($P210:$S210)/MAX($P210:$S210)</f>
        <v>0.698564593301435</v>
      </c>
      <c r="AN210" s="0" t="n">
        <f aca="false">100-INDEX($F210:$J210,$E210)</f>
        <v>62</v>
      </c>
    </row>
    <row r="211" customFormat="false" ht="15" hidden="false" customHeight="false" outlineLevel="0" collapsed="false">
      <c r="A211" s="0" t="s">
        <v>40</v>
      </c>
      <c r="B211" s="0" t="n">
        <v>2018</v>
      </c>
      <c r="C211" s="0" t="s">
        <v>49</v>
      </c>
      <c r="D211" s="0" t="s">
        <v>44</v>
      </c>
      <c r="E211" s="0" t="n">
        <v>4</v>
      </c>
      <c r="F211" s="0" t="n">
        <v>10.2</v>
      </c>
      <c r="G211" s="0" t="n">
        <v>16.3</v>
      </c>
      <c r="H211" s="0" t="n">
        <v>13.7</v>
      </c>
      <c r="I211" s="0" t="n">
        <v>43.4</v>
      </c>
      <c r="J211" s="0" t="n">
        <v>12.8</v>
      </c>
      <c r="K211" s="0" t="n">
        <v>8.8046523266</v>
      </c>
      <c r="L211" s="0" t="n">
        <v>10.7232181743</v>
      </c>
      <c r="M211" s="0" t="n">
        <v>7.20633658394</v>
      </c>
      <c r="N211" s="0" t="n">
        <v>36.6912979826</v>
      </c>
      <c r="O211" s="0" t="n">
        <v>36.5744949326</v>
      </c>
      <c r="P211" s="0" t="n">
        <f aca="false">INDEX($F211:$J211,IF(1&lt;$E211,1,1+1))</f>
        <v>10.2</v>
      </c>
      <c r="Q211" s="0" t="n">
        <f aca="false">INDEX($F211:$J211,IF(2&lt;$E211,2,2+1))</f>
        <v>16.3</v>
      </c>
      <c r="R211" s="0" t="n">
        <f aca="false">INDEX($F211:$J211,IF(3&lt;$E211,3,3+1))</f>
        <v>13.7</v>
      </c>
      <c r="S211" s="0" t="n">
        <f aca="false">INDEX($F211:$J211,IF(4&lt;$E211,4,4+1))</f>
        <v>12.8</v>
      </c>
      <c r="T211" s="0" t="n">
        <f aca="false">INDEX($K211:$O211,IF(1&lt;$E211,1,1+1))</f>
        <v>8.8046523266</v>
      </c>
      <c r="U211" s="0" t="n">
        <f aca="false">INDEX($K211:$O211,IF(2&lt;$E211,2,2+1))</f>
        <v>10.7232181743</v>
      </c>
      <c r="V211" s="0" t="n">
        <f aca="false">INDEX($K211:$O211,IF(3&lt;$E211,3,3+1))</f>
        <v>7.20633658394</v>
      </c>
      <c r="W211" s="0" t="n">
        <f aca="false">INDEX($K211:$O211,IF(4&lt;$E211,4,4+1))</f>
        <v>36.5744949326</v>
      </c>
      <c r="X211" s="0" t="n">
        <f aca="false">1+COUNTIF($P211:$S211,"&gt;"&amp;$P211)+(COUNTIF($P211:$S211,$P211)-1)/2</f>
        <v>4</v>
      </c>
      <c r="Y211" s="0" t="n">
        <f aca="false">1+COUNTIF($P211:$S211,"&gt;"&amp;$Q211)+(COUNTIF($P211:$S211,$Q211)-1)/2</f>
        <v>1</v>
      </c>
      <c r="Z211" s="0" t="n">
        <f aca="false">1+COUNTIF($P211:$S211,"&gt;"&amp;$R211)+(COUNTIF($P211:$S211,$R211)-1)/2</f>
        <v>2</v>
      </c>
      <c r="AA211" s="0" t="n">
        <f aca="false">1+COUNTIF($P211:$S211,"&gt;"&amp;$S211)+(COUNTIF($P211:$S211,$S211)-1)/2</f>
        <v>3</v>
      </c>
      <c r="AB211" s="0" t="n">
        <f aca="false">1+COUNTIF($T211:$W211,"&gt;"&amp;$T211)+(COUNTIF($T211:$W211,$T211)-1)/2</f>
        <v>3</v>
      </c>
      <c r="AC211" s="0" t="n">
        <f aca="false">1+COUNTIF($T211:$W211,"&gt;"&amp;$U211)+(COUNTIF($T211:$W211,$U211)-1)/2</f>
        <v>2</v>
      </c>
      <c r="AD211" s="0" t="n">
        <f aca="false">1+COUNTIF($T211:$W211,"&gt;"&amp;$V211)+(COUNTIF($T211:$W211,$V211)-1)/2</f>
        <v>4</v>
      </c>
      <c r="AE211" s="0" t="n">
        <f aca="false">1+COUNTIF($T211:$W211,"&gt;"&amp;$W211)+(COUNTIF($T211:$W211,$W211)-1)/2</f>
        <v>1</v>
      </c>
      <c r="AF211" s="0" t="n">
        <f aca="false">IFERROR(CORREL($P211:$S211,$T211:$W211),"")</f>
        <v>-0.0701229801758191</v>
      </c>
      <c r="AG211" s="0" t="n">
        <f aca="false">IFERROR(CORREL($X211:$AA211,$AB211:$AE211),"")</f>
        <v>0</v>
      </c>
      <c r="AH211" s="0" t="n">
        <f aca="false">IFERROR((SIGN($P211-$Q211)*SIGN($T211-$U211)+SIGN($P211-$R211)*SIGN($T211-$V211)+SIGN($P211-$S211)*SIGN($T211-$W211)+SIGN($Q211-$R211)*SIGN($U211-$V211)+SIGN($Q211-$S211)*SIGN($U211-$W211)+SIGN($R211-$S211)*SIGN($V211-$W211))/SQRT((6-(($P211=$Q211)*1+($P211=$R211)*1+($P211=$S211)*1+($Q211=$R211)*1+($Q211=$S211)*1+($R211=$S211)*1))*(6-(($T211=$U211)*1+($T211=$V211)*1+($T211=$W211)*1+($U211=$V211)*1+($U211=$W211)*1+($V211=$W211)*1))),"")</f>
        <v>0</v>
      </c>
      <c r="AI211" s="0" t="n">
        <f aca="false">MATCH(MAX($K211:$O211),$K211:$O211,0)</f>
        <v>4</v>
      </c>
      <c r="AJ211" s="0" t="n">
        <f aca="false">IF(AI211&lt;&gt;$E211,1,0)</f>
        <v>0</v>
      </c>
      <c r="AK211" s="0" t="str">
        <f aca="false">IF(AJ211=1,INDEX($F211:$J211,AI211)/MAX($P211:$S211),"")</f>
        <v/>
      </c>
      <c r="AL211" s="0" t="str">
        <f aca="false">IF(AJ211=1,1+COUNTIF($P211:$S211,"&gt;"&amp;INDEX($F211:$J211,AI211)),"")</f>
        <v/>
      </c>
      <c r="AM211" s="0" t="n">
        <f aca="false">AVERAGE($P211:$S211)/MAX($P211:$S211)</f>
        <v>0.812883435582822</v>
      </c>
      <c r="AN211" s="0" t="n">
        <f aca="false">100-INDEX($F211:$J211,$E211)</f>
        <v>56.6</v>
      </c>
    </row>
    <row r="212" customFormat="false" ht="15" hidden="false" customHeight="false" outlineLevel="0" collapsed="false">
      <c r="A212" s="0" t="s">
        <v>40</v>
      </c>
      <c r="B212" s="0" t="n">
        <v>2018</v>
      </c>
      <c r="C212" s="0" t="s">
        <v>49</v>
      </c>
      <c r="D212" s="0" t="s">
        <v>45</v>
      </c>
      <c r="E212" s="0" t="n">
        <v>2</v>
      </c>
      <c r="F212" s="0" t="n">
        <v>11.9</v>
      </c>
      <c r="G212" s="0" t="n">
        <v>39.4</v>
      </c>
      <c r="H212" s="0" t="n">
        <v>15.2</v>
      </c>
      <c r="I212" s="0" t="n">
        <v>22.4</v>
      </c>
      <c r="J212" s="0" t="n">
        <v>7.5</v>
      </c>
      <c r="K212" s="0" t="n">
        <v>4.77154088045</v>
      </c>
      <c r="L212" s="0" t="n">
        <v>55.9224333555</v>
      </c>
      <c r="M212" s="0" t="n">
        <v>7.02430375362</v>
      </c>
      <c r="N212" s="0" t="n">
        <v>29.1445704426</v>
      </c>
      <c r="O212" s="0" t="n">
        <v>3.13715156788</v>
      </c>
      <c r="P212" s="0" t="n">
        <f aca="false">INDEX($F212:$J212,IF(1&lt;$E212,1,1+1))</f>
        <v>11.9</v>
      </c>
      <c r="Q212" s="0" t="n">
        <f aca="false">INDEX($F212:$J212,IF(2&lt;$E212,2,2+1))</f>
        <v>15.2</v>
      </c>
      <c r="R212" s="0" t="n">
        <f aca="false">INDEX($F212:$J212,IF(3&lt;$E212,3,3+1))</f>
        <v>22.4</v>
      </c>
      <c r="S212" s="0" t="n">
        <f aca="false">INDEX($F212:$J212,IF(4&lt;$E212,4,4+1))</f>
        <v>7.5</v>
      </c>
      <c r="T212" s="0" t="n">
        <f aca="false">INDEX($K212:$O212,IF(1&lt;$E212,1,1+1))</f>
        <v>4.77154088045</v>
      </c>
      <c r="U212" s="0" t="n">
        <f aca="false">INDEX($K212:$O212,IF(2&lt;$E212,2,2+1))</f>
        <v>7.02430375362</v>
      </c>
      <c r="V212" s="0" t="n">
        <f aca="false">INDEX($K212:$O212,IF(3&lt;$E212,3,3+1))</f>
        <v>29.1445704426</v>
      </c>
      <c r="W212" s="0" t="n">
        <f aca="false">INDEX($K212:$O212,IF(4&lt;$E212,4,4+1))</f>
        <v>3.13715156788</v>
      </c>
      <c r="X212" s="0" t="n">
        <f aca="false">1+COUNTIF($P212:$S212,"&gt;"&amp;$P212)+(COUNTIF($P212:$S212,$P212)-1)/2</f>
        <v>3</v>
      </c>
      <c r="Y212" s="0" t="n">
        <f aca="false">1+COUNTIF($P212:$S212,"&gt;"&amp;$Q212)+(COUNTIF($P212:$S212,$Q212)-1)/2</f>
        <v>2</v>
      </c>
      <c r="Z212" s="0" t="n">
        <f aca="false">1+COUNTIF($P212:$S212,"&gt;"&amp;$R212)+(COUNTIF($P212:$S212,$R212)-1)/2</f>
        <v>1</v>
      </c>
      <c r="AA212" s="0" t="n">
        <f aca="false">1+COUNTIF($P212:$S212,"&gt;"&amp;$S212)+(COUNTIF($P212:$S212,$S212)-1)/2</f>
        <v>4</v>
      </c>
      <c r="AB212" s="0" t="n">
        <f aca="false">1+COUNTIF($T212:$W212,"&gt;"&amp;$T212)+(COUNTIF($T212:$W212,$T212)-1)/2</f>
        <v>3</v>
      </c>
      <c r="AC212" s="0" t="n">
        <f aca="false">1+COUNTIF($T212:$W212,"&gt;"&amp;$U212)+(COUNTIF($T212:$W212,$U212)-1)/2</f>
        <v>2</v>
      </c>
      <c r="AD212" s="0" t="n">
        <f aca="false">1+COUNTIF($T212:$W212,"&gt;"&amp;$V212)+(COUNTIF($T212:$W212,$V212)-1)/2</f>
        <v>1</v>
      </c>
      <c r="AE212" s="0" t="n">
        <f aca="false">1+COUNTIF($T212:$W212,"&gt;"&amp;$W212)+(COUNTIF($T212:$W212,$W212)-1)/2</f>
        <v>4</v>
      </c>
      <c r="AF212" s="0" t="n">
        <f aca="false">IFERROR(CORREL($P212:$S212,$T212:$W212),"")</f>
        <v>0.922064306166771</v>
      </c>
      <c r="AG212" s="0" t="n">
        <f aca="false">IFERROR(CORREL($X212:$AA212,$AB212:$AE212),"")</f>
        <v>1</v>
      </c>
      <c r="AH212" s="0" t="n">
        <f aca="false">IFERROR((SIGN($P212-$Q212)*SIGN($T212-$U212)+SIGN($P212-$R212)*SIGN($T212-$V212)+SIGN($P212-$S212)*SIGN($T212-$W212)+SIGN($Q212-$R212)*SIGN($U212-$V212)+SIGN($Q212-$S212)*SIGN($U212-$W212)+SIGN($R212-$S212)*SIGN($V212-$W212))/SQRT((6-(($P212=$Q212)*1+($P212=$R212)*1+($P212=$S212)*1+($Q212=$R212)*1+($Q212=$S212)*1+($R212=$S212)*1))*(6-(($T212=$U212)*1+($T212=$V212)*1+($T212=$W212)*1+($U212=$V212)*1+($U212=$W212)*1+($V212=$W212)*1))),"")</f>
        <v>1</v>
      </c>
      <c r="AI212" s="0" t="n">
        <f aca="false">MATCH(MAX($K212:$O212),$K212:$O212,0)</f>
        <v>2</v>
      </c>
      <c r="AJ212" s="0" t="n">
        <f aca="false">IF(AI212&lt;&gt;$E212,1,0)</f>
        <v>0</v>
      </c>
      <c r="AK212" s="0" t="str">
        <f aca="false">IF(AJ212=1,INDEX($F212:$J212,AI212)/MAX($P212:$S212),"")</f>
        <v/>
      </c>
      <c r="AL212" s="0" t="str">
        <f aca="false">IF(AJ212=1,1+COUNTIF($P212:$S212,"&gt;"&amp;INDEX($F212:$J212,AI212)),"")</f>
        <v/>
      </c>
      <c r="AM212" s="0" t="n">
        <f aca="false">AVERAGE($P212:$S212)/MAX($P212:$S212)</f>
        <v>0.636160714285714</v>
      </c>
      <c r="AN212" s="0" t="n">
        <f aca="false">100-INDEX($F212:$J212,$E212)</f>
        <v>60.6</v>
      </c>
    </row>
    <row r="213" customFormat="false" ht="15" hidden="false" customHeight="false" outlineLevel="0" collapsed="false">
      <c r="A213" s="0" t="s">
        <v>40</v>
      </c>
      <c r="B213" s="0" t="n">
        <v>2018</v>
      </c>
      <c r="C213" s="0" t="s">
        <v>50</v>
      </c>
      <c r="D213" s="0" t="s">
        <v>42</v>
      </c>
      <c r="E213" s="0" t="n">
        <v>4</v>
      </c>
      <c r="F213" s="0" t="n">
        <v>21.1</v>
      </c>
      <c r="G213" s="0" t="n">
        <v>9.2</v>
      </c>
      <c r="H213" s="0" t="n">
        <v>19.7</v>
      </c>
      <c r="I213" s="0" t="n">
        <v>34.3</v>
      </c>
      <c r="J213" s="0" t="n">
        <v>6</v>
      </c>
      <c r="K213" s="0" t="n">
        <v>33.8249575614</v>
      </c>
      <c r="L213" s="0" t="n">
        <v>4.36722305701</v>
      </c>
      <c r="M213" s="0" t="n">
        <v>11.182851641</v>
      </c>
      <c r="N213" s="0" t="n">
        <v>42.6867440362</v>
      </c>
      <c r="O213" s="0" t="n">
        <v>7.93822370438</v>
      </c>
      <c r="P213" s="0" t="n">
        <f aca="false">INDEX($F213:$J213,IF(1&lt;$E213,1,1+1))</f>
        <v>21.1</v>
      </c>
      <c r="Q213" s="0" t="n">
        <f aca="false">INDEX($F213:$J213,IF(2&lt;$E213,2,2+1))</f>
        <v>9.2</v>
      </c>
      <c r="R213" s="0" t="n">
        <f aca="false">INDEX($F213:$J213,IF(3&lt;$E213,3,3+1))</f>
        <v>19.7</v>
      </c>
      <c r="S213" s="0" t="n">
        <f aca="false">INDEX($F213:$J213,IF(4&lt;$E213,4,4+1))</f>
        <v>6</v>
      </c>
      <c r="T213" s="0" t="n">
        <f aca="false">INDEX($K213:$O213,IF(1&lt;$E213,1,1+1))</f>
        <v>33.8249575614</v>
      </c>
      <c r="U213" s="0" t="n">
        <f aca="false">INDEX($K213:$O213,IF(2&lt;$E213,2,2+1))</f>
        <v>4.36722305701</v>
      </c>
      <c r="V213" s="0" t="n">
        <f aca="false">INDEX($K213:$O213,IF(3&lt;$E213,3,3+1))</f>
        <v>11.182851641</v>
      </c>
      <c r="W213" s="0" t="n">
        <f aca="false">INDEX($K213:$O213,IF(4&lt;$E213,4,4+1))</f>
        <v>7.93822370438</v>
      </c>
      <c r="X213" s="0" t="n">
        <f aca="false">1+COUNTIF($P213:$S213,"&gt;"&amp;$P213)+(COUNTIF($P213:$S213,$P213)-1)/2</f>
        <v>1</v>
      </c>
      <c r="Y213" s="0" t="n">
        <f aca="false">1+COUNTIF($P213:$S213,"&gt;"&amp;$Q213)+(COUNTIF($P213:$S213,$Q213)-1)/2</f>
        <v>3</v>
      </c>
      <c r="Z213" s="0" t="n">
        <f aca="false">1+COUNTIF($P213:$S213,"&gt;"&amp;$R213)+(COUNTIF($P213:$S213,$R213)-1)/2</f>
        <v>2</v>
      </c>
      <c r="AA213" s="0" t="n">
        <f aca="false">1+COUNTIF($P213:$S213,"&gt;"&amp;$S213)+(COUNTIF($P213:$S213,$S213)-1)/2</f>
        <v>4</v>
      </c>
      <c r="AB213" s="0" t="n">
        <f aca="false">1+COUNTIF($T213:$W213,"&gt;"&amp;$T213)+(COUNTIF($T213:$W213,$T213)-1)/2</f>
        <v>1</v>
      </c>
      <c r="AC213" s="0" t="n">
        <f aca="false">1+COUNTIF($T213:$W213,"&gt;"&amp;$U213)+(COUNTIF($T213:$W213,$U213)-1)/2</f>
        <v>4</v>
      </c>
      <c r="AD213" s="0" t="n">
        <f aca="false">1+COUNTIF($T213:$W213,"&gt;"&amp;$V213)+(COUNTIF($T213:$W213,$V213)-1)/2</f>
        <v>2</v>
      </c>
      <c r="AE213" s="0" t="n">
        <f aca="false">1+COUNTIF($T213:$W213,"&gt;"&amp;$W213)+(COUNTIF($T213:$W213,$W213)-1)/2</f>
        <v>3</v>
      </c>
      <c r="AF213" s="0" t="n">
        <f aca="false">IFERROR(CORREL($P213:$S213,$T213:$W213),"")</f>
        <v>0.731111642186371</v>
      </c>
      <c r="AG213" s="0" t="n">
        <f aca="false">IFERROR(CORREL($X213:$AA213,$AB213:$AE213),"")</f>
        <v>0.8</v>
      </c>
      <c r="AH213" s="0" t="n">
        <f aca="false">IFERROR((SIGN($P213-$Q213)*SIGN($T213-$U213)+SIGN($P213-$R213)*SIGN($T213-$V213)+SIGN($P213-$S213)*SIGN($T213-$W213)+SIGN($Q213-$R213)*SIGN($U213-$V213)+SIGN($Q213-$S213)*SIGN($U213-$W213)+SIGN($R213-$S213)*SIGN($V213-$W213))/SQRT((6-(($P213=$Q213)*1+($P213=$R213)*1+($P213=$S213)*1+($Q213=$R213)*1+($Q213=$S213)*1+($R213=$S213)*1))*(6-(($T213=$U213)*1+($T213=$V213)*1+($T213=$W213)*1+($U213=$V213)*1+($U213=$W213)*1+($V213=$W213)*1))),"")</f>
        <v>0.666666666666667</v>
      </c>
      <c r="AI213" s="0" t="n">
        <f aca="false">MATCH(MAX($K213:$O213),$K213:$O213,0)</f>
        <v>4</v>
      </c>
      <c r="AJ213" s="0" t="n">
        <f aca="false">IF(AI213&lt;&gt;$E213,1,0)</f>
        <v>0</v>
      </c>
      <c r="AK213" s="0" t="str">
        <f aca="false">IF(AJ213=1,INDEX($F213:$J213,AI213)/MAX($P213:$S213),"")</f>
        <v/>
      </c>
      <c r="AL213" s="0" t="str">
        <f aca="false">IF(AJ213=1,1+COUNTIF($P213:$S213,"&gt;"&amp;INDEX($F213:$J213,AI213)),"")</f>
        <v/>
      </c>
      <c r="AM213" s="0" t="n">
        <f aca="false">AVERAGE($P213:$S213)/MAX($P213:$S213)</f>
        <v>0.663507109004739</v>
      </c>
      <c r="AN213" s="0" t="n">
        <f aca="false">100-INDEX($F213:$J213,$E213)</f>
        <v>65.7</v>
      </c>
    </row>
    <row r="214" customFormat="false" ht="15" hidden="false" customHeight="false" outlineLevel="0" collapsed="false">
      <c r="A214" s="0" t="s">
        <v>40</v>
      </c>
      <c r="B214" s="0" t="n">
        <v>2018</v>
      </c>
      <c r="C214" s="0" t="s">
        <v>50</v>
      </c>
      <c r="D214" s="0" t="s">
        <v>43</v>
      </c>
      <c r="E214" s="0" t="n">
        <v>3</v>
      </c>
      <c r="F214" s="0" t="n">
        <v>10.3</v>
      </c>
      <c r="G214" s="0" t="n">
        <v>12.7</v>
      </c>
      <c r="H214" s="0" t="n">
        <v>44.3</v>
      </c>
      <c r="I214" s="0" t="n">
        <v>12.5</v>
      </c>
      <c r="J214" s="0" t="n">
        <v>10.2</v>
      </c>
      <c r="K214" s="0" t="n">
        <v>6.84921732517</v>
      </c>
      <c r="L214" s="0" t="n">
        <v>54.4567559783</v>
      </c>
      <c r="M214" s="0" t="n">
        <v>21.7484267573</v>
      </c>
      <c r="N214" s="0" t="n">
        <v>10.2484877429</v>
      </c>
      <c r="O214" s="0" t="n">
        <v>6.69711219624</v>
      </c>
      <c r="P214" s="0" t="n">
        <f aca="false">INDEX($F214:$J214,IF(1&lt;$E214,1,1+1))</f>
        <v>10.3</v>
      </c>
      <c r="Q214" s="0" t="n">
        <f aca="false">INDEX($F214:$J214,IF(2&lt;$E214,2,2+1))</f>
        <v>12.7</v>
      </c>
      <c r="R214" s="0" t="n">
        <f aca="false">INDEX($F214:$J214,IF(3&lt;$E214,3,3+1))</f>
        <v>12.5</v>
      </c>
      <c r="S214" s="0" t="n">
        <f aca="false">INDEX($F214:$J214,IF(4&lt;$E214,4,4+1))</f>
        <v>10.2</v>
      </c>
      <c r="T214" s="0" t="n">
        <f aca="false">INDEX($K214:$O214,IF(1&lt;$E214,1,1+1))</f>
        <v>6.84921732517</v>
      </c>
      <c r="U214" s="0" t="n">
        <f aca="false">INDEX($K214:$O214,IF(2&lt;$E214,2,2+1))</f>
        <v>54.4567559783</v>
      </c>
      <c r="V214" s="0" t="n">
        <f aca="false">INDEX($K214:$O214,IF(3&lt;$E214,3,3+1))</f>
        <v>10.2484877429</v>
      </c>
      <c r="W214" s="0" t="n">
        <f aca="false">INDEX($K214:$O214,IF(4&lt;$E214,4,4+1))</f>
        <v>6.69711219624</v>
      </c>
      <c r="X214" s="0" t="n">
        <f aca="false">1+COUNTIF($P214:$S214,"&gt;"&amp;$P214)+(COUNTIF($P214:$S214,$P214)-1)/2</f>
        <v>3</v>
      </c>
      <c r="Y214" s="0" t="n">
        <f aca="false">1+COUNTIF($P214:$S214,"&gt;"&amp;$Q214)+(COUNTIF($P214:$S214,$Q214)-1)/2</f>
        <v>1</v>
      </c>
      <c r="Z214" s="0" t="n">
        <f aca="false">1+COUNTIF($P214:$S214,"&gt;"&amp;$R214)+(COUNTIF($P214:$S214,$R214)-1)/2</f>
        <v>2</v>
      </c>
      <c r="AA214" s="0" t="n">
        <f aca="false">1+COUNTIF($P214:$S214,"&gt;"&amp;$S214)+(COUNTIF($P214:$S214,$S214)-1)/2</f>
        <v>4</v>
      </c>
      <c r="AB214" s="0" t="n">
        <f aca="false">1+COUNTIF($T214:$W214,"&gt;"&amp;$T214)+(COUNTIF($T214:$W214,$T214)-1)/2</f>
        <v>3</v>
      </c>
      <c r="AC214" s="0" t="n">
        <f aca="false">1+COUNTIF($T214:$W214,"&gt;"&amp;$U214)+(COUNTIF($T214:$W214,$U214)-1)/2</f>
        <v>1</v>
      </c>
      <c r="AD214" s="0" t="n">
        <f aca="false">1+COUNTIF($T214:$W214,"&gt;"&amp;$V214)+(COUNTIF($T214:$W214,$V214)-1)/2</f>
        <v>2</v>
      </c>
      <c r="AE214" s="0" t="n">
        <f aca="false">1+COUNTIF($T214:$W214,"&gt;"&amp;$W214)+(COUNTIF($T214:$W214,$W214)-1)/2</f>
        <v>4</v>
      </c>
      <c r="AF214" s="0" t="n">
        <f aca="false">IFERROR(CORREL($P214:$S214,$T214:$W214),"")</f>
        <v>0.678401909389731</v>
      </c>
      <c r="AG214" s="0" t="n">
        <f aca="false">IFERROR(CORREL($X214:$AA214,$AB214:$AE214),"")</f>
        <v>1</v>
      </c>
      <c r="AH214" s="0" t="n">
        <f aca="false">IFERROR((SIGN($P214-$Q214)*SIGN($T214-$U214)+SIGN($P214-$R214)*SIGN($T214-$V214)+SIGN($P214-$S214)*SIGN($T214-$W214)+SIGN($Q214-$R214)*SIGN($U214-$V214)+SIGN($Q214-$S214)*SIGN($U214-$W214)+SIGN($R214-$S214)*SIGN($V214-$W214))/SQRT((6-(($P214=$Q214)*1+($P214=$R214)*1+($P214=$S214)*1+($Q214=$R214)*1+($Q214=$S214)*1+($R214=$S214)*1))*(6-(($T214=$U214)*1+($T214=$V214)*1+($T214=$W214)*1+($U214=$V214)*1+($U214=$W214)*1+($V214=$W214)*1))),"")</f>
        <v>1</v>
      </c>
      <c r="AI214" s="0" t="n">
        <f aca="false">MATCH(MAX($K214:$O214),$K214:$O214,0)</f>
        <v>2</v>
      </c>
      <c r="AJ214" s="0" t="n">
        <f aca="false">IF(AI214&lt;&gt;$E214,1,0)</f>
        <v>1</v>
      </c>
      <c r="AK214" s="0" t="n">
        <f aca="false">IF(AJ214=1,INDEX($F214:$J214,AI214)/MAX($P214:$S214),"")</f>
        <v>1</v>
      </c>
      <c r="AL214" s="0" t="n">
        <f aca="false">IF(AJ214=1,1+COUNTIF($P214:$S214,"&gt;"&amp;INDEX($F214:$J214,AI214)),"")</f>
        <v>1</v>
      </c>
      <c r="AM214" s="0" t="n">
        <f aca="false">AVERAGE($P214:$S214)/MAX($P214:$S214)</f>
        <v>0.899606299212599</v>
      </c>
      <c r="AN214" s="0" t="n">
        <f aca="false">100-INDEX($F214:$J214,$E214)</f>
        <v>55.7</v>
      </c>
    </row>
    <row r="215" customFormat="false" ht="15" hidden="false" customHeight="false" outlineLevel="0" collapsed="false">
      <c r="A215" s="0" t="s">
        <v>40</v>
      </c>
      <c r="B215" s="0" t="n">
        <v>2018</v>
      </c>
      <c r="C215" s="0" t="s">
        <v>50</v>
      </c>
      <c r="D215" s="0" t="s">
        <v>44</v>
      </c>
      <c r="E215" s="0" t="n">
        <v>2</v>
      </c>
      <c r="F215" s="0" t="n">
        <v>11.8</v>
      </c>
      <c r="G215" s="0" t="n">
        <v>25.4</v>
      </c>
      <c r="H215" s="0" t="n">
        <v>22</v>
      </c>
      <c r="I215" s="0" t="n">
        <v>22.9</v>
      </c>
      <c r="J215" s="0" t="n">
        <v>7.9</v>
      </c>
      <c r="K215" s="0" t="n">
        <v>17.3812091208</v>
      </c>
      <c r="L215" s="0" t="n">
        <v>12.7998636891</v>
      </c>
      <c r="M215" s="0" t="n">
        <v>45.432618161</v>
      </c>
      <c r="N215" s="0" t="n">
        <v>9.05024307606</v>
      </c>
      <c r="O215" s="0" t="n">
        <v>15.3360659531</v>
      </c>
      <c r="P215" s="0" t="n">
        <f aca="false">INDEX($F215:$J215,IF(1&lt;$E215,1,1+1))</f>
        <v>11.8</v>
      </c>
      <c r="Q215" s="0" t="n">
        <f aca="false">INDEX($F215:$J215,IF(2&lt;$E215,2,2+1))</f>
        <v>22</v>
      </c>
      <c r="R215" s="0" t="n">
        <f aca="false">INDEX($F215:$J215,IF(3&lt;$E215,3,3+1))</f>
        <v>22.9</v>
      </c>
      <c r="S215" s="0" t="n">
        <f aca="false">INDEX($F215:$J215,IF(4&lt;$E215,4,4+1))</f>
        <v>7.9</v>
      </c>
      <c r="T215" s="0" t="n">
        <f aca="false">INDEX($K215:$O215,IF(1&lt;$E215,1,1+1))</f>
        <v>17.3812091208</v>
      </c>
      <c r="U215" s="0" t="n">
        <f aca="false">INDEX($K215:$O215,IF(2&lt;$E215,2,2+1))</f>
        <v>45.432618161</v>
      </c>
      <c r="V215" s="0" t="n">
        <f aca="false">INDEX($K215:$O215,IF(3&lt;$E215,3,3+1))</f>
        <v>9.05024307606</v>
      </c>
      <c r="W215" s="0" t="n">
        <f aca="false">INDEX($K215:$O215,IF(4&lt;$E215,4,4+1))</f>
        <v>15.3360659531</v>
      </c>
      <c r="X215" s="0" t="n">
        <f aca="false">1+COUNTIF($P215:$S215,"&gt;"&amp;$P215)+(COUNTIF($P215:$S215,$P215)-1)/2</f>
        <v>3</v>
      </c>
      <c r="Y215" s="0" t="n">
        <f aca="false">1+COUNTIF($P215:$S215,"&gt;"&amp;$Q215)+(COUNTIF($P215:$S215,$Q215)-1)/2</f>
        <v>2</v>
      </c>
      <c r="Z215" s="0" t="n">
        <f aca="false">1+COUNTIF($P215:$S215,"&gt;"&amp;$R215)+(COUNTIF($P215:$S215,$R215)-1)/2</f>
        <v>1</v>
      </c>
      <c r="AA215" s="0" t="n">
        <f aca="false">1+COUNTIF($P215:$S215,"&gt;"&amp;$S215)+(COUNTIF($P215:$S215,$S215)-1)/2</f>
        <v>4</v>
      </c>
      <c r="AB215" s="0" t="n">
        <f aca="false">1+COUNTIF($T215:$W215,"&gt;"&amp;$T215)+(COUNTIF($T215:$W215,$T215)-1)/2</f>
        <v>2</v>
      </c>
      <c r="AC215" s="0" t="n">
        <f aca="false">1+COUNTIF($T215:$W215,"&gt;"&amp;$U215)+(COUNTIF($T215:$W215,$U215)-1)/2</f>
        <v>1</v>
      </c>
      <c r="AD215" s="0" t="n">
        <f aca="false">1+COUNTIF($T215:$W215,"&gt;"&amp;$V215)+(COUNTIF($T215:$W215,$V215)-1)/2</f>
        <v>4</v>
      </c>
      <c r="AE215" s="0" t="n">
        <f aca="false">1+COUNTIF($T215:$W215,"&gt;"&amp;$W215)+(COUNTIF($T215:$W215,$W215)-1)/2</f>
        <v>3</v>
      </c>
      <c r="AF215" s="0" t="n">
        <f aca="false">IFERROR(CORREL($P215:$S215,$T215:$W215),"")</f>
        <v>0.345333804256879</v>
      </c>
      <c r="AG215" s="0" t="n">
        <f aca="false">IFERROR(CORREL($X215:$AA215,$AB215:$AE215),"")</f>
        <v>-0.2</v>
      </c>
      <c r="AH215" s="0" t="n">
        <f aca="false">IFERROR((SIGN($P215-$Q215)*SIGN($T215-$U215)+SIGN($P215-$R215)*SIGN($T215-$V215)+SIGN($P215-$S215)*SIGN($T215-$W215)+SIGN($Q215-$R215)*SIGN($U215-$V215)+SIGN($Q215-$S215)*SIGN($U215-$W215)+SIGN($R215-$S215)*SIGN($V215-$W215))/SQRT((6-(($P215=$Q215)*1+($P215=$R215)*1+($P215=$S215)*1+($Q215=$R215)*1+($Q215=$S215)*1+($R215=$S215)*1))*(6-(($T215=$U215)*1+($T215=$V215)*1+($T215=$W215)*1+($U215=$V215)*1+($U215=$W215)*1+($V215=$W215)*1))),"")</f>
        <v>0</v>
      </c>
      <c r="AI215" s="0" t="n">
        <f aca="false">MATCH(MAX($K215:$O215),$K215:$O215,0)</f>
        <v>3</v>
      </c>
      <c r="AJ215" s="0" t="n">
        <f aca="false">IF(AI215&lt;&gt;$E215,1,0)</f>
        <v>1</v>
      </c>
      <c r="AK215" s="0" t="n">
        <f aca="false">IF(AJ215=1,INDEX($F215:$J215,AI215)/MAX($P215:$S215),"")</f>
        <v>0.960698689956332</v>
      </c>
      <c r="AL215" s="0" t="n">
        <f aca="false">IF(AJ215=1,1+COUNTIF($P215:$S215,"&gt;"&amp;INDEX($F215:$J215,AI215)),"")</f>
        <v>2</v>
      </c>
      <c r="AM215" s="0" t="n">
        <f aca="false">AVERAGE($P215:$S215)/MAX($P215:$S215)</f>
        <v>0.705240174672489</v>
      </c>
      <c r="AN215" s="0" t="n">
        <f aca="false">100-INDEX($F215:$J215,$E215)</f>
        <v>74.6</v>
      </c>
    </row>
    <row r="216" customFormat="false" ht="15" hidden="false" customHeight="false" outlineLevel="0" collapsed="false">
      <c r="A216" s="0" t="s">
        <v>40</v>
      </c>
      <c r="B216" s="0" t="n">
        <v>2018</v>
      </c>
      <c r="C216" s="0" t="s">
        <v>50</v>
      </c>
      <c r="D216" s="0" t="s">
        <v>45</v>
      </c>
      <c r="E216" s="0" t="n">
        <v>1</v>
      </c>
      <c r="F216" s="0" t="n">
        <v>42.7</v>
      </c>
      <c r="G216" s="0" t="n">
        <v>12</v>
      </c>
      <c r="H216" s="0" t="n">
        <v>12.8</v>
      </c>
      <c r="I216" s="0" t="n">
        <v>12.2</v>
      </c>
      <c r="J216" s="0" t="n">
        <v>10.3</v>
      </c>
      <c r="K216" s="0" t="n">
        <v>13.1132868555</v>
      </c>
      <c r="L216" s="0" t="n">
        <v>25.1372938226</v>
      </c>
      <c r="M216" s="0" t="n">
        <v>19.5088582012</v>
      </c>
      <c r="N216" s="0" t="n">
        <v>24.1300238836</v>
      </c>
      <c r="O216" s="0" t="n">
        <v>18.1105372371</v>
      </c>
      <c r="P216" s="0" t="n">
        <f aca="false">INDEX($F216:$J216,IF(1&lt;$E216,1,1+1))</f>
        <v>12</v>
      </c>
      <c r="Q216" s="0" t="n">
        <f aca="false">INDEX($F216:$J216,IF(2&lt;$E216,2,2+1))</f>
        <v>12.8</v>
      </c>
      <c r="R216" s="0" t="n">
        <f aca="false">INDEX($F216:$J216,IF(3&lt;$E216,3,3+1))</f>
        <v>12.2</v>
      </c>
      <c r="S216" s="0" t="n">
        <f aca="false">INDEX($F216:$J216,IF(4&lt;$E216,4,4+1))</f>
        <v>10.3</v>
      </c>
      <c r="T216" s="0" t="n">
        <f aca="false">INDEX($K216:$O216,IF(1&lt;$E216,1,1+1))</f>
        <v>25.1372938226</v>
      </c>
      <c r="U216" s="0" t="n">
        <f aca="false">INDEX($K216:$O216,IF(2&lt;$E216,2,2+1))</f>
        <v>19.5088582012</v>
      </c>
      <c r="V216" s="0" t="n">
        <f aca="false">INDEX($K216:$O216,IF(3&lt;$E216,3,3+1))</f>
        <v>24.1300238836</v>
      </c>
      <c r="W216" s="0" t="n">
        <f aca="false">INDEX($K216:$O216,IF(4&lt;$E216,4,4+1))</f>
        <v>18.1105372371</v>
      </c>
      <c r="X216" s="0" t="n">
        <f aca="false">1+COUNTIF($P216:$S216,"&gt;"&amp;$P216)+(COUNTIF($P216:$S216,$P216)-1)/2</f>
        <v>3</v>
      </c>
      <c r="Y216" s="0" t="n">
        <f aca="false">1+COUNTIF($P216:$S216,"&gt;"&amp;$Q216)+(COUNTIF($P216:$S216,$Q216)-1)/2</f>
        <v>1</v>
      </c>
      <c r="Z216" s="0" t="n">
        <f aca="false">1+COUNTIF($P216:$S216,"&gt;"&amp;$R216)+(COUNTIF($P216:$S216,$R216)-1)/2</f>
        <v>2</v>
      </c>
      <c r="AA216" s="0" t="n">
        <f aca="false">1+COUNTIF($P216:$S216,"&gt;"&amp;$S216)+(COUNTIF($P216:$S216,$S216)-1)/2</f>
        <v>4</v>
      </c>
      <c r="AB216" s="0" t="n">
        <f aca="false">1+COUNTIF($T216:$W216,"&gt;"&amp;$T216)+(COUNTIF($T216:$W216,$T216)-1)/2</f>
        <v>1</v>
      </c>
      <c r="AC216" s="0" t="n">
        <f aca="false">1+COUNTIF($T216:$W216,"&gt;"&amp;$U216)+(COUNTIF($T216:$W216,$U216)-1)/2</f>
        <v>3</v>
      </c>
      <c r="AD216" s="0" t="n">
        <f aca="false">1+COUNTIF($T216:$W216,"&gt;"&amp;$V216)+(COUNTIF($T216:$W216,$V216)-1)/2</f>
        <v>2</v>
      </c>
      <c r="AE216" s="0" t="n">
        <f aca="false">1+COUNTIF($T216:$W216,"&gt;"&amp;$W216)+(COUNTIF($T216:$W216,$W216)-1)/2</f>
        <v>4</v>
      </c>
      <c r="AF216" s="0" t="n">
        <f aca="false">IFERROR(CORREL($P216:$S216,$T216:$W216),"")</f>
        <v>0.43903412370547</v>
      </c>
      <c r="AG216" s="0" t="n">
        <f aca="false">IFERROR(CORREL($X216:$AA216,$AB216:$AE216),"")</f>
        <v>0.2</v>
      </c>
      <c r="AH216" s="0" t="n">
        <f aca="false">IFERROR((SIGN($P216-$Q216)*SIGN($T216-$U216)+SIGN($P216-$R216)*SIGN($T216-$V216)+SIGN($P216-$S216)*SIGN($T216-$W216)+SIGN($Q216-$R216)*SIGN($U216-$V216)+SIGN($Q216-$S216)*SIGN($U216-$W216)+SIGN($R216-$S216)*SIGN($V216-$W216))/SQRT((6-(($P216=$Q216)*1+($P216=$R216)*1+($P216=$S216)*1+($Q216=$R216)*1+($Q216=$S216)*1+($R216=$S216)*1))*(6-(($T216=$U216)*1+($T216=$V216)*1+($T216=$W216)*1+($U216=$V216)*1+($U216=$W216)*1+($V216=$W216)*1))),"")</f>
        <v>0</v>
      </c>
      <c r="AI216" s="0" t="n">
        <f aca="false">MATCH(MAX($K216:$O216),$K216:$O216,0)</f>
        <v>2</v>
      </c>
      <c r="AJ216" s="0" t="n">
        <f aca="false">IF(AI216&lt;&gt;$E216,1,0)</f>
        <v>1</v>
      </c>
      <c r="AK216" s="0" t="n">
        <f aca="false">IF(AJ216=1,INDEX($F216:$J216,AI216)/MAX($P216:$S216),"")</f>
        <v>0.9375</v>
      </c>
      <c r="AL216" s="0" t="n">
        <f aca="false">IF(AJ216=1,1+COUNTIF($P216:$S216,"&gt;"&amp;INDEX($F216:$J216,AI216)),"")</f>
        <v>3</v>
      </c>
      <c r="AM216" s="0" t="n">
        <f aca="false">AVERAGE($P216:$S216)/MAX($P216:$S216)</f>
        <v>0.923828125</v>
      </c>
      <c r="AN216" s="0" t="n">
        <f aca="false">100-INDEX($F216:$J216,$E216)</f>
        <v>57.3</v>
      </c>
    </row>
    <row r="217" customFormat="false" ht="15" hidden="false" customHeight="false" outlineLevel="0" collapsed="false">
      <c r="A217" s="0" t="s">
        <v>40</v>
      </c>
      <c r="B217" s="0" t="n">
        <v>2018</v>
      </c>
      <c r="C217" s="0" t="s">
        <v>51</v>
      </c>
      <c r="D217" s="0" t="s">
        <v>42</v>
      </c>
      <c r="E217" s="0" t="n">
        <v>4</v>
      </c>
      <c r="F217" s="0" t="n">
        <v>29.4</v>
      </c>
      <c r="G217" s="0" t="n">
        <v>23.5</v>
      </c>
      <c r="H217" s="0" t="n">
        <v>7.5</v>
      </c>
      <c r="I217" s="0" t="n">
        <v>24.6</v>
      </c>
      <c r="J217" s="0" t="n">
        <v>9</v>
      </c>
      <c r="K217" s="0" t="n">
        <v>24.3773902149</v>
      </c>
      <c r="L217" s="0" t="n">
        <v>37.1598243617</v>
      </c>
      <c r="M217" s="0" t="n">
        <v>7.5614964494</v>
      </c>
      <c r="N217" s="0" t="n">
        <v>25.4937514265</v>
      </c>
      <c r="O217" s="0" t="n">
        <v>5.40753754745</v>
      </c>
      <c r="P217" s="0" t="n">
        <f aca="false">INDEX($F217:$J217,IF(1&lt;$E217,1,1+1))</f>
        <v>29.4</v>
      </c>
      <c r="Q217" s="0" t="n">
        <f aca="false">INDEX($F217:$J217,IF(2&lt;$E217,2,2+1))</f>
        <v>23.5</v>
      </c>
      <c r="R217" s="0" t="n">
        <f aca="false">INDEX($F217:$J217,IF(3&lt;$E217,3,3+1))</f>
        <v>7.5</v>
      </c>
      <c r="S217" s="0" t="n">
        <f aca="false">INDEX($F217:$J217,IF(4&lt;$E217,4,4+1))</f>
        <v>9</v>
      </c>
      <c r="T217" s="0" t="n">
        <f aca="false">INDEX($K217:$O217,IF(1&lt;$E217,1,1+1))</f>
        <v>24.3773902149</v>
      </c>
      <c r="U217" s="0" t="n">
        <f aca="false">INDEX($K217:$O217,IF(2&lt;$E217,2,2+1))</f>
        <v>37.1598243617</v>
      </c>
      <c r="V217" s="0" t="n">
        <f aca="false">INDEX($K217:$O217,IF(3&lt;$E217,3,3+1))</f>
        <v>7.5614964494</v>
      </c>
      <c r="W217" s="0" t="n">
        <f aca="false">INDEX($K217:$O217,IF(4&lt;$E217,4,4+1))</f>
        <v>5.40753754745</v>
      </c>
      <c r="X217" s="0" t="n">
        <f aca="false">1+COUNTIF($P217:$S217,"&gt;"&amp;$P217)+(COUNTIF($P217:$S217,$P217)-1)/2</f>
        <v>1</v>
      </c>
      <c r="Y217" s="0" t="n">
        <f aca="false">1+COUNTIF($P217:$S217,"&gt;"&amp;$Q217)+(COUNTIF($P217:$S217,$Q217)-1)/2</f>
        <v>2</v>
      </c>
      <c r="Z217" s="0" t="n">
        <f aca="false">1+COUNTIF($P217:$S217,"&gt;"&amp;$R217)+(COUNTIF($P217:$S217,$R217)-1)/2</f>
        <v>4</v>
      </c>
      <c r="AA217" s="0" t="n">
        <f aca="false">1+COUNTIF($P217:$S217,"&gt;"&amp;$S217)+(COUNTIF($P217:$S217,$S217)-1)/2</f>
        <v>3</v>
      </c>
      <c r="AB217" s="0" t="n">
        <f aca="false">1+COUNTIF($T217:$W217,"&gt;"&amp;$T217)+(COUNTIF($T217:$W217,$T217)-1)/2</f>
        <v>2</v>
      </c>
      <c r="AC217" s="0" t="n">
        <f aca="false">1+COUNTIF($T217:$W217,"&gt;"&amp;$U217)+(COUNTIF($T217:$W217,$U217)-1)/2</f>
        <v>1</v>
      </c>
      <c r="AD217" s="0" t="n">
        <f aca="false">1+COUNTIF($T217:$W217,"&gt;"&amp;$V217)+(COUNTIF($T217:$W217,$V217)-1)/2</f>
        <v>3</v>
      </c>
      <c r="AE217" s="0" t="n">
        <f aca="false">1+COUNTIF($T217:$W217,"&gt;"&amp;$W217)+(COUNTIF($T217:$W217,$W217)-1)/2</f>
        <v>4</v>
      </c>
      <c r="AF217" s="0" t="n">
        <f aca="false">IFERROR(CORREL($P217:$S217,$T217:$W217),"")</f>
        <v>0.829448334125406</v>
      </c>
      <c r="AG217" s="0" t="n">
        <f aca="false">IFERROR(CORREL($X217:$AA217,$AB217:$AE217),"")</f>
        <v>0.6</v>
      </c>
      <c r="AH217" s="0" t="n">
        <f aca="false">IFERROR((SIGN($P217-$Q217)*SIGN($T217-$U217)+SIGN($P217-$R217)*SIGN($T217-$V217)+SIGN($P217-$S217)*SIGN($T217-$W217)+SIGN($Q217-$R217)*SIGN($U217-$V217)+SIGN($Q217-$S217)*SIGN($U217-$W217)+SIGN($R217-$S217)*SIGN($V217-$W217))/SQRT((6-(($P217=$Q217)*1+($P217=$R217)*1+($P217=$S217)*1+($Q217=$R217)*1+($Q217=$S217)*1+($R217=$S217)*1))*(6-(($T217=$U217)*1+($T217=$V217)*1+($T217=$W217)*1+($U217=$V217)*1+($U217=$W217)*1+($V217=$W217)*1))),"")</f>
        <v>0.333333333333333</v>
      </c>
      <c r="AI217" s="0" t="n">
        <f aca="false">MATCH(MAX($K217:$O217),$K217:$O217,0)</f>
        <v>2</v>
      </c>
      <c r="AJ217" s="0" t="n">
        <f aca="false">IF(AI217&lt;&gt;$E217,1,0)</f>
        <v>1</v>
      </c>
      <c r="AK217" s="0" t="n">
        <f aca="false">IF(AJ217=1,INDEX($F217:$J217,AI217)/MAX($P217:$S217),"")</f>
        <v>0.799319727891157</v>
      </c>
      <c r="AL217" s="0" t="n">
        <f aca="false">IF(AJ217=1,1+COUNTIF($P217:$S217,"&gt;"&amp;INDEX($F217:$J217,AI217)),"")</f>
        <v>2</v>
      </c>
      <c r="AM217" s="0" t="n">
        <f aca="false">AVERAGE($P217:$S217)/MAX($P217:$S217)</f>
        <v>0.590136054421769</v>
      </c>
      <c r="AN217" s="0" t="n">
        <f aca="false">100-INDEX($F217:$J217,$E217)</f>
        <v>75.4</v>
      </c>
    </row>
    <row r="218" customFormat="false" ht="15" hidden="false" customHeight="false" outlineLevel="0" collapsed="false">
      <c r="A218" s="0" t="s">
        <v>40</v>
      </c>
      <c r="B218" s="0" t="n">
        <v>2018</v>
      </c>
      <c r="C218" s="0" t="s">
        <v>51</v>
      </c>
      <c r="D218" s="0" t="s">
        <v>43</v>
      </c>
      <c r="E218" s="0" t="n">
        <v>2</v>
      </c>
      <c r="F218" s="0" t="n">
        <v>14.8</v>
      </c>
      <c r="G218" s="0" t="n">
        <v>29.9</v>
      </c>
      <c r="H218" s="0" t="n">
        <v>18.6</v>
      </c>
      <c r="I218" s="0" t="n">
        <v>18.6</v>
      </c>
      <c r="J218" s="0" t="n">
        <v>12.1</v>
      </c>
      <c r="K218" s="0" t="n">
        <v>36.3134238345</v>
      </c>
      <c r="L218" s="0" t="n">
        <v>37.6983913305</v>
      </c>
      <c r="M218" s="0" t="n">
        <v>15.8458270601</v>
      </c>
      <c r="N218" s="0" t="n">
        <v>6.15914911569</v>
      </c>
      <c r="O218" s="0" t="n">
        <v>3.9832086593</v>
      </c>
      <c r="P218" s="0" t="n">
        <f aca="false">INDEX($F218:$J218,IF(1&lt;$E218,1,1+1))</f>
        <v>14.8</v>
      </c>
      <c r="Q218" s="0" t="n">
        <f aca="false">INDEX($F218:$J218,IF(2&lt;$E218,2,2+1))</f>
        <v>18.6</v>
      </c>
      <c r="R218" s="0" t="n">
        <f aca="false">INDEX($F218:$J218,IF(3&lt;$E218,3,3+1))</f>
        <v>18.6</v>
      </c>
      <c r="S218" s="0" t="n">
        <f aca="false">INDEX($F218:$J218,IF(4&lt;$E218,4,4+1))</f>
        <v>12.1</v>
      </c>
      <c r="T218" s="0" t="n">
        <f aca="false">INDEX($K218:$O218,IF(1&lt;$E218,1,1+1))</f>
        <v>36.3134238345</v>
      </c>
      <c r="U218" s="0" t="n">
        <f aca="false">INDEX($K218:$O218,IF(2&lt;$E218,2,2+1))</f>
        <v>15.8458270601</v>
      </c>
      <c r="V218" s="0" t="n">
        <f aca="false">INDEX($K218:$O218,IF(3&lt;$E218,3,3+1))</f>
        <v>6.15914911569</v>
      </c>
      <c r="W218" s="0" t="n">
        <f aca="false">INDEX($K218:$O218,IF(4&lt;$E218,4,4+1))</f>
        <v>3.9832086593</v>
      </c>
      <c r="X218" s="0" t="n">
        <f aca="false">1+COUNTIF($P218:$S218,"&gt;"&amp;$P218)+(COUNTIF($P218:$S218,$P218)-1)/2</f>
        <v>3</v>
      </c>
      <c r="Y218" s="0" t="n">
        <f aca="false">1+COUNTIF($P218:$S218,"&gt;"&amp;$Q218)+(COUNTIF($P218:$S218,$Q218)-1)/2</f>
        <v>1.5</v>
      </c>
      <c r="Z218" s="0" t="n">
        <f aca="false">1+COUNTIF($P218:$S218,"&gt;"&amp;$R218)+(COUNTIF($P218:$S218,$R218)-1)/2</f>
        <v>1.5</v>
      </c>
      <c r="AA218" s="0" t="n">
        <f aca="false">1+COUNTIF($P218:$S218,"&gt;"&amp;$S218)+(COUNTIF($P218:$S218,$S218)-1)/2</f>
        <v>4</v>
      </c>
      <c r="AB218" s="0" t="n">
        <f aca="false">1+COUNTIF($T218:$W218,"&gt;"&amp;$T218)+(COUNTIF($T218:$W218,$T218)-1)/2</f>
        <v>1</v>
      </c>
      <c r="AC218" s="0" t="n">
        <f aca="false">1+COUNTIF($T218:$W218,"&gt;"&amp;$U218)+(COUNTIF($T218:$W218,$U218)-1)/2</f>
        <v>2</v>
      </c>
      <c r="AD218" s="0" t="n">
        <f aca="false">1+COUNTIF($T218:$W218,"&gt;"&amp;$V218)+(COUNTIF($T218:$W218,$V218)-1)/2</f>
        <v>3</v>
      </c>
      <c r="AE218" s="0" t="n">
        <f aca="false">1+COUNTIF($T218:$W218,"&gt;"&amp;$W218)+(COUNTIF($T218:$W218,$W218)-1)/2</f>
        <v>4</v>
      </c>
      <c r="AF218" s="0" t="n">
        <f aca="false">IFERROR(CORREL($P218:$S218,$T218:$W218),"")</f>
        <v>-0.0246143872921769</v>
      </c>
      <c r="AG218" s="0" t="n">
        <f aca="false">IFERROR(CORREL($X218:$AA218,$AB218:$AE218),"")</f>
        <v>0.316227766016838</v>
      </c>
      <c r="AH218" s="0" t="n">
        <f aca="false">IFERROR((SIGN($P218-$Q218)*SIGN($T218-$U218)+SIGN($P218-$R218)*SIGN($T218-$V218)+SIGN($P218-$S218)*SIGN($T218-$W218)+SIGN($Q218-$R218)*SIGN($U218-$V218)+SIGN($Q218-$S218)*SIGN($U218-$W218)+SIGN($R218-$S218)*SIGN($V218-$W218))/SQRT((6-(($P218=$Q218)*1+($P218=$R218)*1+($P218=$S218)*1+($Q218=$R218)*1+($Q218=$S218)*1+($R218=$S218)*1))*(6-(($T218=$U218)*1+($T218=$V218)*1+($T218=$W218)*1+($U218=$V218)*1+($U218=$W218)*1+($V218=$W218)*1))),"")</f>
        <v>0.182574185835055</v>
      </c>
      <c r="AI218" s="0" t="n">
        <f aca="false">MATCH(MAX($K218:$O218),$K218:$O218,0)</f>
        <v>2</v>
      </c>
      <c r="AJ218" s="0" t="n">
        <f aca="false">IF(AI218&lt;&gt;$E218,1,0)</f>
        <v>0</v>
      </c>
      <c r="AK218" s="0" t="str">
        <f aca="false">IF(AJ218=1,INDEX($F218:$J218,AI218)/MAX($P218:$S218),"")</f>
        <v/>
      </c>
      <c r="AL218" s="0" t="str">
        <f aca="false">IF(AJ218=1,1+COUNTIF($P218:$S218,"&gt;"&amp;INDEX($F218:$J218,AI218)),"")</f>
        <v/>
      </c>
      <c r="AM218" s="0" t="n">
        <f aca="false">AVERAGE($P218:$S218)/MAX($P218:$S218)</f>
        <v>0.861559139784946</v>
      </c>
      <c r="AN218" s="0" t="n">
        <f aca="false">100-INDEX($F218:$J218,$E218)</f>
        <v>70.1</v>
      </c>
    </row>
    <row r="219" customFormat="false" ht="15" hidden="false" customHeight="false" outlineLevel="0" collapsed="false">
      <c r="A219" s="0" t="s">
        <v>40</v>
      </c>
      <c r="B219" s="0" t="n">
        <v>2018</v>
      </c>
      <c r="C219" s="0" t="s">
        <v>51</v>
      </c>
      <c r="D219" s="0" t="s">
        <v>44</v>
      </c>
      <c r="E219" s="0" t="n">
        <v>1</v>
      </c>
      <c r="F219" s="0" t="n">
        <v>28.5</v>
      </c>
      <c r="G219" s="0" t="n">
        <v>12.1</v>
      </c>
      <c r="H219" s="0" t="n">
        <v>19.1</v>
      </c>
      <c r="I219" s="0" t="n">
        <v>23.6</v>
      </c>
      <c r="J219" s="0" t="n">
        <v>10.5</v>
      </c>
      <c r="K219" s="0" t="n">
        <v>16.9565426969</v>
      </c>
      <c r="L219" s="0" t="n">
        <v>17.435672929</v>
      </c>
      <c r="M219" s="0" t="n">
        <v>22.3820479106</v>
      </c>
      <c r="N219" s="0" t="n">
        <v>21.3027849077</v>
      </c>
      <c r="O219" s="0" t="n">
        <v>21.9229515558</v>
      </c>
      <c r="P219" s="0" t="n">
        <f aca="false">INDEX($F219:$J219,IF(1&lt;$E219,1,1+1))</f>
        <v>12.1</v>
      </c>
      <c r="Q219" s="0" t="n">
        <f aca="false">INDEX($F219:$J219,IF(2&lt;$E219,2,2+1))</f>
        <v>19.1</v>
      </c>
      <c r="R219" s="0" t="n">
        <f aca="false">INDEX($F219:$J219,IF(3&lt;$E219,3,3+1))</f>
        <v>23.6</v>
      </c>
      <c r="S219" s="0" t="n">
        <f aca="false">INDEX($F219:$J219,IF(4&lt;$E219,4,4+1))</f>
        <v>10.5</v>
      </c>
      <c r="T219" s="0" t="n">
        <f aca="false">INDEX($K219:$O219,IF(1&lt;$E219,1,1+1))</f>
        <v>17.435672929</v>
      </c>
      <c r="U219" s="0" t="n">
        <f aca="false">INDEX($K219:$O219,IF(2&lt;$E219,2,2+1))</f>
        <v>22.3820479106</v>
      </c>
      <c r="V219" s="0" t="n">
        <f aca="false">INDEX($K219:$O219,IF(3&lt;$E219,3,3+1))</f>
        <v>21.3027849077</v>
      </c>
      <c r="W219" s="0" t="n">
        <f aca="false">INDEX($K219:$O219,IF(4&lt;$E219,4,4+1))</f>
        <v>21.9229515558</v>
      </c>
      <c r="X219" s="0" t="n">
        <f aca="false">1+COUNTIF($P219:$S219,"&gt;"&amp;$P219)+(COUNTIF($P219:$S219,$P219)-1)/2</f>
        <v>3</v>
      </c>
      <c r="Y219" s="0" t="n">
        <f aca="false">1+COUNTIF($P219:$S219,"&gt;"&amp;$Q219)+(COUNTIF($P219:$S219,$Q219)-1)/2</f>
        <v>2</v>
      </c>
      <c r="Z219" s="0" t="n">
        <f aca="false">1+COUNTIF($P219:$S219,"&gt;"&amp;$R219)+(COUNTIF($P219:$S219,$R219)-1)/2</f>
        <v>1</v>
      </c>
      <c r="AA219" s="0" t="n">
        <f aca="false">1+COUNTIF($P219:$S219,"&gt;"&amp;$S219)+(COUNTIF($P219:$S219,$S219)-1)/2</f>
        <v>4</v>
      </c>
      <c r="AB219" s="0" t="n">
        <f aca="false">1+COUNTIF($T219:$W219,"&gt;"&amp;$T219)+(COUNTIF($T219:$W219,$T219)-1)/2</f>
        <v>4</v>
      </c>
      <c r="AC219" s="0" t="n">
        <f aca="false">1+COUNTIF($T219:$W219,"&gt;"&amp;$U219)+(COUNTIF($T219:$W219,$U219)-1)/2</f>
        <v>1</v>
      </c>
      <c r="AD219" s="0" t="n">
        <f aca="false">1+COUNTIF($T219:$W219,"&gt;"&amp;$V219)+(COUNTIF($T219:$W219,$V219)-1)/2</f>
        <v>3</v>
      </c>
      <c r="AE219" s="0" t="n">
        <f aca="false">1+COUNTIF($T219:$W219,"&gt;"&amp;$W219)+(COUNTIF($T219:$W219,$W219)-1)/2</f>
        <v>2</v>
      </c>
      <c r="AF219" s="0" t="n">
        <f aca="false">IFERROR(CORREL($P219:$S219,$T219:$W219),"")</f>
        <v>0.378724007931763</v>
      </c>
      <c r="AG219" s="0" t="n">
        <f aca="false">IFERROR(CORREL($X219:$AA219,$AB219:$AE219),"")</f>
        <v>0</v>
      </c>
      <c r="AH219" s="0" t="n">
        <f aca="false">IFERROR((SIGN($P219-$Q219)*SIGN($T219-$U219)+SIGN($P219-$R219)*SIGN($T219-$V219)+SIGN($P219-$S219)*SIGN($T219-$W219)+SIGN($Q219-$R219)*SIGN($U219-$V219)+SIGN($Q219-$S219)*SIGN($U219-$W219)+SIGN($R219-$S219)*SIGN($V219-$W219))/SQRT((6-(($P219=$Q219)*1+($P219=$R219)*1+($P219=$S219)*1+($Q219=$R219)*1+($Q219=$S219)*1+($R219=$S219)*1))*(6-(($T219=$U219)*1+($T219=$V219)*1+($T219=$W219)*1+($U219=$V219)*1+($U219=$W219)*1+($V219=$W219)*1))),"")</f>
        <v>0</v>
      </c>
      <c r="AI219" s="0" t="n">
        <f aca="false">MATCH(MAX($K219:$O219),$K219:$O219,0)</f>
        <v>3</v>
      </c>
      <c r="AJ219" s="0" t="n">
        <f aca="false">IF(AI219&lt;&gt;$E219,1,0)</f>
        <v>1</v>
      </c>
      <c r="AK219" s="0" t="n">
        <f aca="false">IF(AJ219=1,INDEX($F219:$J219,AI219)/MAX($P219:$S219),"")</f>
        <v>0.809322033898305</v>
      </c>
      <c r="AL219" s="0" t="n">
        <f aca="false">IF(AJ219=1,1+COUNTIF($P219:$S219,"&gt;"&amp;INDEX($F219:$J219,AI219)),"")</f>
        <v>2</v>
      </c>
      <c r="AM219" s="0" t="n">
        <f aca="false">AVERAGE($P219:$S219)/MAX($P219:$S219)</f>
        <v>0.691737288135593</v>
      </c>
      <c r="AN219" s="0" t="n">
        <f aca="false">100-INDEX($F219:$J219,$E219)</f>
        <v>71.5</v>
      </c>
    </row>
    <row r="220" customFormat="false" ht="15" hidden="false" customHeight="false" outlineLevel="0" collapsed="false">
      <c r="A220" s="0" t="s">
        <v>40</v>
      </c>
      <c r="B220" s="0" t="n">
        <v>2018</v>
      </c>
      <c r="C220" s="0" t="s">
        <v>51</v>
      </c>
      <c r="D220" s="0" t="s">
        <v>45</v>
      </c>
      <c r="E220" s="0" t="n">
        <v>2</v>
      </c>
      <c r="F220" s="0" t="n">
        <v>22.2</v>
      </c>
      <c r="G220" s="0" t="n">
        <v>22.5</v>
      </c>
      <c r="H220" s="0" t="n">
        <v>15.1</v>
      </c>
      <c r="I220" s="0" t="n">
        <v>24.2</v>
      </c>
      <c r="J220" s="0" t="n">
        <v>9.9</v>
      </c>
      <c r="K220" s="0" t="n">
        <v>7.83513639201</v>
      </c>
      <c r="L220" s="0" t="n">
        <v>17.1573922457</v>
      </c>
      <c r="M220" s="0" t="n">
        <v>29.1972055095</v>
      </c>
      <c r="N220" s="0" t="n">
        <v>15.3562962116</v>
      </c>
      <c r="O220" s="0" t="n">
        <v>30.4539696412</v>
      </c>
      <c r="P220" s="0" t="n">
        <f aca="false">INDEX($F220:$J220,IF(1&lt;$E220,1,1+1))</f>
        <v>22.2</v>
      </c>
      <c r="Q220" s="0" t="n">
        <f aca="false">INDEX($F220:$J220,IF(2&lt;$E220,2,2+1))</f>
        <v>15.1</v>
      </c>
      <c r="R220" s="0" t="n">
        <f aca="false">INDEX($F220:$J220,IF(3&lt;$E220,3,3+1))</f>
        <v>24.2</v>
      </c>
      <c r="S220" s="0" t="n">
        <f aca="false">INDEX($F220:$J220,IF(4&lt;$E220,4,4+1))</f>
        <v>9.9</v>
      </c>
      <c r="T220" s="0" t="n">
        <f aca="false">INDEX($K220:$O220,IF(1&lt;$E220,1,1+1))</f>
        <v>7.83513639201</v>
      </c>
      <c r="U220" s="0" t="n">
        <f aca="false">INDEX($K220:$O220,IF(2&lt;$E220,2,2+1))</f>
        <v>29.1972055095</v>
      </c>
      <c r="V220" s="0" t="n">
        <f aca="false">INDEX($K220:$O220,IF(3&lt;$E220,3,3+1))</f>
        <v>15.3562962116</v>
      </c>
      <c r="W220" s="0" t="n">
        <f aca="false">INDEX($K220:$O220,IF(4&lt;$E220,4,4+1))</f>
        <v>30.4539696412</v>
      </c>
      <c r="X220" s="0" t="n">
        <f aca="false">1+COUNTIF($P220:$S220,"&gt;"&amp;$P220)+(COUNTIF($P220:$S220,$P220)-1)/2</f>
        <v>2</v>
      </c>
      <c r="Y220" s="0" t="n">
        <f aca="false">1+COUNTIF($P220:$S220,"&gt;"&amp;$Q220)+(COUNTIF($P220:$S220,$Q220)-1)/2</f>
        <v>3</v>
      </c>
      <c r="Z220" s="0" t="n">
        <f aca="false">1+COUNTIF($P220:$S220,"&gt;"&amp;$R220)+(COUNTIF($P220:$S220,$R220)-1)/2</f>
        <v>1</v>
      </c>
      <c r="AA220" s="0" t="n">
        <f aca="false">1+COUNTIF($P220:$S220,"&gt;"&amp;$S220)+(COUNTIF($P220:$S220,$S220)-1)/2</f>
        <v>4</v>
      </c>
      <c r="AB220" s="0" t="n">
        <f aca="false">1+COUNTIF($T220:$W220,"&gt;"&amp;$T220)+(COUNTIF($T220:$W220,$T220)-1)/2</f>
        <v>4</v>
      </c>
      <c r="AC220" s="0" t="n">
        <f aca="false">1+COUNTIF($T220:$W220,"&gt;"&amp;$U220)+(COUNTIF($T220:$W220,$U220)-1)/2</f>
        <v>2</v>
      </c>
      <c r="AD220" s="0" t="n">
        <f aca="false">1+COUNTIF($T220:$W220,"&gt;"&amp;$V220)+(COUNTIF($T220:$W220,$V220)-1)/2</f>
        <v>3</v>
      </c>
      <c r="AE220" s="0" t="n">
        <f aca="false">1+COUNTIF($T220:$W220,"&gt;"&amp;$W220)+(COUNTIF($T220:$W220,$W220)-1)/2</f>
        <v>1</v>
      </c>
      <c r="AF220" s="0" t="n">
        <f aca="false">IFERROR(CORREL($P220:$S220,$T220:$W220),"")</f>
        <v>-0.88025514232325</v>
      </c>
      <c r="AG220" s="0" t="n">
        <f aca="false">IFERROR(CORREL($X220:$AA220,$AB220:$AE220),"")</f>
        <v>-0.8</v>
      </c>
      <c r="AH220" s="0" t="n">
        <f aca="false">IFERROR((SIGN($P220-$Q220)*SIGN($T220-$U220)+SIGN($P220-$R220)*SIGN($T220-$V220)+SIGN($P220-$S220)*SIGN($T220-$W220)+SIGN($Q220-$R220)*SIGN($U220-$V220)+SIGN($Q220-$S220)*SIGN($U220-$W220)+SIGN($R220-$S220)*SIGN($V220-$W220))/SQRT((6-(($P220=$Q220)*1+($P220=$R220)*1+($P220=$S220)*1+($Q220=$R220)*1+($Q220=$S220)*1+($R220=$S220)*1))*(6-(($T220=$U220)*1+($T220=$V220)*1+($T220=$W220)*1+($U220=$V220)*1+($U220=$W220)*1+($V220=$W220)*1))),"")</f>
        <v>-0.666666666666667</v>
      </c>
      <c r="AI220" s="0" t="n">
        <f aca="false">MATCH(MAX($K220:$O220),$K220:$O220,0)</f>
        <v>5</v>
      </c>
      <c r="AJ220" s="0" t="n">
        <f aca="false">IF(AI220&lt;&gt;$E220,1,0)</f>
        <v>1</v>
      </c>
      <c r="AK220" s="0" t="n">
        <f aca="false">IF(AJ220=1,INDEX($F220:$J220,AI220)/MAX($P220:$S220),"")</f>
        <v>0.409090909090909</v>
      </c>
      <c r="AL220" s="0" t="n">
        <f aca="false">IF(AJ220=1,1+COUNTIF($P220:$S220,"&gt;"&amp;INDEX($F220:$J220,AI220)),"")</f>
        <v>4</v>
      </c>
      <c r="AM220" s="0" t="n">
        <f aca="false">AVERAGE($P220:$S220)/MAX($P220:$S220)</f>
        <v>0.737603305785124</v>
      </c>
      <c r="AN220" s="0" t="n">
        <f aca="false">100-INDEX($F220:$J220,$E220)</f>
        <v>77.5</v>
      </c>
    </row>
    <row r="221" customFormat="false" ht="15" hidden="false" customHeight="false" outlineLevel="0" collapsed="false">
      <c r="A221" s="0" t="s">
        <v>40</v>
      </c>
      <c r="B221" s="0" t="n">
        <v>2018</v>
      </c>
      <c r="C221" s="0" t="s">
        <v>52</v>
      </c>
      <c r="D221" s="0" t="s">
        <v>42</v>
      </c>
      <c r="E221" s="0" t="n">
        <v>1</v>
      </c>
      <c r="F221" s="0" t="n">
        <v>38.8</v>
      </c>
      <c r="G221" s="0" t="n">
        <v>19.8</v>
      </c>
      <c r="H221" s="0" t="n">
        <v>11.2</v>
      </c>
      <c r="I221" s="0" t="n">
        <v>9.8</v>
      </c>
      <c r="J221" s="0" t="n">
        <v>10.2</v>
      </c>
      <c r="K221" s="0" t="n">
        <v>38.5681103778</v>
      </c>
      <c r="L221" s="0" t="n">
        <v>36.9970044356</v>
      </c>
      <c r="M221" s="0" t="n">
        <v>18.5627243653</v>
      </c>
      <c r="N221" s="0" t="n">
        <v>2.48532850858</v>
      </c>
      <c r="O221" s="0" t="n">
        <v>3.38683231279</v>
      </c>
      <c r="P221" s="0" t="n">
        <f aca="false">INDEX($F221:$J221,IF(1&lt;$E221,1,1+1))</f>
        <v>19.8</v>
      </c>
      <c r="Q221" s="0" t="n">
        <f aca="false">INDEX($F221:$J221,IF(2&lt;$E221,2,2+1))</f>
        <v>11.2</v>
      </c>
      <c r="R221" s="0" t="n">
        <f aca="false">INDEX($F221:$J221,IF(3&lt;$E221,3,3+1))</f>
        <v>9.8</v>
      </c>
      <c r="S221" s="0" t="n">
        <f aca="false">INDEX($F221:$J221,IF(4&lt;$E221,4,4+1))</f>
        <v>10.2</v>
      </c>
      <c r="T221" s="0" t="n">
        <f aca="false">INDEX($K221:$O221,IF(1&lt;$E221,1,1+1))</f>
        <v>36.9970044356</v>
      </c>
      <c r="U221" s="0" t="n">
        <f aca="false">INDEX($K221:$O221,IF(2&lt;$E221,2,2+1))</f>
        <v>18.5627243653</v>
      </c>
      <c r="V221" s="0" t="n">
        <f aca="false">INDEX($K221:$O221,IF(3&lt;$E221,3,3+1))</f>
        <v>2.48532850858</v>
      </c>
      <c r="W221" s="0" t="n">
        <f aca="false">INDEX($K221:$O221,IF(4&lt;$E221,4,4+1))</f>
        <v>3.38683231279</v>
      </c>
      <c r="X221" s="0" t="n">
        <f aca="false">1+COUNTIF($P221:$S221,"&gt;"&amp;$P221)+(COUNTIF($P221:$S221,$P221)-1)/2</f>
        <v>1</v>
      </c>
      <c r="Y221" s="0" t="n">
        <f aca="false">1+COUNTIF($P221:$S221,"&gt;"&amp;$Q221)+(COUNTIF($P221:$S221,$Q221)-1)/2</f>
        <v>2</v>
      </c>
      <c r="Z221" s="0" t="n">
        <f aca="false">1+COUNTIF($P221:$S221,"&gt;"&amp;$R221)+(COUNTIF($P221:$S221,$R221)-1)/2</f>
        <v>4</v>
      </c>
      <c r="AA221" s="0" t="n">
        <f aca="false">1+COUNTIF($P221:$S221,"&gt;"&amp;$S221)+(COUNTIF($P221:$S221,$S221)-1)/2</f>
        <v>3</v>
      </c>
      <c r="AB221" s="0" t="n">
        <f aca="false">1+COUNTIF($T221:$W221,"&gt;"&amp;$T221)+(COUNTIF($T221:$W221,$T221)-1)/2</f>
        <v>1</v>
      </c>
      <c r="AC221" s="0" t="n">
        <f aca="false">1+COUNTIF($T221:$W221,"&gt;"&amp;$U221)+(COUNTIF($T221:$W221,$U221)-1)/2</f>
        <v>2</v>
      </c>
      <c r="AD221" s="0" t="n">
        <f aca="false">1+COUNTIF($T221:$W221,"&gt;"&amp;$V221)+(COUNTIF($T221:$W221,$V221)-1)/2</f>
        <v>4</v>
      </c>
      <c r="AE221" s="0" t="n">
        <f aca="false">1+COUNTIF($T221:$W221,"&gt;"&amp;$W221)+(COUNTIF($T221:$W221,$W221)-1)/2</f>
        <v>3</v>
      </c>
      <c r="AF221" s="0" t="n">
        <f aca="false">IFERROR(CORREL($P221:$S221,$T221:$W221),"")</f>
        <v>0.93855122822288</v>
      </c>
      <c r="AG221" s="0" t="n">
        <f aca="false">IFERROR(CORREL($X221:$AA221,$AB221:$AE221),"")</f>
        <v>1</v>
      </c>
      <c r="AH221" s="0" t="n">
        <f aca="false">IFERROR((SIGN($P221-$Q221)*SIGN($T221-$U221)+SIGN($P221-$R221)*SIGN($T221-$V221)+SIGN($P221-$S221)*SIGN($T221-$W221)+SIGN($Q221-$R221)*SIGN($U221-$V221)+SIGN($Q221-$S221)*SIGN($U221-$W221)+SIGN($R221-$S221)*SIGN($V221-$W221))/SQRT((6-(($P221=$Q221)*1+($P221=$R221)*1+($P221=$S221)*1+($Q221=$R221)*1+($Q221=$S221)*1+($R221=$S221)*1))*(6-(($T221=$U221)*1+($T221=$V221)*1+($T221=$W221)*1+($U221=$V221)*1+($U221=$W221)*1+($V221=$W221)*1))),"")</f>
        <v>1</v>
      </c>
      <c r="AI221" s="0" t="n">
        <f aca="false">MATCH(MAX($K221:$O221),$K221:$O221,0)</f>
        <v>1</v>
      </c>
      <c r="AJ221" s="0" t="n">
        <f aca="false">IF(AI221&lt;&gt;$E221,1,0)</f>
        <v>0</v>
      </c>
      <c r="AK221" s="0" t="str">
        <f aca="false">IF(AJ221=1,INDEX($F221:$J221,AI221)/MAX($P221:$S221),"")</f>
        <v/>
      </c>
      <c r="AL221" s="0" t="str">
        <f aca="false">IF(AJ221=1,1+COUNTIF($P221:$S221,"&gt;"&amp;INDEX($F221:$J221,AI221)),"")</f>
        <v/>
      </c>
      <c r="AM221" s="0" t="n">
        <f aca="false">AVERAGE($P221:$S221)/MAX($P221:$S221)</f>
        <v>0.643939393939394</v>
      </c>
      <c r="AN221" s="0" t="n">
        <f aca="false">100-INDEX($F221:$J221,$E221)</f>
        <v>61.2</v>
      </c>
    </row>
    <row r="222" customFormat="false" ht="15" hidden="false" customHeight="false" outlineLevel="0" collapsed="false">
      <c r="A222" s="0" t="s">
        <v>40</v>
      </c>
      <c r="B222" s="0" t="n">
        <v>2018</v>
      </c>
      <c r="C222" s="0" t="s">
        <v>52</v>
      </c>
      <c r="D222" s="0" t="s">
        <v>43</v>
      </c>
      <c r="E222" s="0" t="n">
        <v>2</v>
      </c>
      <c r="F222" s="0" t="n">
        <v>7.1</v>
      </c>
      <c r="G222" s="0" t="n">
        <v>51.6</v>
      </c>
      <c r="H222" s="0" t="n">
        <v>16.8</v>
      </c>
      <c r="I222" s="0" t="n">
        <v>7.8</v>
      </c>
      <c r="J222" s="0" t="n">
        <v>6.4</v>
      </c>
      <c r="K222" s="0" t="n">
        <v>75.8648808898</v>
      </c>
      <c r="L222" s="0" t="n">
        <v>0.182258788459</v>
      </c>
      <c r="M222" s="0" t="n">
        <v>19.3996710922</v>
      </c>
      <c r="N222" s="0" t="n">
        <v>0.0568206949802</v>
      </c>
      <c r="O222" s="0" t="n">
        <v>4.49636853462</v>
      </c>
      <c r="P222" s="0" t="n">
        <f aca="false">INDEX($F222:$J222,IF(1&lt;$E222,1,1+1))</f>
        <v>7.1</v>
      </c>
      <c r="Q222" s="0" t="n">
        <f aca="false">INDEX($F222:$J222,IF(2&lt;$E222,2,2+1))</f>
        <v>16.8</v>
      </c>
      <c r="R222" s="0" t="n">
        <f aca="false">INDEX($F222:$J222,IF(3&lt;$E222,3,3+1))</f>
        <v>7.8</v>
      </c>
      <c r="S222" s="0" t="n">
        <f aca="false">INDEX($F222:$J222,IF(4&lt;$E222,4,4+1))</f>
        <v>6.4</v>
      </c>
      <c r="T222" s="0" t="n">
        <f aca="false">INDEX($K222:$O222,IF(1&lt;$E222,1,1+1))</f>
        <v>75.8648808898</v>
      </c>
      <c r="U222" s="0" t="n">
        <f aca="false">INDEX($K222:$O222,IF(2&lt;$E222,2,2+1))</f>
        <v>19.3996710922</v>
      </c>
      <c r="V222" s="0" t="n">
        <f aca="false">INDEX($K222:$O222,IF(3&lt;$E222,3,3+1))</f>
        <v>0.0568206949802</v>
      </c>
      <c r="W222" s="0" t="n">
        <f aca="false">INDEX($K222:$O222,IF(4&lt;$E222,4,4+1))</f>
        <v>4.49636853462</v>
      </c>
      <c r="X222" s="0" t="n">
        <f aca="false">1+COUNTIF($P222:$S222,"&gt;"&amp;$P222)+(COUNTIF($P222:$S222,$P222)-1)/2</f>
        <v>3</v>
      </c>
      <c r="Y222" s="0" t="n">
        <f aca="false">1+COUNTIF($P222:$S222,"&gt;"&amp;$Q222)+(COUNTIF($P222:$S222,$Q222)-1)/2</f>
        <v>1</v>
      </c>
      <c r="Z222" s="0" t="n">
        <f aca="false">1+COUNTIF($P222:$S222,"&gt;"&amp;$R222)+(COUNTIF($P222:$S222,$R222)-1)/2</f>
        <v>2</v>
      </c>
      <c r="AA222" s="0" t="n">
        <f aca="false">1+COUNTIF($P222:$S222,"&gt;"&amp;$S222)+(COUNTIF($P222:$S222,$S222)-1)/2</f>
        <v>4</v>
      </c>
      <c r="AB222" s="0" t="n">
        <f aca="false">1+COUNTIF($T222:$W222,"&gt;"&amp;$T222)+(COUNTIF($T222:$W222,$T222)-1)/2</f>
        <v>1</v>
      </c>
      <c r="AC222" s="0" t="n">
        <f aca="false">1+COUNTIF($T222:$W222,"&gt;"&amp;$U222)+(COUNTIF($T222:$W222,$U222)-1)/2</f>
        <v>2</v>
      </c>
      <c r="AD222" s="0" t="n">
        <f aca="false">1+COUNTIF($T222:$W222,"&gt;"&amp;$V222)+(COUNTIF($T222:$W222,$V222)-1)/2</f>
        <v>4</v>
      </c>
      <c r="AE222" s="0" t="n">
        <f aca="false">1+COUNTIF($T222:$W222,"&gt;"&amp;$W222)+(COUNTIF($T222:$W222,$W222)-1)/2</f>
        <v>3</v>
      </c>
      <c r="AF222" s="0" t="n">
        <f aca="false">IFERROR(CORREL($P222:$S222,$T222:$W222),"")</f>
        <v>-0.111348430560805</v>
      </c>
      <c r="AG222" s="0" t="n">
        <f aca="false">IFERROR(CORREL($X222:$AA222,$AB222:$AE222),"")</f>
        <v>0</v>
      </c>
      <c r="AH222" s="0" t="n">
        <f aca="false">IFERROR((SIGN($P222-$Q222)*SIGN($T222-$U222)+SIGN($P222-$R222)*SIGN($T222-$V222)+SIGN($P222-$S222)*SIGN($T222-$W222)+SIGN($Q222-$R222)*SIGN($U222-$V222)+SIGN($Q222-$S222)*SIGN($U222-$W222)+SIGN($R222-$S222)*SIGN($V222-$W222))/SQRT((6-(($P222=$Q222)*1+($P222=$R222)*1+($P222=$S222)*1+($Q222=$R222)*1+($Q222=$S222)*1+($R222=$S222)*1))*(6-(($T222=$U222)*1+($T222=$V222)*1+($T222=$W222)*1+($U222=$V222)*1+($U222=$W222)*1+($V222=$W222)*1))),"")</f>
        <v>0</v>
      </c>
      <c r="AI222" s="0" t="n">
        <f aca="false">MATCH(MAX($K222:$O222),$K222:$O222,0)</f>
        <v>1</v>
      </c>
      <c r="AJ222" s="0" t="n">
        <f aca="false">IF(AI222&lt;&gt;$E222,1,0)</f>
        <v>1</v>
      </c>
      <c r="AK222" s="0" t="n">
        <f aca="false">IF(AJ222=1,INDEX($F222:$J222,AI222)/MAX($P222:$S222),"")</f>
        <v>0.422619047619048</v>
      </c>
      <c r="AL222" s="0" t="n">
        <f aca="false">IF(AJ222=1,1+COUNTIF($P222:$S222,"&gt;"&amp;INDEX($F222:$J222,AI222)),"")</f>
        <v>3</v>
      </c>
      <c r="AM222" s="0" t="n">
        <f aca="false">AVERAGE($P222:$S222)/MAX($P222:$S222)</f>
        <v>0.566964285714286</v>
      </c>
      <c r="AN222" s="0" t="n">
        <f aca="false">100-INDEX($F222:$J222,$E222)</f>
        <v>48.4</v>
      </c>
    </row>
    <row r="223" customFormat="false" ht="15" hidden="false" customHeight="false" outlineLevel="0" collapsed="false">
      <c r="A223" s="0" t="s">
        <v>40</v>
      </c>
      <c r="B223" s="0" t="n">
        <v>2018</v>
      </c>
      <c r="C223" s="0" t="s">
        <v>52</v>
      </c>
      <c r="D223" s="0" t="s">
        <v>44</v>
      </c>
      <c r="E223" s="0" t="n">
        <v>2</v>
      </c>
      <c r="F223" s="0" t="n">
        <v>11.6</v>
      </c>
      <c r="G223" s="0" t="n">
        <v>42.7</v>
      </c>
      <c r="H223" s="0" t="n">
        <v>10</v>
      </c>
      <c r="I223" s="0" t="n">
        <v>10.4</v>
      </c>
      <c r="J223" s="0" t="n">
        <v>15.2</v>
      </c>
      <c r="K223" s="0" t="n">
        <v>23.207630044</v>
      </c>
      <c r="L223" s="0" t="n">
        <v>4.03712231468</v>
      </c>
      <c r="M223" s="0" t="n">
        <v>6.34019537235</v>
      </c>
      <c r="N223" s="0" t="n">
        <v>52.0067614857</v>
      </c>
      <c r="O223" s="0" t="n">
        <v>14.4082907832</v>
      </c>
      <c r="P223" s="0" t="n">
        <f aca="false">INDEX($F223:$J223,IF(1&lt;$E223,1,1+1))</f>
        <v>11.6</v>
      </c>
      <c r="Q223" s="0" t="n">
        <f aca="false">INDEX($F223:$J223,IF(2&lt;$E223,2,2+1))</f>
        <v>10</v>
      </c>
      <c r="R223" s="0" t="n">
        <f aca="false">INDEX($F223:$J223,IF(3&lt;$E223,3,3+1))</f>
        <v>10.4</v>
      </c>
      <c r="S223" s="0" t="n">
        <f aca="false">INDEX($F223:$J223,IF(4&lt;$E223,4,4+1))</f>
        <v>15.2</v>
      </c>
      <c r="T223" s="0" t="n">
        <f aca="false">INDEX($K223:$O223,IF(1&lt;$E223,1,1+1))</f>
        <v>23.207630044</v>
      </c>
      <c r="U223" s="0" t="n">
        <f aca="false">INDEX($K223:$O223,IF(2&lt;$E223,2,2+1))</f>
        <v>6.34019537235</v>
      </c>
      <c r="V223" s="0" t="n">
        <f aca="false">INDEX($K223:$O223,IF(3&lt;$E223,3,3+1))</f>
        <v>52.0067614857</v>
      </c>
      <c r="W223" s="0" t="n">
        <f aca="false">INDEX($K223:$O223,IF(4&lt;$E223,4,4+1))</f>
        <v>14.4082907832</v>
      </c>
      <c r="X223" s="0" t="n">
        <f aca="false">1+COUNTIF($P223:$S223,"&gt;"&amp;$P223)+(COUNTIF($P223:$S223,$P223)-1)/2</f>
        <v>2</v>
      </c>
      <c r="Y223" s="0" t="n">
        <f aca="false">1+COUNTIF($P223:$S223,"&gt;"&amp;$Q223)+(COUNTIF($P223:$S223,$Q223)-1)/2</f>
        <v>4</v>
      </c>
      <c r="Z223" s="0" t="n">
        <f aca="false">1+COUNTIF($P223:$S223,"&gt;"&amp;$R223)+(COUNTIF($P223:$S223,$R223)-1)/2</f>
        <v>3</v>
      </c>
      <c r="AA223" s="0" t="n">
        <f aca="false">1+COUNTIF($P223:$S223,"&gt;"&amp;$S223)+(COUNTIF($P223:$S223,$S223)-1)/2</f>
        <v>1</v>
      </c>
      <c r="AB223" s="0" t="n">
        <f aca="false">1+COUNTIF($T223:$W223,"&gt;"&amp;$T223)+(COUNTIF($T223:$W223,$T223)-1)/2</f>
        <v>2</v>
      </c>
      <c r="AC223" s="0" t="n">
        <f aca="false">1+COUNTIF($T223:$W223,"&gt;"&amp;$U223)+(COUNTIF($T223:$W223,$U223)-1)/2</f>
        <v>4</v>
      </c>
      <c r="AD223" s="0" t="n">
        <f aca="false">1+COUNTIF($T223:$W223,"&gt;"&amp;$V223)+(COUNTIF($T223:$W223,$V223)-1)/2</f>
        <v>1</v>
      </c>
      <c r="AE223" s="0" t="n">
        <f aca="false">1+COUNTIF($T223:$W223,"&gt;"&amp;$W223)+(COUNTIF($T223:$W223,$W223)-1)/2</f>
        <v>3</v>
      </c>
      <c r="AF223" s="0" t="n">
        <f aca="false">IFERROR(CORREL($P223:$S223,$T223:$W223),"")</f>
        <v>-0.282149642710146</v>
      </c>
      <c r="AG223" s="0" t="n">
        <f aca="false">IFERROR(CORREL($X223:$AA223,$AB223:$AE223),"")</f>
        <v>0.2</v>
      </c>
      <c r="AH223" s="0" t="n">
        <f aca="false">IFERROR((SIGN($P223-$Q223)*SIGN($T223-$U223)+SIGN($P223-$R223)*SIGN($T223-$V223)+SIGN($P223-$S223)*SIGN($T223-$W223)+SIGN($Q223-$R223)*SIGN($U223-$V223)+SIGN($Q223-$S223)*SIGN($U223-$W223)+SIGN($R223-$S223)*SIGN($V223-$W223))/SQRT((6-(($P223=$Q223)*1+($P223=$R223)*1+($P223=$S223)*1+($Q223=$R223)*1+($Q223=$S223)*1+($R223=$S223)*1))*(6-(($T223=$U223)*1+($T223=$V223)*1+($T223=$W223)*1+($U223=$V223)*1+($U223=$W223)*1+($V223=$W223)*1))),"")</f>
        <v>0</v>
      </c>
      <c r="AI223" s="0" t="n">
        <f aca="false">MATCH(MAX($K223:$O223),$K223:$O223,0)</f>
        <v>4</v>
      </c>
      <c r="AJ223" s="0" t="n">
        <f aca="false">IF(AI223&lt;&gt;$E223,1,0)</f>
        <v>1</v>
      </c>
      <c r="AK223" s="0" t="n">
        <f aca="false">IF(AJ223=1,INDEX($F223:$J223,AI223)/MAX($P223:$S223),"")</f>
        <v>0.68421052631579</v>
      </c>
      <c r="AL223" s="0" t="n">
        <f aca="false">IF(AJ223=1,1+COUNTIF($P223:$S223,"&gt;"&amp;INDEX($F223:$J223,AI223)),"")</f>
        <v>3</v>
      </c>
      <c r="AM223" s="0" t="n">
        <f aca="false">AVERAGE($P223:$S223)/MAX($P223:$S223)</f>
        <v>0.776315789473684</v>
      </c>
      <c r="AN223" s="0" t="n">
        <f aca="false">100-INDEX($F223:$J223,$E223)</f>
        <v>57.3</v>
      </c>
    </row>
    <row r="224" customFormat="false" ht="15" hidden="false" customHeight="false" outlineLevel="0" collapsed="false">
      <c r="A224" s="0" t="s">
        <v>40</v>
      </c>
      <c r="B224" s="0" t="n">
        <v>2018</v>
      </c>
      <c r="C224" s="0" t="s">
        <v>52</v>
      </c>
      <c r="D224" s="0" t="s">
        <v>45</v>
      </c>
      <c r="E224" s="0" t="n">
        <v>1</v>
      </c>
      <c r="F224" s="0" t="n">
        <v>26.3</v>
      </c>
      <c r="G224" s="0" t="n">
        <v>20.5</v>
      </c>
      <c r="H224" s="0" t="n">
        <v>10.2</v>
      </c>
      <c r="I224" s="0" t="n">
        <v>10.4</v>
      </c>
      <c r="J224" s="0" t="n">
        <v>22.3</v>
      </c>
      <c r="K224" s="0" t="n">
        <v>27.3482022729</v>
      </c>
      <c r="L224" s="0" t="n">
        <v>8.89857359096</v>
      </c>
      <c r="M224" s="0" t="n">
        <v>13.8342650368</v>
      </c>
      <c r="N224" s="0" t="n">
        <v>4.16026115879</v>
      </c>
      <c r="O224" s="0" t="n">
        <v>45.7586979405</v>
      </c>
      <c r="P224" s="0" t="n">
        <f aca="false">INDEX($F224:$J224,IF(1&lt;$E224,1,1+1))</f>
        <v>20.5</v>
      </c>
      <c r="Q224" s="0" t="n">
        <f aca="false">INDEX($F224:$J224,IF(2&lt;$E224,2,2+1))</f>
        <v>10.2</v>
      </c>
      <c r="R224" s="0" t="n">
        <f aca="false">INDEX($F224:$J224,IF(3&lt;$E224,3,3+1))</f>
        <v>10.4</v>
      </c>
      <c r="S224" s="0" t="n">
        <f aca="false">INDEX($F224:$J224,IF(4&lt;$E224,4,4+1))</f>
        <v>22.3</v>
      </c>
      <c r="T224" s="0" t="n">
        <f aca="false">INDEX($K224:$O224,IF(1&lt;$E224,1,1+1))</f>
        <v>8.89857359096</v>
      </c>
      <c r="U224" s="0" t="n">
        <f aca="false">INDEX($K224:$O224,IF(2&lt;$E224,2,2+1))</f>
        <v>13.8342650368</v>
      </c>
      <c r="V224" s="0" t="n">
        <f aca="false">INDEX($K224:$O224,IF(3&lt;$E224,3,3+1))</f>
        <v>4.16026115879</v>
      </c>
      <c r="W224" s="0" t="n">
        <f aca="false">INDEX($K224:$O224,IF(4&lt;$E224,4,4+1))</f>
        <v>45.7586979405</v>
      </c>
      <c r="X224" s="0" t="n">
        <f aca="false">1+COUNTIF($P224:$S224,"&gt;"&amp;$P224)+(COUNTIF($P224:$S224,$P224)-1)/2</f>
        <v>2</v>
      </c>
      <c r="Y224" s="0" t="n">
        <f aca="false">1+COUNTIF($P224:$S224,"&gt;"&amp;$Q224)+(COUNTIF($P224:$S224,$Q224)-1)/2</f>
        <v>4</v>
      </c>
      <c r="Z224" s="0" t="n">
        <f aca="false">1+COUNTIF($P224:$S224,"&gt;"&amp;$R224)+(COUNTIF($P224:$S224,$R224)-1)/2</f>
        <v>3</v>
      </c>
      <c r="AA224" s="0" t="n">
        <f aca="false">1+COUNTIF($P224:$S224,"&gt;"&amp;$S224)+(COUNTIF($P224:$S224,$S224)-1)/2</f>
        <v>1</v>
      </c>
      <c r="AB224" s="0" t="n">
        <f aca="false">1+COUNTIF($T224:$W224,"&gt;"&amp;$T224)+(COUNTIF($T224:$W224,$T224)-1)/2</f>
        <v>3</v>
      </c>
      <c r="AC224" s="0" t="n">
        <f aca="false">1+COUNTIF($T224:$W224,"&gt;"&amp;$U224)+(COUNTIF($T224:$W224,$U224)-1)/2</f>
        <v>2</v>
      </c>
      <c r="AD224" s="0" t="n">
        <f aca="false">1+COUNTIF($T224:$W224,"&gt;"&amp;$V224)+(COUNTIF($T224:$W224,$V224)-1)/2</f>
        <v>4</v>
      </c>
      <c r="AE224" s="0" t="n">
        <f aca="false">1+COUNTIF($T224:$W224,"&gt;"&amp;$W224)+(COUNTIF($T224:$W224,$W224)-1)/2</f>
        <v>1</v>
      </c>
      <c r="AF224" s="0" t="n">
        <f aca="false">IFERROR(CORREL($P224:$S224,$T224:$W224),"")</f>
        <v>0.647204035148671</v>
      </c>
      <c r="AG224" s="0" t="n">
        <f aca="false">IFERROR(CORREL($X224:$AA224,$AB224:$AE224),"")</f>
        <v>0.4</v>
      </c>
      <c r="AH224" s="0" t="n">
        <f aca="false">IFERROR((SIGN($P224-$Q224)*SIGN($T224-$U224)+SIGN($P224-$R224)*SIGN($T224-$V224)+SIGN($P224-$S224)*SIGN($T224-$W224)+SIGN($Q224-$R224)*SIGN($U224-$V224)+SIGN($Q224-$S224)*SIGN($U224-$W224)+SIGN($R224-$S224)*SIGN($V224-$W224))/SQRT((6-(($P224=$Q224)*1+($P224=$R224)*1+($P224=$S224)*1+($Q224=$R224)*1+($Q224=$S224)*1+($R224=$S224)*1))*(6-(($T224=$U224)*1+($T224=$V224)*1+($T224=$W224)*1+($U224=$V224)*1+($U224=$W224)*1+($V224=$W224)*1))),"")</f>
        <v>0.333333333333333</v>
      </c>
      <c r="AI224" s="0" t="n">
        <f aca="false">MATCH(MAX($K224:$O224),$K224:$O224,0)</f>
        <v>5</v>
      </c>
      <c r="AJ224" s="0" t="n">
        <f aca="false">IF(AI224&lt;&gt;$E224,1,0)</f>
        <v>1</v>
      </c>
      <c r="AK224" s="0" t="n">
        <f aca="false">IF(AJ224=1,INDEX($F224:$J224,AI224)/MAX($P224:$S224),"")</f>
        <v>1</v>
      </c>
      <c r="AL224" s="0" t="n">
        <f aca="false">IF(AJ224=1,1+COUNTIF($P224:$S224,"&gt;"&amp;INDEX($F224:$J224,AI224)),"")</f>
        <v>1</v>
      </c>
      <c r="AM224" s="0" t="n">
        <f aca="false">AVERAGE($P224:$S224)/MAX($P224:$S224)</f>
        <v>0.710762331838565</v>
      </c>
      <c r="AN224" s="0" t="n">
        <f aca="false">100-INDEX($F224:$J224,$E224)</f>
        <v>73.7</v>
      </c>
    </row>
    <row r="225" customFormat="false" ht="15" hidden="false" customHeight="false" outlineLevel="0" collapsed="false">
      <c r="A225" s="0" t="s">
        <v>40</v>
      </c>
      <c r="B225" s="0" t="n">
        <v>2018</v>
      </c>
      <c r="C225" s="0" t="s">
        <v>46</v>
      </c>
      <c r="D225" s="0" t="s">
        <v>42</v>
      </c>
      <c r="E225" s="0" t="n">
        <v>2</v>
      </c>
      <c r="F225" s="0" t="n">
        <v>11.2</v>
      </c>
      <c r="G225" s="0" t="n">
        <v>39.7</v>
      </c>
      <c r="H225" s="0" t="n">
        <v>5.9</v>
      </c>
      <c r="I225" s="0" t="n">
        <v>4.6</v>
      </c>
      <c r="J225" s="0" t="n">
        <v>23</v>
      </c>
      <c r="K225" s="0" t="n">
        <v>83.9667326672</v>
      </c>
      <c r="L225" s="0" t="n">
        <v>2.25940977203</v>
      </c>
      <c r="M225" s="0" t="n">
        <v>0.647183147144</v>
      </c>
      <c r="N225" s="0" t="n">
        <v>0.12842036818</v>
      </c>
      <c r="O225" s="0" t="n">
        <v>12.9982540454</v>
      </c>
      <c r="P225" s="0" t="n">
        <f aca="false">INDEX($F225:$J225,IF(1&lt;$E225,1,1+1))</f>
        <v>11.2</v>
      </c>
      <c r="Q225" s="0" t="n">
        <f aca="false">INDEX($F225:$J225,IF(2&lt;$E225,2,2+1))</f>
        <v>5.9</v>
      </c>
      <c r="R225" s="0" t="n">
        <f aca="false">INDEX($F225:$J225,IF(3&lt;$E225,3,3+1))</f>
        <v>4.6</v>
      </c>
      <c r="S225" s="0" t="n">
        <f aca="false">INDEX($F225:$J225,IF(4&lt;$E225,4,4+1))</f>
        <v>23</v>
      </c>
      <c r="T225" s="0" t="n">
        <f aca="false">INDEX($K225:$O225,IF(1&lt;$E225,1,1+1))</f>
        <v>83.9667326672</v>
      </c>
      <c r="U225" s="0" t="n">
        <f aca="false">INDEX($K225:$O225,IF(2&lt;$E225,2,2+1))</f>
        <v>0.647183147144</v>
      </c>
      <c r="V225" s="0" t="n">
        <f aca="false">INDEX($K225:$O225,IF(3&lt;$E225,3,3+1))</f>
        <v>0.12842036818</v>
      </c>
      <c r="W225" s="0" t="n">
        <f aca="false">INDEX($K225:$O225,IF(4&lt;$E225,4,4+1))</f>
        <v>12.9982540454</v>
      </c>
      <c r="X225" s="0" t="n">
        <f aca="false">1+COUNTIF($P225:$S225,"&gt;"&amp;$P225)+(COUNTIF($P225:$S225,$P225)-1)/2</f>
        <v>2</v>
      </c>
      <c r="Y225" s="0" t="n">
        <f aca="false">1+COUNTIF($P225:$S225,"&gt;"&amp;$Q225)+(COUNTIF($P225:$S225,$Q225)-1)/2</f>
        <v>3</v>
      </c>
      <c r="Z225" s="0" t="n">
        <f aca="false">1+COUNTIF($P225:$S225,"&gt;"&amp;$R225)+(COUNTIF($P225:$S225,$R225)-1)/2</f>
        <v>4</v>
      </c>
      <c r="AA225" s="0" t="n">
        <f aca="false">1+COUNTIF($P225:$S225,"&gt;"&amp;$S225)+(COUNTIF($P225:$S225,$S225)-1)/2</f>
        <v>1</v>
      </c>
      <c r="AB225" s="0" t="n">
        <f aca="false">1+COUNTIF($T225:$W225,"&gt;"&amp;$T225)+(COUNTIF($T225:$W225,$T225)-1)/2</f>
        <v>1</v>
      </c>
      <c r="AC225" s="0" t="n">
        <f aca="false">1+COUNTIF($T225:$W225,"&gt;"&amp;$U225)+(COUNTIF($T225:$W225,$U225)-1)/2</f>
        <v>3</v>
      </c>
      <c r="AD225" s="0" t="n">
        <f aca="false">1+COUNTIF($T225:$W225,"&gt;"&amp;$V225)+(COUNTIF($T225:$W225,$V225)-1)/2</f>
        <v>4</v>
      </c>
      <c r="AE225" s="0" t="n">
        <f aca="false">1+COUNTIF($T225:$W225,"&gt;"&amp;$W225)+(COUNTIF($T225:$W225,$W225)-1)/2</f>
        <v>2</v>
      </c>
      <c r="AF225" s="0" t="n">
        <f aca="false">IFERROR(CORREL($P225:$S225,$T225:$W225),"")</f>
        <v>0.150132988326071</v>
      </c>
      <c r="AG225" s="0" t="n">
        <f aca="false">IFERROR(CORREL($X225:$AA225,$AB225:$AE225),"")</f>
        <v>0.8</v>
      </c>
      <c r="AH225" s="0" t="n">
        <f aca="false">IFERROR((SIGN($P225-$Q225)*SIGN($T225-$U225)+SIGN($P225-$R225)*SIGN($T225-$V225)+SIGN($P225-$S225)*SIGN($T225-$W225)+SIGN($Q225-$R225)*SIGN($U225-$V225)+SIGN($Q225-$S225)*SIGN($U225-$W225)+SIGN($R225-$S225)*SIGN($V225-$W225))/SQRT((6-(($P225=$Q225)*1+($P225=$R225)*1+($P225=$S225)*1+($Q225=$R225)*1+($Q225=$S225)*1+($R225=$S225)*1))*(6-(($T225=$U225)*1+($T225=$V225)*1+($T225=$W225)*1+($U225=$V225)*1+($U225=$W225)*1+($V225=$W225)*1))),"")</f>
        <v>0.666666666666667</v>
      </c>
      <c r="AI225" s="0" t="n">
        <f aca="false">MATCH(MAX($K225:$O225),$K225:$O225,0)</f>
        <v>1</v>
      </c>
      <c r="AJ225" s="0" t="n">
        <f aca="false">IF(AI225&lt;&gt;$E225,1,0)</f>
        <v>1</v>
      </c>
      <c r="AK225" s="0" t="n">
        <f aca="false">IF(AJ225=1,INDEX($F225:$J225,AI225)/MAX($P225:$S225),"")</f>
        <v>0.48695652173913</v>
      </c>
      <c r="AL225" s="0" t="n">
        <f aca="false">IF(AJ225=1,1+COUNTIF($P225:$S225,"&gt;"&amp;INDEX($F225:$J225,AI225)),"")</f>
        <v>2</v>
      </c>
      <c r="AM225" s="0" t="n">
        <f aca="false">AVERAGE($P225:$S225)/MAX($P225:$S225)</f>
        <v>0.485869565217391</v>
      </c>
      <c r="AN225" s="0" t="n">
        <f aca="false">100-INDEX($F225:$J225,$E225)</f>
        <v>60.3</v>
      </c>
    </row>
    <row r="226" customFormat="false" ht="15" hidden="false" customHeight="false" outlineLevel="0" collapsed="false">
      <c r="A226" s="0" t="s">
        <v>40</v>
      </c>
      <c r="B226" s="0" t="n">
        <v>2018</v>
      </c>
      <c r="C226" s="0" t="s">
        <v>46</v>
      </c>
      <c r="D226" s="0" t="s">
        <v>43</v>
      </c>
      <c r="E226" s="0" t="n">
        <v>1</v>
      </c>
      <c r="F226" s="0" t="n">
        <v>39.2</v>
      </c>
      <c r="G226" s="0" t="n">
        <v>13.8</v>
      </c>
      <c r="H226" s="0" t="n">
        <v>10.7</v>
      </c>
      <c r="I226" s="0" t="n">
        <v>9.5</v>
      </c>
      <c r="J226" s="0" t="n">
        <v>10.7</v>
      </c>
      <c r="K226" s="0" t="n">
        <v>21.1176574483</v>
      </c>
      <c r="L226" s="0" t="n">
        <v>4.31086655046</v>
      </c>
      <c r="M226" s="0" t="n">
        <v>30.668334222</v>
      </c>
      <c r="N226" s="0" t="n">
        <v>20.5672628328</v>
      </c>
      <c r="O226" s="0" t="n">
        <v>23.3358789464</v>
      </c>
      <c r="P226" s="0" t="n">
        <f aca="false">INDEX($F226:$J226,IF(1&lt;$E226,1,1+1))</f>
        <v>13.8</v>
      </c>
      <c r="Q226" s="0" t="n">
        <f aca="false">INDEX($F226:$J226,IF(2&lt;$E226,2,2+1))</f>
        <v>10.7</v>
      </c>
      <c r="R226" s="0" t="n">
        <f aca="false">INDEX($F226:$J226,IF(3&lt;$E226,3,3+1))</f>
        <v>9.5</v>
      </c>
      <c r="S226" s="0" t="n">
        <f aca="false">INDEX($F226:$J226,IF(4&lt;$E226,4,4+1))</f>
        <v>10.7</v>
      </c>
      <c r="T226" s="0" t="n">
        <f aca="false">INDEX($K226:$O226,IF(1&lt;$E226,1,1+1))</f>
        <v>4.31086655046</v>
      </c>
      <c r="U226" s="0" t="n">
        <f aca="false">INDEX($K226:$O226,IF(2&lt;$E226,2,2+1))</f>
        <v>30.668334222</v>
      </c>
      <c r="V226" s="0" t="n">
        <f aca="false">INDEX($K226:$O226,IF(3&lt;$E226,3,3+1))</f>
        <v>20.5672628328</v>
      </c>
      <c r="W226" s="0" t="n">
        <f aca="false">INDEX($K226:$O226,IF(4&lt;$E226,4,4+1))</f>
        <v>23.3358789464</v>
      </c>
      <c r="X226" s="0" t="n">
        <f aca="false">1+COUNTIF($P226:$S226,"&gt;"&amp;$P226)+(COUNTIF($P226:$S226,$P226)-1)/2</f>
        <v>1</v>
      </c>
      <c r="Y226" s="0" t="n">
        <f aca="false">1+COUNTIF($P226:$S226,"&gt;"&amp;$Q226)+(COUNTIF($P226:$S226,$Q226)-1)/2</f>
        <v>2.5</v>
      </c>
      <c r="Z226" s="0" t="n">
        <f aca="false">1+COUNTIF($P226:$S226,"&gt;"&amp;$R226)+(COUNTIF($P226:$S226,$R226)-1)/2</f>
        <v>4</v>
      </c>
      <c r="AA226" s="0" t="n">
        <f aca="false">1+COUNTIF($P226:$S226,"&gt;"&amp;$S226)+(COUNTIF($P226:$S226,$S226)-1)/2</f>
        <v>2.5</v>
      </c>
      <c r="AB226" s="0" t="n">
        <f aca="false">1+COUNTIF($T226:$W226,"&gt;"&amp;$T226)+(COUNTIF($T226:$W226,$T226)-1)/2</f>
        <v>4</v>
      </c>
      <c r="AC226" s="0" t="n">
        <f aca="false">1+COUNTIF($T226:$W226,"&gt;"&amp;$U226)+(COUNTIF($T226:$W226,$U226)-1)/2</f>
        <v>1</v>
      </c>
      <c r="AD226" s="0" t="n">
        <f aca="false">1+COUNTIF($T226:$W226,"&gt;"&amp;$V226)+(COUNTIF($T226:$W226,$V226)-1)/2</f>
        <v>3</v>
      </c>
      <c r="AE226" s="0" t="n">
        <f aca="false">1+COUNTIF($T226:$W226,"&gt;"&amp;$W226)+(COUNTIF($T226:$W226,$W226)-1)/2</f>
        <v>2</v>
      </c>
      <c r="AF226" s="0" t="n">
        <f aca="false">IFERROR(CORREL($P226:$S226,$T226:$W226),"")</f>
        <v>-0.795008102261039</v>
      </c>
      <c r="AG226" s="0" t="n">
        <f aca="false">IFERROR(CORREL($X226:$AA226,$AB226:$AE226),"")</f>
        <v>-0.316227766016838</v>
      </c>
      <c r="AH226" s="0" t="n">
        <f aca="false">IFERROR((SIGN($P226-$Q226)*SIGN($T226-$U226)+SIGN($P226-$R226)*SIGN($T226-$V226)+SIGN($P226-$S226)*SIGN($T226-$W226)+SIGN($Q226-$R226)*SIGN($U226-$V226)+SIGN($Q226-$S226)*SIGN($U226-$W226)+SIGN($R226-$S226)*SIGN($V226-$W226))/SQRT((6-(($P226=$Q226)*1+($P226=$R226)*1+($P226=$S226)*1+($Q226=$R226)*1+($Q226=$S226)*1+($R226=$S226)*1))*(6-(($T226=$U226)*1+($T226=$V226)*1+($T226=$W226)*1+($U226=$V226)*1+($U226=$W226)*1+($V226=$W226)*1))),"")</f>
        <v>-0.182574185835055</v>
      </c>
      <c r="AI226" s="0" t="n">
        <f aca="false">MATCH(MAX($K226:$O226),$K226:$O226,0)</f>
        <v>3</v>
      </c>
      <c r="AJ226" s="0" t="n">
        <f aca="false">IF(AI226&lt;&gt;$E226,1,0)</f>
        <v>1</v>
      </c>
      <c r="AK226" s="0" t="n">
        <f aca="false">IF(AJ226=1,INDEX($F226:$J226,AI226)/MAX($P226:$S226),"")</f>
        <v>0.77536231884058</v>
      </c>
      <c r="AL226" s="0" t="n">
        <f aca="false">IF(AJ226=1,1+COUNTIF($P226:$S226,"&gt;"&amp;INDEX($F226:$J226,AI226)),"")</f>
        <v>2</v>
      </c>
      <c r="AM226" s="0" t="n">
        <f aca="false">AVERAGE($P226:$S226)/MAX($P226:$S226)</f>
        <v>0.809782608695652</v>
      </c>
      <c r="AN226" s="0" t="n">
        <f aca="false">100-INDEX($F226:$J226,$E226)</f>
        <v>60.8</v>
      </c>
    </row>
    <row r="227" customFormat="false" ht="15" hidden="false" customHeight="false" outlineLevel="0" collapsed="false">
      <c r="A227" s="0" t="s">
        <v>40</v>
      </c>
      <c r="B227" s="0" t="n">
        <v>2018</v>
      </c>
      <c r="C227" s="0" t="s">
        <v>46</v>
      </c>
      <c r="D227" s="0" t="s">
        <v>44</v>
      </c>
      <c r="E227" s="0" t="n">
        <v>3</v>
      </c>
      <c r="F227" s="0" t="n">
        <v>9.6</v>
      </c>
      <c r="G227" s="0" t="n">
        <v>9</v>
      </c>
      <c r="H227" s="0" t="n">
        <v>41.4</v>
      </c>
      <c r="I227" s="0" t="n">
        <v>11.6</v>
      </c>
      <c r="J227" s="0" t="n">
        <v>12.1</v>
      </c>
      <c r="K227" s="0" t="n">
        <v>4.0789478822</v>
      </c>
      <c r="L227" s="0" t="n">
        <v>4.97741636104</v>
      </c>
      <c r="M227" s="0" t="n">
        <v>55.8504528562</v>
      </c>
      <c r="N227" s="0" t="n">
        <v>8.27579020991</v>
      </c>
      <c r="O227" s="0" t="n">
        <v>26.8173926907</v>
      </c>
      <c r="P227" s="0" t="n">
        <f aca="false">INDEX($F227:$J227,IF(1&lt;$E227,1,1+1))</f>
        <v>9.6</v>
      </c>
      <c r="Q227" s="0" t="n">
        <f aca="false">INDEX($F227:$J227,IF(2&lt;$E227,2,2+1))</f>
        <v>9</v>
      </c>
      <c r="R227" s="0" t="n">
        <f aca="false">INDEX($F227:$J227,IF(3&lt;$E227,3,3+1))</f>
        <v>11.6</v>
      </c>
      <c r="S227" s="0" t="n">
        <f aca="false">INDEX($F227:$J227,IF(4&lt;$E227,4,4+1))</f>
        <v>12.1</v>
      </c>
      <c r="T227" s="0" t="n">
        <f aca="false">INDEX($K227:$O227,IF(1&lt;$E227,1,1+1))</f>
        <v>4.0789478822</v>
      </c>
      <c r="U227" s="0" t="n">
        <f aca="false">INDEX($K227:$O227,IF(2&lt;$E227,2,2+1))</f>
        <v>4.97741636104</v>
      </c>
      <c r="V227" s="0" t="n">
        <f aca="false">INDEX($K227:$O227,IF(3&lt;$E227,3,3+1))</f>
        <v>8.27579020991</v>
      </c>
      <c r="W227" s="0" t="n">
        <f aca="false">INDEX($K227:$O227,IF(4&lt;$E227,4,4+1))</f>
        <v>26.8173926907</v>
      </c>
      <c r="X227" s="0" t="n">
        <f aca="false">1+COUNTIF($P227:$S227,"&gt;"&amp;$P227)+(COUNTIF($P227:$S227,$P227)-1)/2</f>
        <v>3</v>
      </c>
      <c r="Y227" s="0" t="n">
        <f aca="false">1+COUNTIF($P227:$S227,"&gt;"&amp;$Q227)+(COUNTIF($P227:$S227,$Q227)-1)/2</f>
        <v>4</v>
      </c>
      <c r="Z227" s="0" t="n">
        <f aca="false">1+COUNTIF($P227:$S227,"&gt;"&amp;$R227)+(COUNTIF($P227:$S227,$R227)-1)/2</f>
        <v>2</v>
      </c>
      <c r="AA227" s="0" t="n">
        <f aca="false">1+COUNTIF($P227:$S227,"&gt;"&amp;$S227)+(COUNTIF($P227:$S227,$S227)-1)/2</f>
        <v>1</v>
      </c>
      <c r="AB227" s="0" t="n">
        <f aca="false">1+COUNTIF($T227:$W227,"&gt;"&amp;$T227)+(COUNTIF($T227:$W227,$T227)-1)/2</f>
        <v>4</v>
      </c>
      <c r="AC227" s="0" t="n">
        <f aca="false">1+COUNTIF($T227:$W227,"&gt;"&amp;$U227)+(COUNTIF($T227:$W227,$U227)-1)/2</f>
        <v>3</v>
      </c>
      <c r="AD227" s="0" t="n">
        <f aca="false">1+COUNTIF($T227:$W227,"&gt;"&amp;$V227)+(COUNTIF($T227:$W227,$V227)-1)/2</f>
        <v>2</v>
      </c>
      <c r="AE227" s="0" t="n">
        <f aca="false">1+COUNTIF($T227:$W227,"&gt;"&amp;$W227)+(COUNTIF($T227:$W227,$W227)-1)/2</f>
        <v>1</v>
      </c>
      <c r="AF227" s="0" t="n">
        <f aca="false">IFERROR(CORREL($P227:$S227,$T227:$W227),"")</f>
        <v>0.778739227765745</v>
      </c>
      <c r="AG227" s="0" t="n">
        <f aca="false">IFERROR(CORREL($X227:$AA227,$AB227:$AE227),"")</f>
        <v>0.8</v>
      </c>
      <c r="AH227" s="0" t="n">
        <f aca="false">IFERROR((SIGN($P227-$Q227)*SIGN($T227-$U227)+SIGN($P227-$R227)*SIGN($T227-$V227)+SIGN($P227-$S227)*SIGN($T227-$W227)+SIGN($Q227-$R227)*SIGN($U227-$V227)+SIGN($Q227-$S227)*SIGN($U227-$W227)+SIGN($R227-$S227)*SIGN($V227-$W227))/SQRT((6-(($P227=$Q227)*1+($P227=$R227)*1+($P227=$S227)*1+($Q227=$R227)*1+($Q227=$S227)*1+($R227=$S227)*1))*(6-(($T227=$U227)*1+($T227=$V227)*1+($T227=$W227)*1+($U227=$V227)*1+($U227=$W227)*1+($V227=$W227)*1))),"")</f>
        <v>0.666666666666667</v>
      </c>
      <c r="AI227" s="0" t="n">
        <f aca="false">MATCH(MAX($K227:$O227),$K227:$O227,0)</f>
        <v>3</v>
      </c>
      <c r="AJ227" s="0" t="n">
        <f aca="false">IF(AI227&lt;&gt;$E227,1,0)</f>
        <v>0</v>
      </c>
      <c r="AK227" s="0" t="str">
        <f aca="false">IF(AJ227=1,INDEX($F227:$J227,AI227)/MAX($P227:$S227),"")</f>
        <v/>
      </c>
      <c r="AL227" s="0" t="str">
        <f aca="false">IF(AJ227=1,1+COUNTIF($P227:$S227,"&gt;"&amp;INDEX($F227:$J227,AI227)),"")</f>
        <v/>
      </c>
      <c r="AM227" s="0" t="n">
        <f aca="false">AVERAGE($P227:$S227)/MAX($P227:$S227)</f>
        <v>0.87396694214876</v>
      </c>
      <c r="AN227" s="0" t="n">
        <f aca="false">100-INDEX($F227:$J227,$E227)</f>
        <v>58.6</v>
      </c>
    </row>
    <row r="228" customFormat="false" ht="15" hidden="false" customHeight="false" outlineLevel="0" collapsed="false">
      <c r="A228" s="0" t="s">
        <v>40</v>
      </c>
      <c r="B228" s="0" t="n">
        <v>2018</v>
      </c>
      <c r="C228" s="0" t="s">
        <v>46</v>
      </c>
      <c r="D228" s="0" t="s">
        <v>45</v>
      </c>
      <c r="E228" s="0" t="n">
        <v>4</v>
      </c>
      <c r="F228" s="0" t="n">
        <v>10.9</v>
      </c>
      <c r="G228" s="0" t="n">
        <v>10.4</v>
      </c>
      <c r="H228" s="0" t="n">
        <v>12.1</v>
      </c>
      <c r="I228" s="0" t="n">
        <v>37.4</v>
      </c>
      <c r="J228" s="0" t="n">
        <v>12.7</v>
      </c>
      <c r="K228" s="0" t="n">
        <v>14.8926302927</v>
      </c>
      <c r="L228" s="0" t="n">
        <v>32.3843902604</v>
      </c>
      <c r="M228" s="0" t="n">
        <v>5.2478506987</v>
      </c>
      <c r="N228" s="0" t="n">
        <v>28.5303724554</v>
      </c>
      <c r="O228" s="0" t="n">
        <v>18.9447562928</v>
      </c>
      <c r="P228" s="0" t="n">
        <f aca="false">INDEX($F228:$J228,IF(1&lt;$E228,1,1+1))</f>
        <v>10.9</v>
      </c>
      <c r="Q228" s="0" t="n">
        <f aca="false">INDEX($F228:$J228,IF(2&lt;$E228,2,2+1))</f>
        <v>10.4</v>
      </c>
      <c r="R228" s="0" t="n">
        <f aca="false">INDEX($F228:$J228,IF(3&lt;$E228,3,3+1))</f>
        <v>12.1</v>
      </c>
      <c r="S228" s="0" t="n">
        <f aca="false">INDEX($F228:$J228,IF(4&lt;$E228,4,4+1))</f>
        <v>12.7</v>
      </c>
      <c r="T228" s="0" t="n">
        <f aca="false">INDEX($K228:$O228,IF(1&lt;$E228,1,1+1))</f>
        <v>14.8926302927</v>
      </c>
      <c r="U228" s="0" t="n">
        <f aca="false">INDEX($K228:$O228,IF(2&lt;$E228,2,2+1))</f>
        <v>32.3843902604</v>
      </c>
      <c r="V228" s="0" t="n">
        <f aca="false">INDEX($K228:$O228,IF(3&lt;$E228,3,3+1))</f>
        <v>5.2478506987</v>
      </c>
      <c r="W228" s="0" t="n">
        <f aca="false">INDEX($K228:$O228,IF(4&lt;$E228,4,4+1))</f>
        <v>18.9447562928</v>
      </c>
      <c r="X228" s="0" t="n">
        <f aca="false">1+COUNTIF($P228:$S228,"&gt;"&amp;$P228)+(COUNTIF($P228:$S228,$P228)-1)/2</f>
        <v>3</v>
      </c>
      <c r="Y228" s="0" t="n">
        <f aca="false">1+COUNTIF($P228:$S228,"&gt;"&amp;$Q228)+(COUNTIF($P228:$S228,$Q228)-1)/2</f>
        <v>4</v>
      </c>
      <c r="Z228" s="0" t="n">
        <f aca="false">1+COUNTIF($P228:$S228,"&gt;"&amp;$R228)+(COUNTIF($P228:$S228,$R228)-1)/2</f>
        <v>2</v>
      </c>
      <c r="AA228" s="0" t="n">
        <f aca="false">1+COUNTIF($P228:$S228,"&gt;"&amp;$S228)+(COUNTIF($P228:$S228,$S228)-1)/2</f>
        <v>1</v>
      </c>
      <c r="AB228" s="0" t="n">
        <f aca="false">1+COUNTIF($T228:$W228,"&gt;"&amp;$T228)+(COUNTIF($T228:$W228,$T228)-1)/2</f>
        <v>3</v>
      </c>
      <c r="AC228" s="0" t="n">
        <f aca="false">1+COUNTIF($T228:$W228,"&gt;"&amp;$U228)+(COUNTIF($T228:$W228,$U228)-1)/2</f>
        <v>1</v>
      </c>
      <c r="AD228" s="0" t="n">
        <f aca="false">1+COUNTIF($T228:$W228,"&gt;"&amp;$V228)+(COUNTIF($T228:$W228,$V228)-1)/2</f>
        <v>4</v>
      </c>
      <c r="AE228" s="0" t="n">
        <f aca="false">1+COUNTIF($T228:$W228,"&gt;"&amp;$W228)+(COUNTIF($T228:$W228,$W228)-1)/2</f>
        <v>2</v>
      </c>
      <c r="AF228" s="0" t="n">
        <f aca="false">IFERROR(CORREL($P228:$S228,$T228:$W228),"")</f>
        <v>-0.572024405970344</v>
      </c>
      <c r="AG228" s="0" t="n">
        <f aca="false">IFERROR(CORREL($X228:$AA228,$AB228:$AE228),"")</f>
        <v>-0.4</v>
      </c>
      <c r="AH228" s="0" t="n">
        <f aca="false">IFERROR((SIGN($P228-$Q228)*SIGN($T228-$U228)+SIGN($P228-$R228)*SIGN($T228-$V228)+SIGN($P228-$S228)*SIGN($T228-$W228)+SIGN($Q228-$R228)*SIGN($U228-$V228)+SIGN($Q228-$S228)*SIGN($U228-$W228)+SIGN($R228-$S228)*SIGN($V228-$W228))/SQRT((6-(($P228=$Q228)*1+($P228=$R228)*1+($P228=$S228)*1+($Q228=$R228)*1+($Q228=$S228)*1+($R228=$S228)*1))*(6-(($T228=$U228)*1+($T228=$V228)*1+($T228=$W228)*1+($U228=$V228)*1+($U228=$W228)*1+($V228=$W228)*1))),"")</f>
        <v>-0.333333333333333</v>
      </c>
      <c r="AI228" s="0" t="n">
        <f aca="false">MATCH(MAX($K228:$O228),$K228:$O228,0)</f>
        <v>2</v>
      </c>
      <c r="AJ228" s="0" t="n">
        <f aca="false">IF(AI228&lt;&gt;$E228,1,0)</f>
        <v>1</v>
      </c>
      <c r="AK228" s="0" t="n">
        <f aca="false">IF(AJ228=1,INDEX($F228:$J228,AI228)/MAX($P228:$S228),"")</f>
        <v>0.818897637795276</v>
      </c>
      <c r="AL228" s="0" t="n">
        <f aca="false">IF(AJ228=1,1+COUNTIF($P228:$S228,"&gt;"&amp;INDEX($F228:$J228,AI228)),"")</f>
        <v>4</v>
      </c>
      <c r="AM228" s="0" t="n">
        <f aca="false">AVERAGE($P228:$S228)/MAX($P228:$S228)</f>
        <v>0.90748031496063</v>
      </c>
      <c r="AN228" s="0" t="n">
        <f aca="false">100-INDEX($F228:$J228,$E228)</f>
        <v>62.6</v>
      </c>
    </row>
    <row r="229" customFormat="false" ht="15" hidden="false" customHeight="false" outlineLevel="0" collapsed="false">
      <c r="A229" s="0" t="s">
        <v>40</v>
      </c>
      <c r="B229" s="0" t="n">
        <v>2018</v>
      </c>
      <c r="C229" s="0" t="s">
        <v>47</v>
      </c>
      <c r="D229" s="0" t="s">
        <v>42</v>
      </c>
      <c r="E229" s="0" t="n">
        <v>1</v>
      </c>
      <c r="F229" s="0" t="n">
        <v>46.3</v>
      </c>
      <c r="G229" s="0" t="n">
        <v>16.6</v>
      </c>
      <c r="H229" s="0" t="n">
        <v>9</v>
      </c>
      <c r="I229" s="0" t="n">
        <v>10.8</v>
      </c>
      <c r="J229" s="0" t="n">
        <v>9.6</v>
      </c>
      <c r="K229" s="0" t="n">
        <v>22.3107467596</v>
      </c>
      <c r="L229" s="0" t="n">
        <v>36.9849622337</v>
      </c>
      <c r="M229" s="0" t="n">
        <v>33.1024684465</v>
      </c>
      <c r="N229" s="0" t="n">
        <v>5.08471494607</v>
      </c>
      <c r="O229" s="0" t="n">
        <v>2.51710761415</v>
      </c>
      <c r="P229" s="0" t="n">
        <f aca="false">INDEX($F229:$J229,IF(1&lt;$E229,1,1+1))</f>
        <v>16.6</v>
      </c>
      <c r="Q229" s="0" t="n">
        <f aca="false">INDEX($F229:$J229,IF(2&lt;$E229,2,2+1))</f>
        <v>9</v>
      </c>
      <c r="R229" s="0" t="n">
        <f aca="false">INDEX($F229:$J229,IF(3&lt;$E229,3,3+1))</f>
        <v>10.8</v>
      </c>
      <c r="S229" s="0" t="n">
        <f aca="false">INDEX($F229:$J229,IF(4&lt;$E229,4,4+1))</f>
        <v>9.6</v>
      </c>
      <c r="T229" s="0" t="n">
        <f aca="false">INDEX($K229:$O229,IF(1&lt;$E229,1,1+1))</f>
        <v>36.9849622337</v>
      </c>
      <c r="U229" s="0" t="n">
        <f aca="false">INDEX($K229:$O229,IF(2&lt;$E229,2,2+1))</f>
        <v>33.1024684465</v>
      </c>
      <c r="V229" s="0" t="n">
        <f aca="false">INDEX($K229:$O229,IF(3&lt;$E229,3,3+1))</f>
        <v>5.08471494607</v>
      </c>
      <c r="W229" s="0" t="n">
        <f aca="false">INDEX($K229:$O229,IF(4&lt;$E229,4,4+1))</f>
        <v>2.51710761415</v>
      </c>
      <c r="X229" s="0" t="n">
        <f aca="false">1+COUNTIF($P229:$S229,"&gt;"&amp;$P229)+(COUNTIF($P229:$S229,$P229)-1)/2</f>
        <v>1</v>
      </c>
      <c r="Y229" s="0" t="n">
        <f aca="false">1+COUNTIF($P229:$S229,"&gt;"&amp;$Q229)+(COUNTIF($P229:$S229,$Q229)-1)/2</f>
        <v>4</v>
      </c>
      <c r="Z229" s="0" t="n">
        <f aca="false">1+COUNTIF($P229:$S229,"&gt;"&amp;$R229)+(COUNTIF($P229:$S229,$R229)-1)/2</f>
        <v>2</v>
      </c>
      <c r="AA229" s="0" t="n">
        <f aca="false">1+COUNTIF($P229:$S229,"&gt;"&amp;$S229)+(COUNTIF($P229:$S229,$S229)-1)/2</f>
        <v>3</v>
      </c>
      <c r="AB229" s="0" t="n">
        <f aca="false">1+COUNTIF($T229:$W229,"&gt;"&amp;$T229)+(COUNTIF($T229:$W229,$T229)-1)/2</f>
        <v>1</v>
      </c>
      <c r="AC229" s="0" t="n">
        <f aca="false">1+COUNTIF($T229:$W229,"&gt;"&amp;$U229)+(COUNTIF($T229:$W229,$U229)-1)/2</f>
        <v>2</v>
      </c>
      <c r="AD229" s="0" t="n">
        <f aca="false">1+COUNTIF($T229:$W229,"&gt;"&amp;$V229)+(COUNTIF($T229:$W229,$V229)-1)/2</f>
        <v>3</v>
      </c>
      <c r="AE229" s="0" t="n">
        <f aca="false">1+COUNTIF($T229:$W229,"&gt;"&amp;$W229)+(COUNTIF($T229:$W229,$W229)-1)/2</f>
        <v>4</v>
      </c>
      <c r="AF229" s="0" t="n">
        <f aca="false">IFERROR(CORREL($P229:$S229,$T229:$W229),"")</f>
        <v>0.514824023269657</v>
      </c>
      <c r="AG229" s="0" t="n">
        <f aca="false">IFERROR(CORREL($X229:$AA229,$AB229:$AE229),"")</f>
        <v>0.4</v>
      </c>
      <c r="AH229" s="0" t="n">
        <f aca="false">IFERROR((SIGN($P229-$Q229)*SIGN($T229-$U229)+SIGN($P229-$R229)*SIGN($T229-$V229)+SIGN($P229-$S229)*SIGN($T229-$W229)+SIGN($Q229-$R229)*SIGN($U229-$V229)+SIGN($Q229-$S229)*SIGN($U229-$W229)+SIGN($R229-$S229)*SIGN($V229-$W229))/SQRT((6-(($P229=$Q229)*1+($P229=$R229)*1+($P229=$S229)*1+($Q229=$R229)*1+($Q229=$S229)*1+($R229=$S229)*1))*(6-(($T229=$U229)*1+($T229=$V229)*1+($T229=$W229)*1+($U229=$V229)*1+($U229=$W229)*1+($V229=$W229)*1))),"")</f>
        <v>0.333333333333333</v>
      </c>
      <c r="AI229" s="0" t="n">
        <f aca="false">MATCH(MAX($K229:$O229),$K229:$O229,0)</f>
        <v>2</v>
      </c>
      <c r="AJ229" s="0" t="n">
        <f aca="false">IF(AI229&lt;&gt;$E229,1,0)</f>
        <v>1</v>
      </c>
      <c r="AK229" s="0" t="n">
        <f aca="false">IF(AJ229=1,INDEX($F229:$J229,AI229)/MAX($P229:$S229),"")</f>
        <v>1</v>
      </c>
      <c r="AL229" s="0" t="n">
        <f aca="false">IF(AJ229=1,1+COUNTIF($P229:$S229,"&gt;"&amp;INDEX($F229:$J229,AI229)),"")</f>
        <v>1</v>
      </c>
      <c r="AM229" s="0" t="n">
        <f aca="false">AVERAGE($P229:$S229)/MAX($P229:$S229)</f>
        <v>0.692771084337349</v>
      </c>
      <c r="AN229" s="0" t="n">
        <f aca="false">100-INDEX($F229:$J229,$E229)</f>
        <v>53.7</v>
      </c>
    </row>
    <row r="230" customFormat="false" ht="15" hidden="false" customHeight="false" outlineLevel="0" collapsed="false">
      <c r="A230" s="0" t="s">
        <v>40</v>
      </c>
      <c r="B230" s="0" t="n">
        <v>2018</v>
      </c>
      <c r="C230" s="0" t="s">
        <v>47</v>
      </c>
      <c r="D230" s="0" t="s">
        <v>43</v>
      </c>
      <c r="E230" s="0" t="n">
        <v>2</v>
      </c>
      <c r="F230" s="0" t="n">
        <v>22</v>
      </c>
      <c r="G230" s="0" t="n">
        <v>37.9</v>
      </c>
      <c r="H230" s="0" t="n">
        <v>14.4</v>
      </c>
      <c r="I230" s="0" t="n">
        <v>9.8</v>
      </c>
      <c r="J230" s="0" t="n">
        <v>8.2</v>
      </c>
      <c r="K230" s="0" t="n">
        <v>21.1384366169</v>
      </c>
      <c r="L230" s="0" t="n">
        <v>38.9080500839</v>
      </c>
      <c r="M230" s="0" t="n">
        <v>18.0083834334</v>
      </c>
      <c r="N230" s="0" t="n">
        <v>6.85329018206</v>
      </c>
      <c r="O230" s="0" t="n">
        <v>15.0918396837</v>
      </c>
      <c r="P230" s="0" t="n">
        <f aca="false">INDEX($F230:$J230,IF(1&lt;$E230,1,1+1))</f>
        <v>22</v>
      </c>
      <c r="Q230" s="0" t="n">
        <f aca="false">INDEX($F230:$J230,IF(2&lt;$E230,2,2+1))</f>
        <v>14.4</v>
      </c>
      <c r="R230" s="0" t="n">
        <f aca="false">INDEX($F230:$J230,IF(3&lt;$E230,3,3+1))</f>
        <v>9.8</v>
      </c>
      <c r="S230" s="0" t="n">
        <f aca="false">INDEX($F230:$J230,IF(4&lt;$E230,4,4+1))</f>
        <v>8.2</v>
      </c>
      <c r="T230" s="0" t="n">
        <f aca="false">INDEX($K230:$O230,IF(1&lt;$E230,1,1+1))</f>
        <v>21.1384366169</v>
      </c>
      <c r="U230" s="0" t="n">
        <f aca="false">INDEX($K230:$O230,IF(2&lt;$E230,2,2+1))</f>
        <v>18.0083834334</v>
      </c>
      <c r="V230" s="0" t="n">
        <f aca="false">INDEX($K230:$O230,IF(3&lt;$E230,3,3+1))</f>
        <v>6.85329018206</v>
      </c>
      <c r="W230" s="0" t="n">
        <f aca="false">INDEX($K230:$O230,IF(4&lt;$E230,4,4+1))</f>
        <v>15.0918396837</v>
      </c>
      <c r="X230" s="0" t="n">
        <f aca="false">1+COUNTIF($P230:$S230,"&gt;"&amp;$P230)+(COUNTIF($P230:$S230,$P230)-1)/2</f>
        <v>1</v>
      </c>
      <c r="Y230" s="0" t="n">
        <f aca="false">1+COUNTIF($P230:$S230,"&gt;"&amp;$Q230)+(COUNTIF($P230:$S230,$Q230)-1)/2</f>
        <v>2</v>
      </c>
      <c r="Z230" s="0" t="n">
        <f aca="false">1+COUNTIF($P230:$S230,"&gt;"&amp;$R230)+(COUNTIF($P230:$S230,$R230)-1)/2</f>
        <v>3</v>
      </c>
      <c r="AA230" s="0" t="n">
        <f aca="false">1+COUNTIF($P230:$S230,"&gt;"&amp;$S230)+(COUNTIF($P230:$S230,$S230)-1)/2</f>
        <v>4</v>
      </c>
      <c r="AB230" s="0" t="n">
        <f aca="false">1+COUNTIF($T230:$W230,"&gt;"&amp;$T230)+(COUNTIF($T230:$W230,$T230)-1)/2</f>
        <v>1</v>
      </c>
      <c r="AC230" s="0" t="n">
        <f aca="false">1+COUNTIF($T230:$W230,"&gt;"&amp;$U230)+(COUNTIF($T230:$W230,$U230)-1)/2</f>
        <v>2</v>
      </c>
      <c r="AD230" s="0" t="n">
        <f aca="false">1+COUNTIF($T230:$W230,"&gt;"&amp;$V230)+(COUNTIF($T230:$W230,$V230)-1)/2</f>
        <v>4</v>
      </c>
      <c r="AE230" s="0" t="n">
        <f aca="false">1+COUNTIF($T230:$W230,"&gt;"&amp;$W230)+(COUNTIF($T230:$W230,$W230)-1)/2</f>
        <v>3</v>
      </c>
      <c r="AF230" s="0" t="n">
        <f aca="false">IFERROR(CORREL($P230:$S230,$T230:$W230),"")</f>
        <v>0.741921390693491</v>
      </c>
      <c r="AG230" s="0" t="n">
        <f aca="false">IFERROR(CORREL($X230:$AA230,$AB230:$AE230),"")</f>
        <v>0.8</v>
      </c>
      <c r="AH230" s="0" t="n">
        <f aca="false">IFERROR((SIGN($P230-$Q230)*SIGN($T230-$U230)+SIGN($P230-$R230)*SIGN($T230-$V230)+SIGN($P230-$S230)*SIGN($T230-$W230)+SIGN($Q230-$R230)*SIGN($U230-$V230)+SIGN($Q230-$S230)*SIGN($U230-$W230)+SIGN($R230-$S230)*SIGN($V230-$W230))/SQRT((6-(($P230=$Q230)*1+($P230=$R230)*1+($P230=$S230)*1+($Q230=$R230)*1+($Q230=$S230)*1+($R230=$S230)*1))*(6-(($T230=$U230)*1+($T230=$V230)*1+($T230=$W230)*1+($U230=$V230)*1+($U230=$W230)*1+($V230=$W230)*1))),"")</f>
        <v>0.666666666666667</v>
      </c>
      <c r="AI230" s="0" t="n">
        <f aca="false">MATCH(MAX($K230:$O230),$K230:$O230,0)</f>
        <v>2</v>
      </c>
      <c r="AJ230" s="0" t="n">
        <f aca="false">IF(AI230&lt;&gt;$E230,1,0)</f>
        <v>0</v>
      </c>
      <c r="AK230" s="0" t="str">
        <f aca="false">IF(AJ230=1,INDEX($F230:$J230,AI230)/MAX($P230:$S230),"")</f>
        <v/>
      </c>
      <c r="AL230" s="0" t="str">
        <f aca="false">IF(AJ230=1,1+COUNTIF($P230:$S230,"&gt;"&amp;INDEX($F230:$J230,AI230)),"")</f>
        <v/>
      </c>
      <c r="AM230" s="0" t="n">
        <f aca="false">AVERAGE($P230:$S230)/MAX($P230:$S230)</f>
        <v>0.618181818181818</v>
      </c>
      <c r="AN230" s="0" t="n">
        <f aca="false">100-INDEX($F230:$J230,$E230)</f>
        <v>62.1</v>
      </c>
    </row>
    <row r="231" customFormat="false" ht="15" hidden="false" customHeight="false" outlineLevel="0" collapsed="false">
      <c r="A231" s="0" t="s">
        <v>40</v>
      </c>
      <c r="B231" s="0" t="n">
        <v>2018</v>
      </c>
      <c r="C231" s="0" t="s">
        <v>47</v>
      </c>
      <c r="D231" s="0" t="s">
        <v>44</v>
      </c>
      <c r="E231" s="0" t="n">
        <v>1</v>
      </c>
      <c r="F231" s="0" t="n">
        <v>35.6</v>
      </c>
      <c r="G231" s="0" t="n">
        <v>17</v>
      </c>
      <c r="H231" s="0" t="n">
        <v>18.3</v>
      </c>
      <c r="I231" s="0" t="n">
        <v>14.6</v>
      </c>
      <c r="J231" s="0" t="n">
        <v>6.7</v>
      </c>
      <c r="K231" s="0" t="n">
        <v>33.6040894899</v>
      </c>
      <c r="L231" s="0" t="n">
        <v>19.7251574231</v>
      </c>
      <c r="M231" s="0" t="n">
        <v>12.9417867846</v>
      </c>
      <c r="N231" s="0" t="n">
        <v>12.1363686503</v>
      </c>
      <c r="O231" s="0" t="n">
        <v>21.592597652</v>
      </c>
      <c r="P231" s="0" t="n">
        <f aca="false">INDEX($F231:$J231,IF(1&lt;$E231,1,1+1))</f>
        <v>17</v>
      </c>
      <c r="Q231" s="0" t="n">
        <f aca="false">INDEX($F231:$J231,IF(2&lt;$E231,2,2+1))</f>
        <v>18.3</v>
      </c>
      <c r="R231" s="0" t="n">
        <f aca="false">INDEX($F231:$J231,IF(3&lt;$E231,3,3+1))</f>
        <v>14.6</v>
      </c>
      <c r="S231" s="0" t="n">
        <f aca="false">INDEX($F231:$J231,IF(4&lt;$E231,4,4+1))</f>
        <v>6.7</v>
      </c>
      <c r="T231" s="0" t="n">
        <f aca="false">INDEX($K231:$O231,IF(1&lt;$E231,1,1+1))</f>
        <v>19.7251574231</v>
      </c>
      <c r="U231" s="0" t="n">
        <f aca="false">INDEX($K231:$O231,IF(2&lt;$E231,2,2+1))</f>
        <v>12.9417867846</v>
      </c>
      <c r="V231" s="0" t="n">
        <f aca="false">INDEX($K231:$O231,IF(3&lt;$E231,3,3+1))</f>
        <v>12.1363686503</v>
      </c>
      <c r="W231" s="0" t="n">
        <f aca="false">INDEX($K231:$O231,IF(4&lt;$E231,4,4+1))</f>
        <v>21.592597652</v>
      </c>
      <c r="X231" s="0" t="n">
        <f aca="false">1+COUNTIF($P231:$S231,"&gt;"&amp;$P231)+(COUNTIF($P231:$S231,$P231)-1)/2</f>
        <v>2</v>
      </c>
      <c r="Y231" s="0" t="n">
        <f aca="false">1+COUNTIF($P231:$S231,"&gt;"&amp;$Q231)+(COUNTIF($P231:$S231,$Q231)-1)/2</f>
        <v>1</v>
      </c>
      <c r="Z231" s="0" t="n">
        <f aca="false">1+COUNTIF($P231:$S231,"&gt;"&amp;$R231)+(COUNTIF($P231:$S231,$R231)-1)/2</f>
        <v>3</v>
      </c>
      <c r="AA231" s="0" t="n">
        <f aca="false">1+COUNTIF($P231:$S231,"&gt;"&amp;$S231)+(COUNTIF($P231:$S231,$S231)-1)/2</f>
        <v>4</v>
      </c>
      <c r="AB231" s="0" t="n">
        <f aca="false">1+COUNTIF($T231:$W231,"&gt;"&amp;$T231)+(COUNTIF($T231:$W231,$T231)-1)/2</f>
        <v>2</v>
      </c>
      <c r="AC231" s="0" t="n">
        <f aca="false">1+COUNTIF($T231:$W231,"&gt;"&amp;$U231)+(COUNTIF($T231:$W231,$U231)-1)/2</f>
        <v>3</v>
      </c>
      <c r="AD231" s="0" t="n">
        <f aca="false">1+COUNTIF($T231:$W231,"&gt;"&amp;$V231)+(COUNTIF($T231:$W231,$V231)-1)/2</f>
        <v>4</v>
      </c>
      <c r="AE231" s="0" t="n">
        <f aca="false">1+COUNTIF($T231:$W231,"&gt;"&amp;$W231)+(COUNTIF($T231:$W231,$W231)-1)/2</f>
        <v>1</v>
      </c>
      <c r="AF231" s="0" t="n">
        <f aca="false">IFERROR(CORREL($P231:$S231,$T231:$W231),"")</f>
        <v>-0.61259947255068</v>
      </c>
      <c r="AG231" s="0" t="n">
        <f aca="false">IFERROR(CORREL($X231:$AA231,$AB231:$AE231),"")</f>
        <v>-0.4</v>
      </c>
      <c r="AH231" s="0" t="n">
        <f aca="false">IFERROR((SIGN($P231-$Q231)*SIGN($T231-$U231)+SIGN($P231-$R231)*SIGN($T231-$V231)+SIGN($P231-$S231)*SIGN($T231-$W231)+SIGN($Q231-$R231)*SIGN($U231-$V231)+SIGN($Q231-$S231)*SIGN($U231-$W231)+SIGN($R231-$S231)*SIGN($V231-$W231))/SQRT((6-(($P231=$Q231)*1+($P231=$R231)*1+($P231=$S231)*1+($Q231=$R231)*1+($Q231=$S231)*1+($R231=$S231)*1))*(6-(($T231=$U231)*1+($T231=$V231)*1+($T231=$W231)*1+($U231=$V231)*1+($U231=$W231)*1+($V231=$W231)*1))),"")</f>
        <v>-0.333333333333333</v>
      </c>
      <c r="AI231" s="0" t="n">
        <f aca="false">MATCH(MAX($K231:$O231),$K231:$O231,0)</f>
        <v>1</v>
      </c>
      <c r="AJ231" s="0" t="n">
        <f aca="false">IF(AI231&lt;&gt;$E231,1,0)</f>
        <v>0</v>
      </c>
      <c r="AK231" s="0" t="str">
        <f aca="false">IF(AJ231=1,INDEX($F231:$J231,AI231)/MAX($P231:$S231),"")</f>
        <v/>
      </c>
      <c r="AL231" s="0" t="str">
        <f aca="false">IF(AJ231=1,1+COUNTIF($P231:$S231,"&gt;"&amp;INDEX($F231:$J231,AI231)),"")</f>
        <v/>
      </c>
      <c r="AM231" s="0" t="n">
        <f aca="false">AVERAGE($P231:$S231)/MAX($P231:$S231)</f>
        <v>0.773224043715847</v>
      </c>
      <c r="AN231" s="0" t="n">
        <f aca="false">100-INDEX($F231:$J231,$E231)</f>
        <v>64.4</v>
      </c>
    </row>
    <row r="232" customFormat="false" ht="15" hidden="false" customHeight="false" outlineLevel="0" collapsed="false">
      <c r="A232" s="0" t="s">
        <v>40</v>
      </c>
      <c r="B232" s="0" t="n">
        <v>2018</v>
      </c>
      <c r="C232" s="0" t="s">
        <v>47</v>
      </c>
      <c r="D232" s="0" t="s">
        <v>45</v>
      </c>
      <c r="E232" s="0" t="n">
        <v>1</v>
      </c>
      <c r="F232" s="0" t="n">
        <v>36.7</v>
      </c>
      <c r="G232" s="0" t="n">
        <v>13.8</v>
      </c>
      <c r="H232" s="0" t="n">
        <v>14.1</v>
      </c>
      <c r="I232" s="0" t="n">
        <v>12.1</v>
      </c>
      <c r="J232" s="0" t="n">
        <v>15.3</v>
      </c>
      <c r="K232" s="0" t="n">
        <v>16.7587516302</v>
      </c>
      <c r="L232" s="0" t="n">
        <v>9.43447854592</v>
      </c>
      <c r="M232" s="0" t="n">
        <v>36.43979103</v>
      </c>
      <c r="N232" s="0" t="n">
        <v>7.55453407809</v>
      </c>
      <c r="O232" s="0" t="n">
        <v>29.8124447159</v>
      </c>
      <c r="P232" s="0" t="n">
        <f aca="false">INDEX($F232:$J232,IF(1&lt;$E232,1,1+1))</f>
        <v>13.8</v>
      </c>
      <c r="Q232" s="0" t="n">
        <f aca="false">INDEX($F232:$J232,IF(2&lt;$E232,2,2+1))</f>
        <v>14.1</v>
      </c>
      <c r="R232" s="0" t="n">
        <f aca="false">INDEX($F232:$J232,IF(3&lt;$E232,3,3+1))</f>
        <v>12.1</v>
      </c>
      <c r="S232" s="0" t="n">
        <f aca="false">INDEX($F232:$J232,IF(4&lt;$E232,4,4+1))</f>
        <v>15.3</v>
      </c>
      <c r="T232" s="0" t="n">
        <f aca="false">INDEX($K232:$O232,IF(1&lt;$E232,1,1+1))</f>
        <v>9.43447854592</v>
      </c>
      <c r="U232" s="0" t="n">
        <f aca="false">INDEX($K232:$O232,IF(2&lt;$E232,2,2+1))</f>
        <v>36.43979103</v>
      </c>
      <c r="V232" s="0" t="n">
        <f aca="false">INDEX($K232:$O232,IF(3&lt;$E232,3,3+1))</f>
        <v>7.55453407809</v>
      </c>
      <c r="W232" s="0" t="n">
        <f aca="false">INDEX($K232:$O232,IF(4&lt;$E232,4,4+1))</f>
        <v>29.8124447159</v>
      </c>
      <c r="X232" s="0" t="n">
        <f aca="false">1+COUNTIF($P232:$S232,"&gt;"&amp;$P232)+(COUNTIF($P232:$S232,$P232)-1)/2</f>
        <v>3</v>
      </c>
      <c r="Y232" s="0" t="n">
        <f aca="false">1+COUNTIF($P232:$S232,"&gt;"&amp;$Q232)+(COUNTIF($P232:$S232,$Q232)-1)/2</f>
        <v>2</v>
      </c>
      <c r="Z232" s="0" t="n">
        <f aca="false">1+COUNTIF($P232:$S232,"&gt;"&amp;$R232)+(COUNTIF($P232:$S232,$R232)-1)/2</f>
        <v>4</v>
      </c>
      <c r="AA232" s="0" t="n">
        <f aca="false">1+COUNTIF($P232:$S232,"&gt;"&amp;$S232)+(COUNTIF($P232:$S232,$S232)-1)/2</f>
        <v>1</v>
      </c>
      <c r="AB232" s="0" t="n">
        <f aca="false">1+COUNTIF($T232:$W232,"&gt;"&amp;$T232)+(COUNTIF($T232:$W232,$T232)-1)/2</f>
        <v>3</v>
      </c>
      <c r="AC232" s="0" t="n">
        <f aca="false">1+COUNTIF($T232:$W232,"&gt;"&amp;$U232)+(COUNTIF($T232:$W232,$U232)-1)/2</f>
        <v>1</v>
      </c>
      <c r="AD232" s="0" t="n">
        <f aca="false">1+COUNTIF($T232:$W232,"&gt;"&amp;$V232)+(COUNTIF($T232:$W232,$V232)-1)/2</f>
        <v>4</v>
      </c>
      <c r="AE232" s="0" t="n">
        <f aca="false">1+COUNTIF($T232:$W232,"&gt;"&amp;$W232)+(COUNTIF($T232:$W232,$W232)-1)/2</f>
        <v>2</v>
      </c>
      <c r="AF232" s="0" t="n">
        <f aca="false">IFERROR(CORREL($P232:$S232,$T232:$W232),"")</f>
        <v>0.709431750143173</v>
      </c>
      <c r="AG232" s="0" t="n">
        <f aca="false">IFERROR(CORREL($X232:$AA232,$AB232:$AE232),"")</f>
        <v>0.8</v>
      </c>
      <c r="AH232" s="0" t="n">
        <f aca="false">IFERROR((SIGN($P232-$Q232)*SIGN($T232-$U232)+SIGN($P232-$R232)*SIGN($T232-$V232)+SIGN($P232-$S232)*SIGN($T232-$W232)+SIGN($Q232-$R232)*SIGN($U232-$V232)+SIGN($Q232-$S232)*SIGN($U232-$W232)+SIGN($R232-$S232)*SIGN($V232-$W232))/SQRT((6-(($P232=$Q232)*1+($P232=$R232)*1+($P232=$S232)*1+($Q232=$R232)*1+($Q232=$S232)*1+($R232=$S232)*1))*(6-(($T232=$U232)*1+($T232=$V232)*1+($T232=$W232)*1+($U232=$V232)*1+($U232=$W232)*1+($V232=$W232)*1))),"")</f>
        <v>0.666666666666667</v>
      </c>
      <c r="AI232" s="0" t="n">
        <f aca="false">MATCH(MAX($K232:$O232),$K232:$O232,0)</f>
        <v>3</v>
      </c>
      <c r="AJ232" s="0" t="n">
        <f aca="false">IF(AI232&lt;&gt;$E232,1,0)</f>
        <v>1</v>
      </c>
      <c r="AK232" s="0" t="n">
        <f aca="false">IF(AJ232=1,INDEX($F232:$J232,AI232)/MAX($P232:$S232),"")</f>
        <v>0.92156862745098</v>
      </c>
      <c r="AL232" s="0" t="n">
        <f aca="false">IF(AJ232=1,1+COUNTIF($P232:$S232,"&gt;"&amp;INDEX($F232:$J232,AI232)),"")</f>
        <v>2</v>
      </c>
      <c r="AM232" s="0" t="n">
        <f aca="false">AVERAGE($P232:$S232)/MAX($P232:$S232)</f>
        <v>0.90359477124183</v>
      </c>
      <c r="AN232" s="0" t="n">
        <f aca="false">100-INDEX($F232:$J232,$E232)</f>
        <v>63.3</v>
      </c>
    </row>
    <row r="233" customFormat="false" ht="15" hidden="false" customHeight="false" outlineLevel="0" collapsed="false">
      <c r="A233" s="0" t="s">
        <v>40</v>
      </c>
      <c r="B233" s="0" t="n">
        <v>2017</v>
      </c>
      <c r="C233" s="0" t="s">
        <v>48</v>
      </c>
      <c r="D233" s="0" t="s">
        <v>43</v>
      </c>
      <c r="E233" s="0" t="n">
        <v>4</v>
      </c>
      <c r="F233" s="0" t="n">
        <v>7.9</v>
      </c>
      <c r="G233" s="0" t="n">
        <v>20.6</v>
      </c>
      <c r="H233" s="0" t="n">
        <v>10.8</v>
      </c>
      <c r="I233" s="0" t="n">
        <v>39.2</v>
      </c>
      <c r="J233" s="0" t="n">
        <v>7.8</v>
      </c>
      <c r="K233" s="0" t="n">
        <v>13.6621019028</v>
      </c>
      <c r="L233" s="0" t="n">
        <v>5.41479812821</v>
      </c>
      <c r="M233" s="0" t="n">
        <v>17.1960767928</v>
      </c>
      <c r="N233" s="0" t="n">
        <v>58.1177744642</v>
      </c>
      <c r="O233" s="0" t="n">
        <v>5.60924871201</v>
      </c>
      <c r="P233" s="0" t="n">
        <f aca="false">INDEX($F233:$J233,IF(1&lt;$E233,1,1+1))</f>
        <v>7.9</v>
      </c>
      <c r="Q233" s="0" t="n">
        <f aca="false">INDEX($F233:$J233,IF(2&lt;$E233,2,2+1))</f>
        <v>20.6</v>
      </c>
      <c r="R233" s="0" t="n">
        <f aca="false">INDEX($F233:$J233,IF(3&lt;$E233,3,3+1))</f>
        <v>10.8</v>
      </c>
      <c r="S233" s="0" t="n">
        <f aca="false">INDEX($F233:$J233,IF(4&lt;$E233,4,4+1))</f>
        <v>7.8</v>
      </c>
      <c r="T233" s="0" t="n">
        <f aca="false">INDEX($K233:$O233,IF(1&lt;$E233,1,1+1))</f>
        <v>13.6621019028</v>
      </c>
      <c r="U233" s="0" t="n">
        <f aca="false">INDEX($K233:$O233,IF(2&lt;$E233,2,2+1))</f>
        <v>5.41479812821</v>
      </c>
      <c r="V233" s="0" t="n">
        <f aca="false">INDEX($K233:$O233,IF(3&lt;$E233,3,3+1))</f>
        <v>17.1960767928</v>
      </c>
      <c r="W233" s="0" t="n">
        <f aca="false">INDEX($K233:$O233,IF(4&lt;$E233,4,4+1))</f>
        <v>5.60924871201</v>
      </c>
      <c r="X233" s="0" t="n">
        <f aca="false">1+COUNTIF($P233:$S233,"&gt;"&amp;$P233)+(COUNTIF($P233:$S233,$P233)-1)/2</f>
        <v>3</v>
      </c>
      <c r="Y233" s="0" t="n">
        <f aca="false">1+COUNTIF($P233:$S233,"&gt;"&amp;$Q233)+(COUNTIF($P233:$S233,$Q233)-1)/2</f>
        <v>1</v>
      </c>
      <c r="Z233" s="0" t="n">
        <f aca="false">1+COUNTIF($P233:$S233,"&gt;"&amp;$R233)+(COUNTIF($P233:$S233,$R233)-1)/2</f>
        <v>2</v>
      </c>
      <c r="AA233" s="0" t="n">
        <f aca="false">1+COUNTIF($P233:$S233,"&gt;"&amp;$S233)+(COUNTIF($P233:$S233,$S233)-1)/2</f>
        <v>4</v>
      </c>
      <c r="AB233" s="0" t="n">
        <f aca="false">1+COUNTIF($T233:$W233,"&gt;"&amp;$T233)+(COUNTIF($T233:$W233,$T233)-1)/2</f>
        <v>2</v>
      </c>
      <c r="AC233" s="0" t="n">
        <f aca="false">1+COUNTIF($T233:$W233,"&gt;"&amp;$U233)+(COUNTIF($T233:$W233,$U233)-1)/2</f>
        <v>4</v>
      </c>
      <c r="AD233" s="0" t="n">
        <f aca="false">1+COUNTIF($T233:$W233,"&gt;"&amp;$V233)+(COUNTIF($T233:$W233,$V233)-1)/2</f>
        <v>1</v>
      </c>
      <c r="AE233" s="0" t="n">
        <f aca="false">1+COUNTIF($T233:$W233,"&gt;"&amp;$W233)+(COUNTIF($T233:$W233,$W233)-1)/2</f>
        <v>3</v>
      </c>
      <c r="AF233" s="0" t="n">
        <f aca="false">IFERROR(CORREL($P233:$S233,$T233:$W233),"")</f>
        <v>-0.412866575138247</v>
      </c>
      <c r="AG233" s="0" t="n">
        <f aca="false">IFERROR(CORREL($X233:$AA233,$AB233:$AE233),"")</f>
        <v>-0.2</v>
      </c>
      <c r="AH233" s="0" t="n">
        <f aca="false">IFERROR((SIGN($P233-$Q233)*SIGN($T233-$U233)+SIGN($P233-$R233)*SIGN($T233-$V233)+SIGN($P233-$S233)*SIGN($T233-$W233)+SIGN($Q233-$R233)*SIGN($U233-$V233)+SIGN($Q233-$S233)*SIGN($U233-$W233)+SIGN($R233-$S233)*SIGN($V233-$W233))/SQRT((6-(($P233=$Q233)*1+($P233=$R233)*1+($P233=$S233)*1+($Q233=$R233)*1+($Q233=$S233)*1+($R233=$S233)*1))*(6-(($T233=$U233)*1+($T233=$V233)*1+($T233=$W233)*1+($U233=$V233)*1+($U233=$W233)*1+($V233=$W233)*1))),"")</f>
        <v>0</v>
      </c>
      <c r="AI233" s="0" t="n">
        <f aca="false">MATCH(MAX($K233:$O233),$K233:$O233,0)</f>
        <v>4</v>
      </c>
      <c r="AJ233" s="0" t="n">
        <f aca="false">IF(AI233&lt;&gt;$E233,1,0)</f>
        <v>0</v>
      </c>
      <c r="AK233" s="0" t="str">
        <f aca="false">IF(AJ233=1,INDEX($F233:$J233,AI233)/MAX($P233:$S233),"")</f>
        <v/>
      </c>
      <c r="AL233" s="0" t="str">
        <f aca="false">IF(AJ233=1,1+COUNTIF($P233:$S233,"&gt;"&amp;INDEX($F233:$J233,AI233)),"")</f>
        <v/>
      </c>
      <c r="AM233" s="0" t="n">
        <f aca="false">AVERAGE($P233:$S233)/MAX($P233:$S233)</f>
        <v>0.571601941747573</v>
      </c>
      <c r="AN233" s="0" t="n">
        <f aca="false">100-INDEX($F233:$J233,$E233)</f>
        <v>60.8</v>
      </c>
    </row>
    <row r="234" customFormat="false" ht="15" hidden="false" customHeight="false" outlineLevel="0" collapsed="false">
      <c r="A234" s="0" t="s">
        <v>40</v>
      </c>
      <c r="B234" s="0" t="n">
        <v>2017</v>
      </c>
      <c r="C234" s="0" t="s">
        <v>48</v>
      </c>
      <c r="D234" s="0" t="s">
        <v>44</v>
      </c>
      <c r="E234" s="0" t="n">
        <v>3</v>
      </c>
      <c r="F234" s="0" t="n">
        <v>11.7</v>
      </c>
      <c r="G234" s="0" t="n">
        <v>8.7</v>
      </c>
      <c r="H234" s="0" t="n">
        <v>42.6</v>
      </c>
      <c r="I234" s="0" t="n">
        <v>13.9</v>
      </c>
      <c r="J234" s="0" t="n">
        <v>9.2</v>
      </c>
      <c r="K234" s="0" t="n">
        <v>6.10554401257</v>
      </c>
      <c r="L234" s="0" t="n">
        <v>57.8850885757</v>
      </c>
      <c r="M234" s="0" t="n">
        <v>9.05566034357</v>
      </c>
      <c r="N234" s="0" t="n">
        <v>22.6591187299</v>
      </c>
      <c r="O234" s="0" t="n">
        <v>4.29458833819</v>
      </c>
      <c r="P234" s="0" t="n">
        <f aca="false">INDEX($F234:$J234,IF(1&lt;$E234,1,1+1))</f>
        <v>11.7</v>
      </c>
      <c r="Q234" s="0" t="n">
        <f aca="false">INDEX($F234:$J234,IF(2&lt;$E234,2,2+1))</f>
        <v>8.7</v>
      </c>
      <c r="R234" s="0" t="n">
        <f aca="false">INDEX($F234:$J234,IF(3&lt;$E234,3,3+1))</f>
        <v>13.9</v>
      </c>
      <c r="S234" s="0" t="n">
        <f aca="false">INDEX($F234:$J234,IF(4&lt;$E234,4,4+1))</f>
        <v>9.2</v>
      </c>
      <c r="T234" s="0" t="n">
        <f aca="false">INDEX($K234:$O234,IF(1&lt;$E234,1,1+1))</f>
        <v>6.10554401257</v>
      </c>
      <c r="U234" s="0" t="n">
        <f aca="false">INDEX($K234:$O234,IF(2&lt;$E234,2,2+1))</f>
        <v>57.8850885757</v>
      </c>
      <c r="V234" s="0" t="n">
        <f aca="false">INDEX($K234:$O234,IF(3&lt;$E234,3,3+1))</f>
        <v>22.6591187299</v>
      </c>
      <c r="W234" s="0" t="n">
        <f aca="false">INDEX($K234:$O234,IF(4&lt;$E234,4,4+1))</f>
        <v>4.29458833819</v>
      </c>
      <c r="X234" s="0" t="n">
        <f aca="false">1+COUNTIF($P234:$S234,"&gt;"&amp;$P234)+(COUNTIF($P234:$S234,$P234)-1)/2</f>
        <v>2</v>
      </c>
      <c r="Y234" s="0" t="n">
        <f aca="false">1+COUNTIF($P234:$S234,"&gt;"&amp;$Q234)+(COUNTIF($P234:$S234,$Q234)-1)/2</f>
        <v>4</v>
      </c>
      <c r="Z234" s="0" t="n">
        <f aca="false">1+COUNTIF($P234:$S234,"&gt;"&amp;$R234)+(COUNTIF($P234:$S234,$R234)-1)/2</f>
        <v>1</v>
      </c>
      <c r="AA234" s="0" t="n">
        <f aca="false">1+COUNTIF($P234:$S234,"&gt;"&amp;$S234)+(COUNTIF($P234:$S234,$S234)-1)/2</f>
        <v>3</v>
      </c>
      <c r="AB234" s="0" t="n">
        <f aca="false">1+COUNTIF($T234:$W234,"&gt;"&amp;$T234)+(COUNTIF($T234:$W234,$T234)-1)/2</f>
        <v>3</v>
      </c>
      <c r="AC234" s="0" t="n">
        <f aca="false">1+COUNTIF($T234:$W234,"&gt;"&amp;$U234)+(COUNTIF($T234:$W234,$U234)-1)/2</f>
        <v>1</v>
      </c>
      <c r="AD234" s="0" t="n">
        <f aca="false">1+COUNTIF($T234:$W234,"&gt;"&amp;$V234)+(COUNTIF($T234:$W234,$V234)-1)/2</f>
        <v>2</v>
      </c>
      <c r="AE234" s="0" t="n">
        <f aca="false">1+COUNTIF($T234:$W234,"&gt;"&amp;$W234)+(COUNTIF($T234:$W234,$W234)-1)/2</f>
        <v>4</v>
      </c>
      <c r="AF234" s="0" t="n">
        <f aca="false">IFERROR(CORREL($P234:$S234,$T234:$W234),"")</f>
        <v>-0.331822194949127</v>
      </c>
      <c r="AG234" s="0" t="n">
        <f aca="false">IFERROR(CORREL($X234:$AA234,$AB234:$AE234),"")</f>
        <v>-0.2</v>
      </c>
      <c r="AH234" s="0" t="n">
        <f aca="false">IFERROR((SIGN($P234-$Q234)*SIGN($T234-$U234)+SIGN($P234-$R234)*SIGN($T234-$V234)+SIGN($P234-$S234)*SIGN($T234-$W234)+SIGN($Q234-$R234)*SIGN($U234-$V234)+SIGN($Q234-$S234)*SIGN($U234-$W234)+SIGN($R234-$S234)*SIGN($V234-$W234))/SQRT((6-(($P234=$Q234)*1+($P234=$R234)*1+($P234=$S234)*1+($Q234=$R234)*1+($Q234=$S234)*1+($R234=$S234)*1))*(6-(($T234=$U234)*1+($T234=$V234)*1+($T234=$W234)*1+($U234=$V234)*1+($U234=$W234)*1+($V234=$W234)*1))),"")</f>
        <v>0</v>
      </c>
      <c r="AI234" s="0" t="n">
        <f aca="false">MATCH(MAX($K234:$O234),$K234:$O234,0)</f>
        <v>2</v>
      </c>
      <c r="AJ234" s="0" t="n">
        <f aca="false">IF(AI234&lt;&gt;$E234,1,0)</f>
        <v>1</v>
      </c>
      <c r="AK234" s="0" t="n">
        <f aca="false">IF(AJ234=1,INDEX($F234:$J234,AI234)/MAX($P234:$S234),"")</f>
        <v>0.62589928057554</v>
      </c>
      <c r="AL234" s="0" t="n">
        <f aca="false">IF(AJ234=1,1+COUNTIF($P234:$S234,"&gt;"&amp;INDEX($F234:$J234,AI234)),"")</f>
        <v>4</v>
      </c>
      <c r="AM234" s="0" t="n">
        <f aca="false">AVERAGE($P234:$S234)/MAX($P234:$S234)</f>
        <v>0.782374100719425</v>
      </c>
      <c r="AN234" s="0" t="n">
        <f aca="false">100-INDEX($F234:$J234,$E234)</f>
        <v>57.4</v>
      </c>
    </row>
    <row r="235" customFormat="false" ht="15" hidden="false" customHeight="false" outlineLevel="0" collapsed="false">
      <c r="A235" s="0" t="s">
        <v>40</v>
      </c>
      <c r="B235" s="0" t="n">
        <v>2017</v>
      </c>
      <c r="C235" s="0" t="s">
        <v>48</v>
      </c>
      <c r="D235" s="0" t="s">
        <v>45</v>
      </c>
      <c r="E235" s="0" t="n">
        <v>5</v>
      </c>
      <c r="F235" s="0" t="n">
        <v>12.7</v>
      </c>
      <c r="G235" s="0" t="n">
        <v>10.7</v>
      </c>
      <c r="H235" s="0" t="n">
        <v>13.3</v>
      </c>
      <c r="I235" s="0" t="n">
        <v>21.1</v>
      </c>
      <c r="J235" s="0" t="n">
        <v>28.2</v>
      </c>
      <c r="K235" s="0" t="n">
        <v>27.4249988345</v>
      </c>
      <c r="L235" s="0" t="n">
        <v>21.2754782028</v>
      </c>
      <c r="M235" s="0" t="n">
        <v>7.02413052689</v>
      </c>
      <c r="N235" s="0" t="n">
        <v>7.15037870964</v>
      </c>
      <c r="O235" s="0" t="n">
        <v>37.1250137261</v>
      </c>
      <c r="P235" s="0" t="n">
        <f aca="false">INDEX($F235:$J235,IF(1&lt;$E235,1,1+1))</f>
        <v>12.7</v>
      </c>
      <c r="Q235" s="0" t="n">
        <f aca="false">INDEX($F235:$J235,IF(2&lt;$E235,2,2+1))</f>
        <v>10.7</v>
      </c>
      <c r="R235" s="0" t="n">
        <f aca="false">INDEX($F235:$J235,IF(3&lt;$E235,3,3+1))</f>
        <v>13.3</v>
      </c>
      <c r="S235" s="0" t="n">
        <f aca="false">INDEX($F235:$J235,IF(4&lt;$E235,4,4+1))</f>
        <v>21.1</v>
      </c>
      <c r="T235" s="0" t="n">
        <f aca="false">INDEX($K235:$O235,IF(1&lt;$E235,1,1+1))</f>
        <v>27.4249988345</v>
      </c>
      <c r="U235" s="0" t="n">
        <f aca="false">INDEX($K235:$O235,IF(2&lt;$E235,2,2+1))</f>
        <v>21.2754782028</v>
      </c>
      <c r="V235" s="0" t="n">
        <f aca="false">INDEX($K235:$O235,IF(3&lt;$E235,3,3+1))</f>
        <v>7.02413052689</v>
      </c>
      <c r="W235" s="0" t="n">
        <f aca="false">INDEX($K235:$O235,IF(4&lt;$E235,4,4+1))</f>
        <v>7.15037870964</v>
      </c>
      <c r="X235" s="0" t="n">
        <f aca="false">1+COUNTIF($P235:$S235,"&gt;"&amp;$P235)+(COUNTIF($P235:$S235,$P235)-1)/2</f>
        <v>3</v>
      </c>
      <c r="Y235" s="0" t="n">
        <f aca="false">1+COUNTIF($P235:$S235,"&gt;"&amp;$Q235)+(COUNTIF($P235:$S235,$Q235)-1)/2</f>
        <v>4</v>
      </c>
      <c r="Z235" s="0" t="n">
        <f aca="false">1+COUNTIF($P235:$S235,"&gt;"&amp;$R235)+(COUNTIF($P235:$S235,$R235)-1)/2</f>
        <v>2</v>
      </c>
      <c r="AA235" s="0" t="n">
        <f aca="false">1+COUNTIF($P235:$S235,"&gt;"&amp;$S235)+(COUNTIF($P235:$S235,$S235)-1)/2</f>
        <v>1</v>
      </c>
      <c r="AB235" s="0" t="n">
        <f aca="false">1+COUNTIF($T235:$W235,"&gt;"&amp;$T235)+(COUNTIF($T235:$W235,$T235)-1)/2</f>
        <v>1</v>
      </c>
      <c r="AC235" s="0" t="n">
        <f aca="false">1+COUNTIF($T235:$W235,"&gt;"&amp;$U235)+(COUNTIF($T235:$W235,$U235)-1)/2</f>
        <v>2</v>
      </c>
      <c r="AD235" s="0" t="n">
        <f aca="false">1+COUNTIF($T235:$W235,"&gt;"&amp;$V235)+(COUNTIF($T235:$W235,$V235)-1)/2</f>
        <v>4</v>
      </c>
      <c r="AE235" s="0" t="n">
        <f aca="false">1+COUNTIF($T235:$W235,"&gt;"&amp;$W235)+(COUNTIF($T235:$W235,$W235)-1)/2</f>
        <v>3</v>
      </c>
      <c r="AF235" s="0" t="n">
        <f aca="false">IFERROR(CORREL($P235:$S235,$T235:$W235),"")</f>
        <v>-0.626575718016957</v>
      </c>
      <c r="AG235" s="0" t="n">
        <f aca="false">IFERROR(CORREL($X235:$AA235,$AB235:$AE235),"")</f>
        <v>-0.6</v>
      </c>
      <c r="AH235" s="0" t="n">
        <f aca="false">IFERROR((SIGN($P235-$Q235)*SIGN($T235-$U235)+SIGN($P235-$R235)*SIGN($T235-$V235)+SIGN($P235-$S235)*SIGN($T235-$W235)+SIGN($Q235-$R235)*SIGN($U235-$V235)+SIGN($Q235-$S235)*SIGN($U235-$W235)+SIGN($R235-$S235)*SIGN($V235-$W235))/SQRT((6-(($P235=$Q235)*1+($P235=$R235)*1+($P235=$S235)*1+($Q235=$R235)*1+($Q235=$S235)*1+($R235=$S235)*1))*(6-(($T235=$U235)*1+($T235=$V235)*1+($T235=$W235)*1+($U235=$V235)*1+($U235=$W235)*1+($V235=$W235)*1))),"")</f>
        <v>-0.333333333333333</v>
      </c>
      <c r="AI235" s="0" t="n">
        <f aca="false">MATCH(MAX($K235:$O235),$K235:$O235,0)</f>
        <v>5</v>
      </c>
      <c r="AJ235" s="0" t="n">
        <f aca="false">IF(AI235&lt;&gt;$E235,1,0)</f>
        <v>0</v>
      </c>
      <c r="AK235" s="0" t="str">
        <f aca="false">IF(AJ235=1,INDEX($F235:$J235,AI235)/MAX($P235:$S235),"")</f>
        <v/>
      </c>
      <c r="AL235" s="0" t="str">
        <f aca="false">IF(AJ235=1,1+COUNTIF($P235:$S235,"&gt;"&amp;INDEX($F235:$J235,AI235)),"")</f>
        <v/>
      </c>
      <c r="AM235" s="0" t="n">
        <f aca="false">AVERAGE($P235:$S235)/MAX($P235:$S235)</f>
        <v>0.684834123222749</v>
      </c>
      <c r="AN235" s="0" t="n">
        <f aca="false">100-INDEX($F235:$J235,$E235)</f>
        <v>71.8</v>
      </c>
    </row>
    <row r="236" customFormat="false" ht="15" hidden="false" customHeight="false" outlineLevel="0" collapsed="false">
      <c r="A236" s="0" t="s">
        <v>40</v>
      </c>
      <c r="B236" s="0" t="n">
        <v>2017</v>
      </c>
      <c r="C236" s="0" t="s">
        <v>49</v>
      </c>
      <c r="D236" s="0" t="s">
        <v>42</v>
      </c>
      <c r="E236" s="0" t="n">
        <v>4</v>
      </c>
      <c r="F236" s="0" t="n">
        <v>9</v>
      </c>
      <c r="G236" s="0" t="n">
        <v>11.4</v>
      </c>
      <c r="H236" s="0" t="n">
        <v>13</v>
      </c>
      <c r="I236" s="0" t="n">
        <v>34.4</v>
      </c>
      <c r="J236" s="0" t="n">
        <v>24.3</v>
      </c>
      <c r="K236" s="0" t="n">
        <v>8.73524385352</v>
      </c>
      <c r="L236" s="0" t="n">
        <v>0.416228592398</v>
      </c>
      <c r="M236" s="0" t="n">
        <v>55.856295065</v>
      </c>
      <c r="N236" s="0" t="n">
        <v>27.3761559462</v>
      </c>
      <c r="O236" s="0" t="n">
        <v>7.61607654289</v>
      </c>
      <c r="P236" s="0" t="n">
        <f aca="false">INDEX($F236:$J236,IF(1&lt;$E236,1,1+1))</f>
        <v>9</v>
      </c>
      <c r="Q236" s="0" t="n">
        <f aca="false">INDEX($F236:$J236,IF(2&lt;$E236,2,2+1))</f>
        <v>11.4</v>
      </c>
      <c r="R236" s="0" t="n">
        <f aca="false">INDEX($F236:$J236,IF(3&lt;$E236,3,3+1))</f>
        <v>13</v>
      </c>
      <c r="S236" s="0" t="n">
        <f aca="false">INDEX($F236:$J236,IF(4&lt;$E236,4,4+1))</f>
        <v>24.3</v>
      </c>
      <c r="T236" s="0" t="n">
        <f aca="false">INDEX($K236:$O236,IF(1&lt;$E236,1,1+1))</f>
        <v>8.73524385352</v>
      </c>
      <c r="U236" s="0" t="n">
        <f aca="false">INDEX($K236:$O236,IF(2&lt;$E236,2,2+1))</f>
        <v>0.416228592398</v>
      </c>
      <c r="V236" s="0" t="n">
        <f aca="false">INDEX($K236:$O236,IF(3&lt;$E236,3,3+1))</f>
        <v>55.856295065</v>
      </c>
      <c r="W236" s="0" t="n">
        <f aca="false">INDEX($K236:$O236,IF(4&lt;$E236,4,4+1))</f>
        <v>7.61607654289</v>
      </c>
      <c r="X236" s="0" t="n">
        <f aca="false">1+COUNTIF($P236:$S236,"&gt;"&amp;$P236)+(COUNTIF($P236:$S236,$P236)-1)/2</f>
        <v>4</v>
      </c>
      <c r="Y236" s="0" t="n">
        <f aca="false">1+COUNTIF($P236:$S236,"&gt;"&amp;$Q236)+(COUNTIF($P236:$S236,$Q236)-1)/2</f>
        <v>3</v>
      </c>
      <c r="Z236" s="0" t="n">
        <f aca="false">1+COUNTIF($P236:$S236,"&gt;"&amp;$R236)+(COUNTIF($P236:$S236,$R236)-1)/2</f>
        <v>2</v>
      </c>
      <c r="AA236" s="0" t="n">
        <f aca="false">1+COUNTIF($P236:$S236,"&gt;"&amp;$S236)+(COUNTIF($P236:$S236,$S236)-1)/2</f>
        <v>1</v>
      </c>
      <c r="AB236" s="0" t="n">
        <f aca="false">1+COUNTIF($T236:$W236,"&gt;"&amp;$T236)+(COUNTIF($T236:$W236,$T236)-1)/2</f>
        <v>2</v>
      </c>
      <c r="AC236" s="0" t="n">
        <f aca="false">1+COUNTIF($T236:$W236,"&gt;"&amp;$U236)+(COUNTIF($T236:$W236,$U236)-1)/2</f>
        <v>4</v>
      </c>
      <c r="AD236" s="0" t="n">
        <f aca="false">1+COUNTIF($T236:$W236,"&gt;"&amp;$V236)+(COUNTIF($T236:$W236,$V236)-1)/2</f>
        <v>1</v>
      </c>
      <c r="AE236" s="0" t="n">
        <f aca="false">1+COUNTIF($T236:$W236,"&gt;"&amp;$W236)+(COUNTIF($T236:$W236,$W236)-1)/2</f>
        <v>3</v>
      </c>
      <c r="AF236" s="0" t="n">
        <f aca="false">IFERROR(CORREL($P236:$S236,$T236:$W236),"")</f>
        <v>-0.102560533491766</v>
      </c>
      <c r="AG236" s="0" t="n">
        <f aca="false">IFERROR(CORREL($X236:$AA236,$AB236:$AE236),"")</f>
        <v>0</v>
      </c>
      <c r="AH236" s="0" t="n">
        <f aca="false">IFERROR((SIGN($P236-$Q236)*SIGN($T236-$U236)+SIGN($P236-$R236)*SIGN($T236-$V236)+SIGN($P236-$S236)*SIGN($T236-$W236)+SIGN($Q236-$R236)*SIGN($U236-$V236)+SIGN($Q236-$S236)*SIGN($U236-$W236)+SIGN($R236-$S236)*SIGN($V236-$W236))/SQRT((6-(($P236=$Q236)*1+($P236=$R236)*1+($P236=$S236)*1+($Q236=$R236)*1+($Q236=$S236)*1+($R236=$S236)*1))*(6-(($T236=$U236)*1+($T236=$V236)*1+($T236=$W236)*1+($U236=$V236)*1+($U236=$W236)*1+($V236=$W236)*1))),"")</f>
        <v>0</v>
      </c>
      <c r="AI236" s="0" t="n">
        <f aca="false">MATCH(MAX($K236:$O236),$K236:$O236,0)</f>
        <v>3</v>
      </c>
      <c r="AJ236" s="0" t="n">
        <f aca="false">IF(AI236&lt;&gt;$E236,1,0)</f>
        <v>1</v>
      </c>
      <c r="AK236" s="0" t="n">
        <f aca="false">IF(AJ236=1,INDEX($F236:$J236,AI236)/MAX($P236:$S236),"")</f>
        <v>0.534979423868313</v>
      </c>
      <c r="AL236" s="0" t="n">
        <f aca="false">IF(AJ236=1,1+COUNTIF($P236:$S236,"&gt;"&amp;INDEX($F236:$J236,AI236)),"")</f>
        <v>2</v>
      </c>
      <c r="AM236" s="0" t="n">
        <f aca="false">AVERAGE($P236:$S236)/MAX($P236:$S236)</f>
        <v>0.593621399176955</v>
      </c>
      <c r="AN236" s="0" t="n">
        <f aca="false">100-INDEX($F236:$J236,$E236)</f>
        <v>65.6</v>
      </c>
    </row>
    <row r="237" customFormat="false" ht="15" hidden="false" customHeight="false" outlineLevel="0" collapsed="false">
      <c r="A237" s="0" t="s">
        <v>40</v>
      </c>
      <c r="B237" s="0" t="n">
        <v>2017</v>
      </c>
      <c r="C237" s="0" t="s">
        <v>49</v>
      </c>
      <c r="D237" s="0" t="s">
        <v>43</v>
      </c>
      <c r="E237" s="0" t="n">
        <v>4</v>
      </c>
      <c r="F237" s="0" t="n">
        <v>15.6</v>
      </c>
      <c r="G237" s="0" t="n">
        <v>15.8</v>
      </c>
      <c r="H237" s="0" t="n">
        <v>19.5</v>
      </c>
      <c r="I237" s="0" t="n">
        <v>36.5</v>
      </c>
      <c r="J237" s="0" t="n">
        <v>4.6</v>
      </c>
      <c r="K237" s="0" t="n">
        <v>16.6674576226</v>
      </c>
      <c r="L237" s="0" t="n">
        <v>43.1671563828</v>
      </c>
      <c r="M237" s="0" t="n">
        <v>5.22946063105</v>
      </c>
      <c r="N237" s="0" t="n">
        <v>27.5725759986</v>
      </c>
      <c r="O237" s="0" t="n">
        <v>7.36334936494</v>
      </c>
      <c r="P237" s="0" t="n">
        <f aca="false">INDEX($F237:$J237,IF(1&lt;$E237,1,1+1))</f>
        <v>15.6</v>
      </c>
      <c r="Q237" s="0" t="n">
        <f aca="false">INDEX($F237:$J237,IF(2&lt;$E237,2,2+1))</f>
        <v>15.8</v>
      </c>
      <c r="R237" s="0" t="n">
        <f aca="false">INDEX($F237:$J237,IF(3&lt;$E237,3,3+1))</f>
        <v>19.5</v>
      </c>
      <c r="S237" s="0" t="n">
        <f aca="false">INDEX($F237:$J237,IF(4&lt;$E237,4,4+1))</f>
        <v>4.6</v>
      </c>
      <c r="T237" s="0" t="n">
        <f aca="false">INDEX($K237:$O237,IF(1&lt;$E237,1,1+1))</f>
        <v>16.6674576226</v>
      </c>
      <c r="U237" s="0" t="n">
        <f aca="false">INDEX($K237:$O237,IF(2&lt;$E237,2,2+1))</f>
        <v>43.1671563828</v>
      </c>
      <c r="V237" s="0" t="n">
        <f aca="false">INDEX($K237:$O237,IF(3&lt;$E237,3,3+1))</f>
        <v>5.22946063105</v>
      </c>
      <c r="W237" s="0" t="n">
        <f aca="false">INDEX($K237:$O237,IF(4&lt;$E237,4,4+1))</f>
        <v>7.36334936494</v>
      </c>
      <c r="X237" s="0" t="n">
        <f aca="false">1+COUNTIF($P237:$S237,"&gt;"&amp;$P237)+(COUNTIF($P237:$S237,$P237)-1)/2</f>
        <v>3</v>
      </c>
      <c r="Y237" s="0" t="n">
        <f aca="false">1+COUNTIF($P237:$S237,"&gt;"&amp;$Q237)+(COUNTIF($P237:$S237,$Q237)-1)/2</f>
        <v>2</v>
      </c>
      <c r="Z237" s="0" t="n">
        <f aca="false">1+COUNTIF($P237:$S237,"&gt;"&amp;$R237)+(COUNTIF($P237:$S237,$R237)-1)/2</f>
        <v>1</v>
      </c>
      <c r="AA237" s="0" t="n">
        <f aca="false">1+COUNTIF($P237:$S237,"&gt;"&amp;$S237)+(COUNTIF($P237:$S237,$S237)-1)/2</f>
        <v>4</v>
      </c>
      <c r="AB237" s="0" t="n">
        <f aca="false">1+COUNTIF($T237:$W237,"&gt;"&amp;$T237)+(COUNTIF($T237:$W237,$T237)-1)/2</f>
        <v>2</v>
      </c>
      <c r="AC237" s="0" t="n">
        <f aca="false">1+COUNTIF($T237:$W237,"&gt;"&amp;$U237)+(COUNTIF($T237:$W237,$U237)-1)/2</f>
        <v>1</v>
      </c>
      <c r="AD237" s="0" t="n">
        <f aca="false">1+COUNTIF($T237:$W237,"&gt;"&amp;$V237)+(COUNTIF($T237:$W237,$V237)-1)/2</f>
        <v>4</v>
      </c>
      <c r="AE237" s="0" t="n">
        <f aca="false">1+COUNTIF($T237:$W237,"&gt;"&amp;$W237)+(COUNTIF($T237:$W237,$W237)-1)/2</f>
        <v>3</v>
      </c>
      <c r="AF237" s="0" t="n">
        <f aca="false">IFERROR(CORREL($P237:$S237,$T237:$W237),"")</f>
        <v>0.216759541000146</v>
      </c>
      <c r="AG237" s="0" t="n">
        <f aca="false">IFERROR(CORREL($X237:$AA237,$AB237:$AE237),"")</f>
        <v>-0.2</v>
      </c>
      <c r="AH237" s="0" t="n">
        <f aca="false">IFERROR((SIGN($P237-$Q237)*SIGN($T237-$U237)+SIGN($P237-$R237)*SIGN($T237-$V237)+SIGN($P237-$S237)*SIGN($T237-$W237)+SIGN($Q237-$R237)*SIGN($U237-$V237)+SIGN($Q237-$S237)*SIGN($U237-$W237)+SIGN($R237-$S237)*SIGN($V237-$W237))/SQRT((6-(($P237=$Q237)*1+($P237=$R237)*1+($P237=$S237)*1+($Q237=$R237)*1+($Q237=$S237)*1+($R237=$S237)*1))*(6-(($T237=$U237)*1+($T237=$V237)*1+($T237=$W237)*1+($U237=$V237)*1+($U237=$W237)*1+($V237=$W237)*1))),"")</f>
        <v>0</v>
      </c>
      <c r="AI237" s="0" t="n">
        <f aca="false">MATCH(MAX($K237:$O237),$K237:$O237,0)</f>
        <v>2</v>
      </c>
      <c r="AJ237" s="0" t="n">
        <f aca="false">IF(AI237&lt;&gt;$E237,1,0)</f>
        <v>1</v>
      </c>
      <c r="AK237" s="0" t="n">
        <f aca="false">IF(AJ237=1,INDEX($F237:$J237,AI237)/MAX($P237:$S237),"")</f>
        <v>0.81025641025641</v>
      </c>
      <c r="AL237" s="0" t="n">
        <f aca="false">IF(AJ237=1,1+COUNTIF($P237:$S237,"&gt;"&amp;INDEX($F237:$J237,AI237)),"")</f>
        <v>2</v>
      </c>
      <c r="AM237" s="0" t="n">
        <f aca="false">AVERAGE($P237:$S237)/MAX($P237:$S237)</f>
        <v>0.711538461538462</v>
      </c>
      <c r="AN237" s="0" t="n">
        <f aca="false">100-INDEX($F237:$J237,$E237)</f>
        <v>63.5</v>
      </c>
    </row>
    <row r="238" customFormat="false" ht="15" hidden="false" customHeight="false" outlineLevel="0" collapsed="false">
      <c r="A238" s="0" t="s">
        <v>40</v>
      </c>
      <c r="B238" s="0" t="n">
        <v>2017</v>
      </c>
      <c r="C238" s="0" t="s">
        <v>49</v>
      </c>
      <c r="D238" s="0" t="s">
        <v>44</v>
      </c>
      <c r="E238" s="0" t="n">
        <v>1</v>
      </c>
      <c r="F238" s="0" t="n">
        <v>24.4</v>
      </c>
      <c r="G238" s="0" t="n">
        <v>12.6</v>
      </c>
      <c r="H238" s="0" t="n">
        <v>10.5</v>
      </c>
      <c r="I238" s="0" t="n">
        <v>22.2</v>
      </c>
      <c r="J238" s="0" t="n">
        <v>22.3</v>
      </c>
      <c r="K238" s="0" t="n">
        <v>7.15960392761</v>
      </c>
      <c r="L238" s="0" t="n">
        <v>4.67309957669</v>
      </c>
      <c r="M238" s="0" t="n">
        <v>22.2862160558</v>
      </c>
      <c r="N238" s="0" t="n">
        <v>15.1682188428</v>
      </c>
      <c r="O238" s="0" t="n">
        <v>50.7128615972</v>
      </c>
      <c r="P238" s="0" t="n">
        <f aca="false">INDEX($F238:$J238,IF(1&lt;$E238,1,1+1))</f>
        <v>12.6</v>
      </c>
      <c r="Q238" s="0" t="n">
        <f aca="false">INDEX($F238:$J238,IF(2&lt;$E238,2,2+1))</f>
        <v>10.5</v>
      </c>
      <c r="R238" s="0" t="n">
        <f aca="false">INDEX($F238:$J238,IF(3&lt;$E238,3,3+1))</f>
        <v>22.2</v>
      </c>
      <c r="S238" s="0" t="n">
        <f aca="false">INDEX($F238:$J238,IF(4&lt;$E238,4,4+1))</f>
        <v>22.3</v>
      </c>
      <c r="T238" s="0" t="n">
        <f aca="false">INDEX($K238:$O238,IF(1&lt;$E238,1,1+1))</f>
        <v>4.67309957669</v>
      </c>
      <c r="U238" s="0" t="n">
        <f aca="false">INDEX($K238:$O238,IF(2&lt;$E238,2,2+1))</f>
        <v>22.2862160558</v>
      </c>
      <c r="V238" s="0" t="n">
        <f aca="false">INDEX($K238:$O238,IF(3&lt;$E238,3,3+1))</f>
        <v>15.1682188428</v>
      </c>
      <c r="W238" s="0" t="n">
        <f aca="false">INDEX($K238:$O238,IF(4&lt;$E238,4,4+1))</f>
        <v>50.7128615972</v>
      </c>
      <c r="X238" s="0" t="n">
        <f aca="false">1+COUNTIF($P238:$S238,"&gt;"&amp;$P238)+(COUNTIF($P238:$S238,$P238)-1)/2</f>
        <v>3</v>
      </c>
      <c r="Y238" s="0" t="n">
        <f aca="false">1+COUNTIF($P238:$S238,"&gt;"&amp;$Q238)+(COUNTIF($P238:$S238,$Q238)-1)/2</f>
        <v>4</v>
      </c>
      <c r="Z238" s="0" t="n">
        <f aca="false">1+COUNTIF($P238:$S238,"&gt;"&amp;$R238)+(COUNTIF($P238:$S238,$R238)-1)/2</f>
        <v>2</v>
      </c>
      <c r="AA238" s="0" t="n">
        <f aca="false">1+COUNTIF($P238:$S238,"&gt;"&amp;$S238)+(COUNTIF($P238:$S238,$S238)-1)/2</f>
        <v>1</v>
      </c>
      <c r="AB238" s="0" t="n">
        <f aca="false">1+COUNTIF($T238:$W238,"&gt;"&amp;$T238)+(COUNTIF($T238:$W238,$T238)-1)/2</f>
        <v>4</v>
      </c>
      <c r="AC238" s="0" t="n">
        <f aca="false">1+COUNTIF($T238:$W238,"&gt;"&amp;$U238)+(COUNTIF($T238:$W238,$U238)-1)/2</f>
        <v>2</v>
      </c>
      <c r="AD238" s="0" t="n">
        <f aca="false">1+COUNTIF($T238:$W238,"&gt;"&amp;$V238)+(COUNTIF($T238:$W238,$V238)-1)/2</f>
        <v>3</v>
      </c>
      <c r="AE238" s="0" t="n">
        <f aca="false">1+COUNTIF($T238:$W238,"&gt;"&amp;$W238)+(COUNTIF($T238:$W238,$W238)-1)/2</f>
        <v>1</v>
      </c>
      <c r="AF238" s="0" t="n">
        <f aca="false">IFERROR(CORREL($P238:$S238,$T238:$W238),"")</f>
        <v>0.519280624920895</v>
      </c>
      <c r="AG238" s="0" t="n">
        <f aca="false">IFERROR(CORREL($X238:$AA238,$AB238:$AE238),"")</f>
        <v>0.4</v>
      </c>
      <c r="AH238" s="0" t="n">
        <f aca="false">IFERROR((SIGN($P238-$Q238)*SIGN($T238-$U238)+SIGN($P238-$R238)*SIGN($T238-$V238)+SIGN($P238-$S238)*SIGN($T238-$W238)+SIGN($Q238-$R238)*SIGN($U238-$V238)+SIGN($Q238-$S238)*SIGN($U238-$W238)+SIGN($R238-$S238)*SIGN($V238-$W238))/SQRT((6-(($P238=$Q238)*1+($P238=$R238)*1+($P238=$S238)*1+($Q238=$R238)*1+($Q238=$S238)*1+($R238=$S238)*1))*(6-(($T238=$U238)*1+($T238=$V238)*1+($T238=$W238)*1+($U238=$V238)*1+($U238=$W238)*1+($V238=$W238)*1))),"")</f>
        <v>0.333333333333333</v>
      </c>
      <c r="AI238" s="0" t="n">
        <f aca="false">MATCH(MAX($K238:$O238),$K238:$O238,0)</f>
        <v>5</v>
      </c>
      <c r="AJ238" s="0" t="n">
        <f aca="false">IF(AI238&lt;&gt;$E238,1,0)</f>
        <v>1</v>
      </c>
      <c r="AK238" s="0" t="n">
        <f aca="false">IF(AJ238=1,INDEX($F238:$J238,AI238)/MAX($P238:$S238),"")</f>
        <v>1</v>
      </c>
      <c r="AL238" s="0" t="n">
        <f aca="false">IF(AJ238=1,1+COUNTIF($P238:$S238,"&gt;"&amp;INDEX($F238:$J238,AI238)),"")</f>
        <v>1</v>
      </c>
      <c r="AM238" s="0" t="n">
        <f aca="false">AVERAGE($P238:$S238)/MAX($P238:$S238)</f>
        <v>0.757847533632287</v>
      </c>
      <c r="AN238" s="0" t="n">
        <f aca="false">100-INDEX($F238:$J238,$E238)</f>
        <v>75.6</v>
      </c>
    </row>
    <row r="239" customFormat="false" ht="15" hidden="false" customHeight="false" outlineLevel="0" collapsed="false">
      <c r="A239" s="0" t="s">
        <v>40</v>
      </c>
      <c r="B239" s="0" t="n">
        <v>2017</v>
      </c>
      <c r="C239" s="0" t="s">
        <v>49</v>
      </c>
      <c r="D239" s="0" t="s">
        <v>45</v>
      </c>
      <c r="E239" s="0" t="n">
        <v>1</v>
      </c>
      <c r="F239" s="0" t="n">
        <v>35</v>
      </c>
      <c r="G239" s="0" t="n">
        <v>11.4</v>
      </c>
      <c r="H239" s="0" t="n">
        <v>15.4</v>
      </c>
      <c r="I239" s="0" t="n">
        <v>17.9</v>
      </c>
      <c r="J239" s="0" t="n">
        <v>12.2</v>
      </c>
      <c r="K239" s="0" t="n">
        <v>15.0085623488</v>
      </c>
      <c r="L239" s="0" t="n">
        <v>3.68410424549</v>
      </c>
      <c r="M239" s="0" t="n">
        <v>4.96472526351</v>
      </c>
      <c r="N239" s="0" t="n">
        <v>72.2343868813</v>
      </c>
      <c r="O239" s="0" t="n">
        <v>4.10822126091</v>
      </c>
      <c r="P239" s="0" t="n">
        <f aca="false">INDEX($F239:$J239,IF(1&lt;$E239,1,1+1))</f>
        <v>11.4</v>
      </c>
      <c r="Q239" s="0" t="n">
        <f aca="false">INDEX($F239:$J239,IF(2&lt;$E239,2,2+1))</f>
        <v>15.4</v>
      </c>
      <c r="R239" s="0" t="n">
        <f aca="false">INDEX($F239:$J239,IF(3&lt;$E239,3,3+1))</f>
        <v>17.9</v>
      </c>
      <c r="S239" s="0" t="n">
        <f aca="false">INDEX($F239:$J239,IF(4&lt;$E239,4,4+1))</f>
        <v>12.2</v>
      </c>
      <c r="T239" s="0" t="n">
        <f aca="false">INDEX($K239:$O239,IF(1&lt;$E239,1,1+1))</f>
        <v>3.68410424549</v>
      </c>
      <c r="U239" s="0" t="n">
        <f aca="false">INDEX($K239:$O239,IF(2&lt;$E239,2,2+1))</f>
        <v>4.96472526351</v>
      </c>
      <c r="V239" s="0" t="n">
        <f aca="false">INDEX($K239:$O239,IF(3&lt;$E239,3,3+1))</f>
        <v>72.2343868813</v>
      </c>
      <c r="W239" s="0" t="n">
        <f aca="false">INDEX($K239:$O239,IF(4&lt;$E239,4,4+1))</f>
        <v>4.10822126091</v>
      </c>
      <c r="X239" s="0" t="n">
        <f aca="false">1+COUNTIF($P239:$S239,"&gt;"&amp;$P239)+(COUNTIF($P239:$S239,$P239)-1)/2</f>
        <v>4</v>
      </c>
      <c r="Y239" s="0" t="n">
        <f aca="false">1+COUNTIF($P239:$S239,"&gt;"&amp;$Q239)+(COUNTIF($P239:$S239,$Q239)-1)/2</f>
        <v>2</v>
      </c>
      <c r="Z239" s="0" t="n">
        <f aca="false">1+COUNTIF($P239:$S239,"&gt;"&amp;$R239)+(COUNTIF($P239:$S239,$R239)-1)/2</f>
        <v>1</v>
      </c>
      <c r="AA239" s="0" t="n">
        <f aca="false">1+COUNTIF($P239:$S239,"&gt;"&amp;$S239)+(COUNTIF($P239:$S239,$S239)-1)/2</f>
        <v>3</v>
      </c>
      <c r="AB239" s="0" t="n">
        <f aca="false">1+COUNTIF($T239:$W239,"&gt;"&amp;$T239)+(COUNTIF($T239:$W239,$T239)-1)/2</f>
        <v>4</v>
      </c>
      <c r="AC239" s="0" t="n">
        <f aca="false">1+COUNTIF($T239:$W239,"&gt;"&amp;$U239)+(COUNTIF($T239:$W239,$U239)-1)/2</f>
        <v>2</v>
      </c>
      <c r="AD239" s="0" t="n">
        <f aca="false">1+COUNTIF($T239:$W239,"&gt;"&amp;$V239)+(COUNTIF($T239:$W239,$V239)-1)/2</f>
        <v>1</v>
      </c>
      <c r="AE239" s="0" t="n">
        <f aca="false">1+COUNTIF($T239:$W239,"&gt;"&amp;$W239)+(COUNTIF($T239:$W239,$W239)-1)/2</f>
        <v>3</v>
      </c>
      <c r="AF239" s="0" t="n">
        <f aca="false">IFERROR(CORREL($P239:$S239,$T239:$W239),"")</f>
        <v>0.826000241579142</v>
      </c>
      <c r="AG239" s="0" t="n">
        <f aca="false">IFERROR(CORREL($X239:$AA239,$AB239:$AE239),"")</f>
        <v>1</v>
      </c>
      <c r="AH239" s="0" t="n">
        <f aca="false">IFERROR((SIGN($P239-$Q239)*SIGN($T239-$U239)+SIGN($P239-$R239)*SIGN($T239-$V239)+SIGN($P239-$S239)*SIGN($T239-$W239)+SIGN($Q239-$R239)*SIGN($U239-$V239)+SIGN($Q239-$S239)*SIGN($U239-$W239)+SIGN($R239-$S239)*SIGN($V239-$W239))/SQRT((6-(($P239=$Q239)*1+($P239=$R239)*1+($P239=$S239)*1+($Q239=$R239)*1+($Q239=$S239)*1+($R239=$S239)*1))*(6-(($T239=$U239)*1+($T239=$V239)*1+($T239=$W239)*1+($U239=$V239)*1+($U239=$W239)*1+($V239=$W239)*1))),"")</f>
        <v>1</v>
      </c>
      <c r="AI239" s="0" t="n">
        <f aca="false">MATCH(MAX($K239:$O239),$K239:$O239,0)</f>
        <v>4</v>
      </c>
      <c r="AJ239" s="0" t="n">
        <f aca="false">IF(AI239&lt;&gt;$E239,1,0)</f>
        <v>1</v>
      </c>
      <c r="AK239" s="0" t="n">
        <f aca="false">IF(AJ239=1,INDEX($F239:$J239,AI239)/MAX($P239:$S239),"")</f>
        <v>1</v>
      </c>
      <c r="AL239" s="0" t="n">
        <f aca="false">IF(AJ239=1,1+COUNTIF($P239:$S239,"&gt;"&amp;INDEX($F239:$J239,AI239)),"")</f>
        <v>1</v>
      </c>
      <c r="AM239" s="0" t="n">
        <f aca="false">AVERAGE($P239:$S239)/MAX($P239:$S239)</f>
        <v>0.794692737430168</v>
      </c>
      <c r="AN239" s="0" t="n">
        <f aca="false">100-INDEX($F239:$J239,$E239)</f>
        <v>65</v>
      </c>
    </row>
    <row r="240" customFormat="false" ht="15" hidden="false" customHeight="false" outlineLevel="0" collapsed="false">
      <c r="A240" s="0" t="s">
        <v>40</v>
      </c>
      <c r="B240" s="0" t="n">
        <v>2017</v>
      </c>
      <c r="C240" s="0" t="s">
        <v>50</v>
      </c>
      <c r="D240" s="0" t="s">
        <v>42</v>
      </c>
      <c r="E240" s="0" t="n">
        <v>4</v>
      </c>
      <c r="F240" s="0" t="n">
        <v>13.2</v>
      </c>
      <c r="G240" s="0" t="n">
        <v>14.2</v>
      </c>
      <c r="H240" s="0" t="n">
        <v>11.9</v>
      </c>
      <c r="I240" s="0" t="n">
        <v>39.1</v>
      </c>
      <c r="J240" s="0" t="n">
        <v>10.8</v>
      </c>
      <c r="K240" s="0" t="n">
        <v>0.0987268591073</v>
      </c>
      <c r="L240" s="0" t="n">
        <v>4.2921081844</v>
      </c>
      <c r="M240" s="0" t="n">
        <v>0.666412071971</v>
      </c>
      <c r="N240" s="0" t="n">
        <v>52.6837611716</v>
      </c>
      <c r="O240" s="0" t="n">
        <v>42.2589917129</v>
      </c>
      <c r="P240" s="0" t="n">
        <f aca="false">INDEX($F240:$J240,IF(1&lt;$E240,1,1+1))</f>
        <v>13.2</v>
      </c>
      <c r="Q240" s="0" t="n">
        <f aca="false">INDEX($F240:$J240,IF(2&lt;$E240,2,2+1))</f>
        <v>14.2</v>
      </c>
      <c r="R240" s="0" t="n">
        <f aca="false">INDEX($F240:$J240,IF(3&lt;$E240,3,3+1))</f>
        <v>11.9</v>
      </c>
      <c r="S240" s="0" t="n">
        <f aca="false">INDEX($F240:$J240,IF(4&lt;$E240,4,4+1))</f>
        <v>10.8</v>
      </c>
      <c r="T240" s="0" t="n">
        <f aca="false">INDEX($K240:$O240,IF(1&lt;$E240,1,1+1))</f>
        <v>0.0987268591073</v>
      </c>
      <c r="U240" s="0" t="n">
        <f aca="false">INDEX($K240:$O240,IF(2&lt;$E240,2,2+1))</f>
        <v>4.2921081844</v>
      </c>
      <c r="V240" s="0" t="n">
        <f aca="false">INDEX($K240:$O240,IF(3&lt;$E240,3,3+1))</f>
        <v>0.666412071971</v>
      </c>
      <c r="W240" s="0" t="n">
        <f aca="false">INDEX($K240:$O240,IF(4&lt;$E240,4,4+1))</f>
        <v>42.2589917129</v>
      </c>
      <c r="X240" s="0" t="n">
        <f aca="false">1+COUNTIF($P240:$S240,"&gt;"&amp;$P240)+(COUNTIF($P240:$S240,$P240)-1)/2</f>
        <v>2</v>
      </c>
      <c r="Y240" s="0" t="n">
        <f aca="false">1+COUNTIF($P240:$S240,"&gt;"&amp;$Q240)+(COUNTIF($P240:$S240,$Q240)-1)/2</f>
        <v>1</v>
      </c>
      <c r="Z240" s="0" t="n">
        <f aca="false">1+COUNTIF($P240:$S240,"&gt;"&amp;$R240)+(COUNTIF($P240:$S240,$R240)-1)/2</f>
        <v>3</v>
      </c>
      <c r="AA240" s="0" t="n">
        <f aca="false">1+COUNTIF($P240:$S240,"&gt;"&amp;$S240)+(COUNTIF($P240:$S240,$S240)-1)/2</f>
        <v>4</v>
      </c>
      <c r="AB240" s="0" t="n">
        <f aca="false">1+COUNTIF($T240:$W240,"&gt;"&amp;$T240)+(COUNTIF($T240:$W240,$T240)-1)/2</f>
        <v>4</v>
      </c>
      <c r="AC240" s="0" t="n">
        <f aca="false">1+COUNTIF($T240:$W240,"&gt;"&amp;$U240)+(COUNTIF($T240:$W240,$U240)-1)/2</f>
        <v>2</v>
      </c>
      <c r="AD240" s="0" t="n">
        <f aca="false">1+COUNTIF($T240:$W240,"&gt;"&amp;$V240)+(COUNTIF($T240:$W240,$V240)-1)/2</f>
        <v>3</v>
      </c>
      <c r="AE240" s="0" t="n">
        <f aca="false">1+COUNTIF($T240:$W240,"&gt;"&amp;$W240)+(COUNTIF($T240:$W240,$W240)-1)/2</f>
        <v>1</v>
      </c>
      <c r="AF240" s="0" t="n">
        <f aca="false">IFERROR(CORREL($P240:$S240,$T240:$W240),"")</f>
        <v>-0.727215300878087</v>
      </c>
      <c r="AG240" s="0" t="n">
        <f aca="false">IFERROR(CORREL($X240:$AA240,$AB240:$AE240),"")</f>
        <v>-0.4</v>
      </c>
      <c r="AH240" s="0" t="n">
        <f aca="false">IFERROR((SIGN($P240-$Q240)*SIGN($T240-$U240)+SIGN($P240-$R240)*SIGN($T240-$V240)+SIGN($P240-$S240)*SIGN($T240-$W240)+SIGN($Q240-$R240)*SIGN($U240-$V240)+SIGN($Q240-$S240)*SIGN($U240-$W240)+SIGN($R240-$S240)*SIGN($V240-$W240))/SQRT((6-(($P240=$Q240)*1+($P240=$R240)*1+($P240=$S240)*1+($Q240=$R240)*1+($Q240=$S240)*1+($R240=$S240)*1))*(6-(($T240=$U240)*1+($T240=$V240)*1+($T240=$W240)*1+($U240=$V240)*1+($U240=$W240)*1+($V240=$W240)*1))),"")</f>
        <v>-0.333333333333333</v>
      </c>
      <c r="AI240" s="0" t="n">
        <f aca="false">MATCH(MAX($K240:$O240),$K240:$O240,0)</f>
        <v>4</v>
      </c>
      <c r="AJ240" s="0" t="n">
        <f aca="false">IF(AI240&lt;&gt;$E240,1,0)</f>
        <v>0</v>
      </c>
      <c r="AK240" s="0" t="str">
        <f aca="false">IF(AJ240=1,INDEX($F240:$J240,AI240)/MAX($P240:$S240),"")</f>
        <v/>
      </c>
      <c r="AL240" s="0" t="str">
        <f aca="false">IF(AJ240=1,1+COUNTIF($P240:$S240,"&gt;"&amp;INDEX($F240:$J240,AI240)),"")</f>
        <v/>
      </c>
      <c r="AM240" s="0" t="n">
        <f aca="false">AVERAGE($P240:$S240)/MAX($P240:$S240)</f>
        <v>0.882042253521127</v>
      </c>
      <c r="AN240" s="0" t="n">
        <f aca="false">100-INDEX($F240:$J240,$E240)</f>
        <v>60.9</v>
      </c>
    </row>
    <row r="241" customFormat="false" ht="15" hidden="false" customHeight="false" outlineLevel="0" collapsed="false">
      <c r="A241" s="0" t="s">
        <v>40</v>
      </c>
      <c r="B241" s="0" t="n">
        <v>2017</v>
      </c>
      <c r="C241" s="0" t="s">
        <v>50</v>
      </c>
      <c r="D241" s="0" t="s">
        <v>43</v>
      </c>
      <c r="E241" s="0" t="n">
        <v>1</v>
      </c>
      <c r="F241" s="0" t="n">
        <v>47.4</v>
      </c>
      <c r="G241" s="0" t="n">
        <v>12.9</v>
      </c>
      <c r="H241" s="0" t="n">
        <v>12.6</v>
      </c>
      <c r="I241" s="0" t="n">
        <v>12.2</v>
      </c>
      <c r="J241" s="0" t="n">
        <v>4</v>
      </c>
      <c r="K241" s="0" t="n">
        <v>59.8463685205</v>
      </c>
      <c r="L241" s="0" t="n">
        <v>3.01026772475</v>
      </c>
      <c r="M241" s="0" t="n">
        <v>32.0197869149</v>
      </c>
      <c r="N241" s="0" t="n">
        <v>4.92181967652</v>
      </c>
      <c r="O241" s="0" t="n">
        <v>0.201757163321</v>
      </c>
      <c r="P241" s="0" t="n">
        <f aca="false">INDEX($F241:$J241,IF(1&lt;$E241,1,1+1))</f>
        <v>12.9</v>
      </c>
      <c r="Q241" s="0" t="n">
        <f aca="false">INDEX($F241:$J241,IF(2&lt;$E241,2,2+1))</f>
        <v>12.6</v>
      </c>
      <c r="R241" s="0" t="n">
        <f aca="false">INDEX($F241:$J241,IF(3&lt;$E241,3,3+1))</f>
        <v>12.2</v>
      </c>
      <c r="S241" s="0" t="n">
        <f aca="false">INDEX($F241:$J241,IF(4&lt;$E241,4,4+1))</f>
        <v>4</v>
      </c>
      <c r="T241" s="0" t="n">
        <f aca="false">INDEX($K241:$O241,IF(1&lt;$E241,1,1+1))</f>
        <v>3.01026772475</v>
      </c>
      <c r="U241" s="0" t="n">
        <f aca="false">INDEX($K241:$O241,IF(2&lt;$E241,2,2+1))</f>
        <v>32.0197869149</v>
      </c>
      <c r="V241" s="0" t="n">
        <f aca="false">INDEX($K241:$O241,IF(3&lt;$E241,3,3+1))</f>
        <v>4.92181967652</v>
      </c>
      <c r="W241" s="0" t="n">
        <f aca="false">INDEX($K241:$O241,IF(4&lt;$E241,4,4+1))</f>
        <v>0.201757163321</v>
      </c>
      <c r="X241" s="0" t="n">
        <f aca="false">1+COUNTIF($P241:$S241,"&gt;"&amp;$P241)+(COUNTIF($P241:$S241,$P241)-1)/2</f>
        <v>1</v>
      </c>
      <c r="Y241" s="0" t="n">
        <f aca="false">1+COUNTIF($P241:$S241,"&gt;"&amp;$Q241)+(COUNTIF($P241:$S241,$Q241)-1)/2</f>
        <v>2</v>
      </c>
      <c r="Z241" s="0" t="n">
        <f aca="false">1+COUNTIF($P241:$S241,"&gt;"&amp;$R241)+(COUNTIF($P241:$S241,$R241)-1)/2</f>
        <v>3</v>
      </c>
      <c r="AA241" s="0" t="n">
        <f aca="false">1+COUNTIF($P241:$S241,"&gt;"&amp;$S241)+(COUNTIF($P241:$S241,$S241)-1)/2</f>
        <v>4</v>
      </c>
      <c r="AB241" s="0" t="n">
        <f aca="false">1+COUNTIF($T241:$W241,"&gt;"&amp;$T241)+(COUNTIF($T241:$W241,$T241)-1)/2</f>
        <v>3</v>
      </c>
      <c r="AC241" s="0" t="n">
        <f aca="false">1+COUNTIF($T241:$W241,"&gt;"&amp;$U241)+(COUNTIF($T241:$W241,$U241)-1)/2</f>
        <v>1</v>
      </c>
      <c r="AD241" s="0" t="n">
        <f aca="false">1+COUNTIF($T241:$W241,"&gt;"&amp;$V241)+(COUNTIF($T241:$W241,$V241)-1)/2</f>
        <v>2</v>
      </c>
      <c r="AE241" s="0" t="n">
        <f aca="false">1+COUNTIF($T241:$W241,"&gt;"&amp;$W241)+(COUNTIF($T241:$W241,$W241)-1)/2</f>
        <v>4</v>
      </c>
      <c r="AF241" s="0" t="n">
        <f aca="false">IFERROR(CORREL($P241:$S241,$T241:$W241),"")</f>
        <v>0.444041442977798</v>
      </c>
      <c r="AG241" s="0" t="n">
        <f aca="false">IFERROR(CORREL($X241:$AA241,$AB241:$AE241),"")</f>
        <v>0.4</v>
      </c>
      <c r="AH241" s="0" t="n">
        <f aca="false">IFERROR((SIGN($P241-$Q241)*SIGN($T241-$U241)+SIGN($P241-$R241)*SIGN($T241-$V241)+SIGN($P241-$S241)*SIGN($T241-$W241)+SIGN($Q241-$R241)*SIGN($U241-$V241)+SIGN($Q241-$S241)*SIGN($U241-$W241)+SIGN($R241-$S241)*SIGN($V241-$W241))/SQRT((6-(($P241=$Q241)*1+($P241=$R241)*1+($P241=$S241)*1+($Q241=$R241)*1+($Q241=$S241)*1+($R241=$S241)*1))*(6-(($T241=$U241)*1+($T241=$V241)*1+($T241=$W241)*1+($U241=$V241)*1+($U241=$W241)*1+($V241=$W241)*1))),"")</f>
        <v>0.333333333333333</v>
      </c>
      <c r="AI241" s="0" t="n">
        <f aca="false">MATCH(MAX($K241:$O241),$K241:$O241,0)</f>
        <v>1</v>
      </c>
      <c r="AJ241" s="0" t="n">
        <f aca="false">IF(AI241&lt;&gt;$E241,1,0)</f>
        <v>0</v>
      </c>
      <c r="AK241" s="0" t="str">
        <f aca="false">IF(AJ241=1,INDEX($F241:$J241,AI241)/MAX($P241:$S241),"")</f>
        <v/>
      </c>
      <c r="AL241" s="0" t="str">
        <f aca="false">IF(AJ241=1,1+COUNTIF($P241:$S241,"&gt;"&amp;INDEX($F241:$J241,AI241)),"")</f>
        <v/>
      </c>
      <c r="AM241" s="0" t="n">
        <f aca="false">AVERAGE($P241:$S241)/MAX($P241:$S241)</f>
        <v>0.808139534883721</v>
      </c>
      <c r="AN241" s="0" t="n">
        <f aca="false">100-INDEX($F241:$J241,$E241)</f>
        <v>52.6</v>
      </c>
    </row>
    <row r="242" customFormat="false" ht="15" hidden="false" customHeight="false" outlineLevel="0" collapsed="false">
      <c r="A242" s="0" t="s">
        <v>40</v>
      </c>
      <c r="B242" s="0" t="n">
        <v>2017</v>
      </c>
      <c r="C242" s="0" t="s">
        <v>50</v>
      </c>
      <c r="D242" s="0" t="s">
        <v>44</v>
      </c>
      <c r="E242" s="0" t="n">
        <v>2</v>
      </c>
      <c r="F242" s="0" t="n">
        <v>9.4</v>
      </c>
      <c r="G242" s="0" t="n">
        <v>41.5</v>
      </c>
      <c r="H242" s="0" t="n">
        <v>19.8</v>
      </c>
      <c r="I242" s="0" t="n">
        <v>14.2</v>
      </c>
      <c r="J242" s="0" t="n">
        <v>4.1</v>
      </c>
      <c r="K242" s="0" t="n">
        <v>3.21257399887</v>
      </c>
      <c r="L242" s="0" t="n">
        <v>73.2181636748</v>
      </c>
      <c r="M242" s="0" t="n">
        <v>14.7662305701</v>
      </c>
      <c r="N242" s="0" t="n">
        <v>5.17740682733</v>
      </c>
      <c r="O242" s="0" t="n">
        <v>3.62562492891</v>
      </c>
      <c r="P242" s="0" t="n">
        <f aca="false">INDEX($F242:$J242,IF(1&lt;$E242,1,1+1))</f>
        <v>9.4</v>
      </c>
      <c r="Q242" s="0" t="n">
        <f aca="false">INDEX($F242:$J242,IF(2&lt;$E242,2,2+1))</f>
        <v>19.8</v>
      </c>
      <c r="R242" s="0" t="n">
        <f aca="false">INDEX($F242:$J242,IF(3&lt;$E242,3,3+1))</f>
        <v>14.2</v>
      </c>
      <c r="S242" s="0" t="n">
        <f aca="false">INDEX($F242:$J242,IF(4&lt;$E242,4,4+1))</f>
        <v>4.1</v>
      </c>
      <c r="T242" s="0" t="n">
        <f aca="false">INDEX($K242:$O242,IF(1&lt;$E242,1,1+1))</f>
        <v>3.21257399887</v>
      </c>
      <c r="U242" s="0" t="n">
        <f aca="false">INDEX($K242:$O242,IF(2&lt;$E242,2,2+1))</f>
        <v>14.7662305701</v>
      </c>
      <c r="V242" s="0" t="n">
        <f aca="false">INDEX($K242:$O242,IF(3&lt;$E242,3,3+1))</f>
        <v>5.17740682733</v>
      </c>
      <c r="W242" s="0" t="n">
        <f aca="false">INDEX($K242:$O242,IF(4&lt;$E242,4,4+1))</f>
        <v>3.62562492891</v>
      </c>
      <c r="X242" s="0" t="n">
        <f aca="false">1+COUNTIF($P242:$S242,"&gt;"&amp;$P242)+(COUNTIF($P242:$S242,$P242)-1)/2</f>
        <v>3</v>
      </c>
      <c r="Y242" s="0" t="n">
        <f aca="false">1+COUNTIF($P242:$S242,"&gt;"&amp;$Q242)+(COUNTIF($P242:$S242,$Q242)-1)/2</f>
        <v>1</v>
      </c>
      <c r="Z242" s="0" t="n">
        <f aca="false">1+COUNTIF($P242:$S242,"&gt;"&amp;$R242)+(COUNTIF($P242:$S242,$R242)-1)/2</f>
        <v>2</v>
      </c>
      <c r="AA242" s="0" t="n">
        <f aca="false">1+COUNTIF($P242:$S242,"&gt;"&amp;$S242)+(COUNTIF($P242:$S242,$S242)-1)/2</f>
        <v>4</v>
      </c>
      <c r="AB242" s="0" t="n">
        <f aca="false">1+COUNTIF($T242:$W242,"&gt;"&amp;$T242)+(COUNTIF($T242:$W242,$T242)-1)/2</f>
        <v>4</v>
      </c>
      <c r="AC242" s="0" t="n">
        <f aca="false">1+COUNTIF($T242:$W242,"&gt;"&amp;$U242)+(COUNTIF($T242:$W242,$U242)-1)/2</f>
        <v>1</v>
      </c>
      <c r="AD242" s="0" t="n">
        <f aca="false">1+COUNTIF($T242:$W242,"&gt;"&amp;$V242)+(COUNTIF($T242:$W242,$V242)-1)/2</f>
        <v>2</v>
      </c>
      <c r="AE242" s="0" t="n">
        <f aca="false">1+COUNTIF($T242:$W242,"&gt;"&amp;$W242)+(COUNTIF($T242:$W242,$W242)-1)/2</f>
        <v>3</v>
      </c>
      <c r="AF242" s="0" t="n">
        <f aca="false">IFERROR(CORREL($P242:$S242,$T242:$W242),"")</f>
        <v>0.848391445779454</v>
      </c>
      <c r="AG242" s="0" t="n">
        <f aca="false">IFERROR(CORREL($X242:$AA242,$AB242:$AE242),"")</f>
        <v>0.8</v>
      </c>
      <c r="AH242" s="0" t="n">
        <f aca="false">IFERROR((SIGN($P242-$Q242)*SIGN($T242-$U242)+SIGN($P242-$R242)*SIGN($T242-$V242)+SIGN($P242-$S242)*SIGN($T242-$W242)+SIGN($Q242-$R242)*SIGN($U242-$V242)+SIGN($Q242-$S242)*SIGN($U242-$W242)+SIGN($R242-$S242)*SIGN($V242-$W242))/SQRT((6-(($P242=$Q242)*1+($P242=$R242)*1+($P242=$S242)*1+($Q242=$R242)*1+($Q242=$S242)*1+($R242=$S242)*1))*(6-(($T242=$U242)*1+($T242=$V242)*1+($T242=$W242)*1+($U242=$V242)*1+($U242=$W242)*1+($V242=$W242)*1))),"")</f>
        <v>0.666666666666667</v>
      </c>
      <c r="AI242" s="0" t="n">
        <f aca="false">MATCH(MAX($K242:$O242),$K242:$O242,0)</f>
        <v>2</v>
      </c>
      <c r="AJ242" s="0" t="n">
        <f aca="false">IF(AI242&lt;&gt;$E242,1,0)</f>
        <v>0</v>
      </c>
      <c r="AK242" s="0" t="str">
        <f aca="false">IF(AJ242=1,INDEX($F242:$J242,AI242)/MAX($P242:$S242),"")</f>
        <v/>
      </c>
      <c r="AL242" s="0" t="str">
        <f aca="false">IF(AJ242=1,1+COUNTIF($P242:$S242,"&gt;"&amp;INDEX($F242:$J242,AI242)),"")</f>
        <v/>
      </c>
      <c r="AM242" s="0" t="n">
        <f aca="false">AVERAGE($P242:$S242)/MAX($P242:$S242)</f>
        <v>0.599747474747475</v>
      </c>
      <c r="AN242" s="0" t="n">
        <f aca="false">100-INDEX($F242:$J242,$E242)</f>
        <v>58.5</v>
      </c>
    </row>
    <row r="243" customFormat="false" ht="15" hidden="false" customHeight="false" outlineLevel="0" collapsed="false">
      <c r="A243" s="0" t="s">
        <v>40</v>
      </c>
      <c r="B243" s="0" t="n">
        <v>2017</v>
      </c>
      <c r="C243" s="0" t="s">
        <v>50</v>
      </c>
      <c r="D243" s="0" t="s">
        <v>45</v>
      </c>
      <c r="E243" s="0" t="n">
        <v>2</v>
      </c>
      <c r="F243" s="0" t="n">
        <v>8.7</v>
      </c>
      <c r="G243" s="0" t="n">
        <v>26.8</v>
      </c>
      <c r="H243" s="0" t="n">
        <v>16.6</v>
      </c>
      <c r="I243" s="0" t="n">
        <v>12.8</v>
      </c>
      <c r="J243" s="0" t="n">
        <v>24.1</v>
      </c>
      <c r="K243" s="0" t="n">
        <v>37.3279858309</v>
      </c>
      <c r="L243" s="0" t="n">
        <v>35.0097719641</v>
      </c>
      <c r="M243" s="0" t="n">
        <v>8.84514479301</v>
      </c>
      <c r="N243" s="0" t="n">
        <v>2.57252618095</v>
      </c>
      <c r="O243" s="0" t="n">
        <v>16.244571231</v>
      </c>
      <c r="P243" s="0" t="n">
        <f aca="false">INDEX($F243:$J243,IF(1&lt;$E243,1,1+1))</f>
        <v>8.7</v>
      </c>
      <c r="Q243" s="0" t="n">
        <f aca="false">INDEX($F243:$J243,IF(2&lt;$E243,2,2+1))</f>
        <v>16.6</v>
      </c>
      <c r="R243" s="0" t="n">
        <f aca="false">INDEX($F243:$J243,IF(3&lt;$E243,3,3+1))</f>
        <v>12.8</v>
      </c>
      <c r="S243" s="0" t="n">
        <f aca="false">INDEX($F243:$J243,IF(4&lt;$E243,4,4+1))</f>
        <v>24.1</v>
      </c>
      <c r="T243" s="0" t="n">
        <f aca="false">INDEX($K243:$O243,IF(1&lt;$E243,1,1+1))</f>
        <v>37.3279858309</v>
      </c>
      <c r="U243" s="0" t="n">
        <f aca="false">INDEX($K243:$O243,IF(2&lt;$E243,2,2+1))</f>
        <v>8.84514479301</v>
      </c>
      <c r="V243" s="0" t="n">
        <f aca="false">INDEX($K243:$O243,IF(3&lt;$E243,3,3+1))</f>
        <v>2.57252618095</v>
      </c>
      <c r="W243" s="0" t="n">
        <f aca="false">INDEX($K243:$O243,IF(4&lt;$E243,4,4+1))</f>
        <v>16.244571231</v>
      </c>
      <c r="X243" s="0" t="n">
        <f aca="false">1+COUNTIF($P243:$S243,"&gt;"&amp;$P243)+(COUNTIF($P243:$S243,$P243)-1)/2</f>
        <v>4</v>
      </c>
      <c r="Y243" s="0" t="n">
        <f aca="false">1+COUNTIF($P243:$S243,"&gt;"&amp;$Q243)+(COUNTIF($P243:$S243,$Q243)-1)/2</f>
        <v>2</v>
      </c>
      <c r="Z243" s="0" t="n">
        <f aca="false">1+COUNTIF($P243:$S243,"&gt;"&amp;$R243)+(COUNTIF($P243:$S243,$R243)-1)/2</f>
        <v>3</v>
      </c>
      <c r="AA243" s="0" t="n">
        <f aca="false">1+COUNTIF($P243:$S243,"&gt;"&amp;$S243)+(COUNTIF($P243:$S243,$S243)-1)/2</f>
        <v>1</v>
      </c>
      <c r="AB243" s="0" t="n">
        <f aca="false">1+COUNTIF($T243:$W243,"&gt;"&amp;$T243)+(COUNTIF($T243:$W243,$T243)-1)/2</f>
        <v>1</v>
      </c>
      <c r="AC243" s="0" t="n">
        <f aca="false">1+COUNTIF($T243:$W243,"&gt;"&amp;$U243)+(COUNTIF($T243:$W243,$U243)-1)/2</f>
        <v>3</v>
      </c>
      <c r="AD243" s="0" t="n">
        <f aca="false">1+COUNTIF($T243:$W243,"&gt;"&amp;$V243)+(COUNTIF($T243:$W243,$V243)-1)/2</f>
        <v>4</v>
      </c>
      <c r="AE243" s="0" t="n">
        <f aca="false">1+COUNTIF($T243:$W243,"&gt;"&amp;$W243)+(COUNTIF($T243:$W243,$W243)-1)/2</f>
        <v>2</v>
      </c>
      <c r="AF243" s="0" t="n">
        <f aca="false">IFERROR(CORREL($P243:$S243,$T243:$W243),"")</f>
        <v>-0.385623310466969</v>
      </c>
      <c r="AG243" s="0" t="n">
        <f aca="false">IFERROR(CORREL($X243:$AA243,$AB243:$AE243),"")</f>
        <v>-0.2</v>
      </c>
      <c r="AH243" s="0" t="n">
        <f aca="false">IFERROR((SIGN($P243-$Q243)*SIGN($T243-$U243)+SIGN($P243-$R243)*SIGN($T243-$V243)+SIGN($P243-$S243)*SIGN($T243-$W243)+SIGN($Q243-$R243)*SIGN($U243-$V243)+SIGN($Q243-$S243)*SIGN($U243-$W243)+SIGN($R243-$S243)*SIGN($V243-$W243))/SQRT((6-(($P243=$Q243)*1+($P243=$R243)*1+($P243=$S243)*1+($Q243=$R243)*1+($Q243=$S243)*1+($R243=$S243)*1))*(6-(($T243=$U243)*1+($T243=$V243)*1+($T243=$W243)*1+($U243=$V243)*1+($U243=$W243)*1+($V243=$W243)*1))),"")</f>
        <v>0</v>
      </c>
      <c r="AI243" s="0" t="n">
        <f aca="false">MATCH(MAX($K243:$O243),$K243:$O243,0)</f>
        <v>1</v>
      </c>
      <c r="AJ243" s="0" t="n">
        <f aca="false">IF(AI243&lt;&gt;$E243,1,0)</f>
        <v>1</v>
      </c>
      <c r="AK243" s="0" t="n">
        <f aca="false">IF(AJ243=1,INDEX($F243:$J243,AI243)/MAX($P243:$S243),"")</f>
        <v>0.360995850622407</v>
      </c>
      <c r="AL243" s="0" t="n">
        <f aca="false">IF(AJ243=1,1+COUNTIF($P243:$S243,"&gt;"&amp;INDEX($F243:$J243,AI243)),"")</f>
        <v>4</v>
      </c>
      <c r="AM243" s="0" t="n">
        <f aca="false">AVERAGE($P243:$S243)/MAX($P243:$S243)</f>
        <v>0.645228215767635</v>
      </c>
      <c r="AN243" s="0" t="n">
        <f aca="false">100-INDEX($F243:$J243,$E243)</f>
        <v>73.2</v>
      </c>
    </row>
    <row r="244" customFormat="false" ht="15" hidden="false" customHeight="false" outlineLevel="0" collapsed="false">
      <c r="A244" s="0" t="s">
        <v>40</v>
      </c>
      <c r="B244" s="0" t="n">
        <v>2017</v>
      </c>
      <c r="C244" s="0" t="s">
        <v>51</v>
      </c>
      <c r="D244" s="0" t="s">
        <v>42</v>
      </c>
      <c r="E244" s="0" t="n">
        <v>1</v>
      </c>
      <c r="F244" s="0" t="n">
        <v>50.2</v>
      </c>
      <c r="G244" s="0" t="n">
        <v>11.1</v>
      </c>
      <c r="H244" s="0" t="n">
        <v>10.1</v>
      </c>
      <c r="I244" s="0" t="n">
        <v>12.8</v>
      </c>
      <c r="J244" s="0" t="n">
        <v>8.7</v>
      </c>
      <c r="K244" s="0" t="n">
        <v>86.3033839885</v>
      </c>
      <c r="L244" s="0" t="n">
        <v>4.63974405735</v>
      </c>
      <c r="M244" s="0" t="n">
        <v>5.16742385202</v>
      </c>
      <c r="N244" s="0" t="n">
        <v>1.8298751568</v>
      </c>
      <c r="O244" s="0" t="n">
        <v>2.0595729453</v>
      </c>
      <c r="P244" s="0" t="n">
        <f aca="false">INDEX($F244:$J244,IF(1&lt;$E244,1,1+1))</f>
        <v>11.1</v>
      </c>
      <c r="Q244" s="0" t="n">
        <f aca="false">INDEX($F244:$J244,IF(2&lt;$E244,2,2+1))</f>
        <v>10.1</v>
      </c>
      <c r="R244" s="0" t="n">
        <f aca="false">INDEX($F244:$J244,IF(3&lt;$E244,3,3+1))</f>
        <v>12.8</v>
      </c>
      <c r="S244" s="0" t="n">
        <f aca="false">INDEX($F244:$J244,IF(4&lt;$E244,4,4+1))</f>
        <v>8.7</v>
      </c>
      <c r="T244" s="0" t="n">
        <f aca="false">INDEX($K244:$O244,IF(1&lt;$E244,1,1+1))</f>
        <v>4.63974405735</v>
      </c>
      <c r="U244" s="0" t="n">
        <f aca="false">INDEX($K244:$O244,IF(2&lt;$E244,2,2+1))</f>
        <v>5.16742385202</v>
      </c>
      <c r="V244" s="0" t="n">
        <f aca="false">INDEX($K244:$O244,IF(3&lt;$E244,3,3+1))</f>
        <v>1.8298751568</v>
      </c>
      <c r="W244" s="0" t="n">
        <f aca="false">INDEX($K244:$O244,IF(4&lt;$E244,4,4+1))</f>
        <v>2.0595729453</v>
      </c>
      <c r="X244" s="0" t="n">
        <f aca="false">1+COUNTIF($P244:$S244,"&gt;"&amp;$P244)+(COUNTIF($P244:$S244,$P244)-1)/2</f>
        <v>2</v>
      </c>
      <c r="Y244" s="0" t="n">
        <f aca="false">1+COUNTIF($P244:$S244,"&gt;"&amp;$Q244)+(COUNTIF($P244:$S244,$Q244)-1)/2</f>
        <v>3</v>
      </c>
      <c r="Z244" s="0" t="n">
        <f aca="false">1+COUNTIF($P244:$S244,"&gt;"&amp;$R244)+(COUNTIF($P244:$S244,$R244)-1)/2</f>
        <v>1</v>
      </c>
      <c r="AA244" s="0" t="n">
        <f aca="false">1+COUNTIF($P244:$S244,"&gt;"&amp;$S244)+(COUNTIF($P244:$S244,$S244)-1)/2</f>
        <v>4</v>
      </c>
      <c r="AB244" s="0" t="n">
        <f aca="false">1+COUNTIF($T244:$W244,"&gt;"&amp;$T244)+(COUNTIF($T244:$W244,$T244)-1)/2</f>
        <v>2</v>
      </c>
      <c r="AC244" s="0" t="n">
        <f aca="false">1+COUNTIF($T244:$W244,"&gt;"&amp;$U244)+(COUNTIF($T244:$W244,$U244)-1)/2</f>
        <v>1</v>
      </c>
      <c r="AD244" s="0" t="n">
        <f aca="false">1+COUNTIF($T244:$W244,"&gt;"&amp;$V244)+(COUNTIF($T244:$W244,$V244)-1)/2</f>
        <v>4</v>
      </c>
      <c r="AE244" s="0" t="n">
        <f aca="false">1+COUNTIF($T244:$W244,"&gt;"&amp;$W244)+(COUNTIF($T244:$W244,$W244)-1)/2</f>
        <v>3</v>
      </c>
      <c r="AF244" s="0" t="n">
        <f aca="false">IFERROR(CORREL($P244:$S244,$T244:$W244),"")</f>
        <v>-0.132065484414726</v>
      </c>
      <c r="AG244" s="0" t="n">
        <f aca="false">IFERROR(CORREL($X244:$AA244,$AB244:$AE244),"")</f>
        <v>-0.4</v>
      </c>
      <c r="AH244" s="0" t="n">
        <f aca="false">IFERROR((SIGN($P244-$Q244)*SIGN($T244-$U244)+SIGN($P244-$R244)*SIGN($T244-$V244)+SIGN($P244-$S244)*SIGN($T244-$W244)+SIGN($Q244-$R244)*SIGN($U244-$V244)+SIGN($Q244-$S244)*SIGN($U244-$W244)+SIGN($R244-$S244)*SIGN($V244-$W244))/SQRT((6-(($P244=$Q244)*1+($P244=$R244)*1+($P244=$S244)*1+($Q244=$R244)*1+($Q244=$S244)*1+($R244=$S244)*1))*(6-(($T244=$U244)*1+($T244=$V244)*1+($T244=$W244)*1+($U244=$V244)*1+($U244=$W244)*1+($V244=$W244)*1))),"")</f>
        <v>-0.333333333333333</v>
      </c>
      <c r="AI244" s="0" t="n">
        <f aca="false">MATCH(MAX($K244:$O244),$K244:$O244,0)</f>
        <v>1</v>
      </c>
      <c r="AJ244" s="0" t="n">
        <f aca="false">IF(AI244&lt;&gt;$E244,1,0)</f>
        <v>0</v>
      </c>
      <c r="AK244" s="0" t="str">
        <f aca="false">IF(AJ244=1,INDEX($F244:$J244,AI244)/MAX($P244:$S244),"")</f>
        <v/>
      </c>
      <c r="AL244" s="0" t="str">
        <f aca="false">IF(AJ244=1,1+COUNTIF($P244:$S244,"&gt;"&amp;INDEX($F244:$J244,AI244)),"")</f>
        <v/>
      </c>
      <c r="AM244" s="0" t="n">
        <f aca="false">AVERAGE($P244:$S244)/MAX($P244:$S244)</f>
        <v>0.833984375</v>
      </c>
      <c r="AN244" s="0" t="n">
        <f aca="false">100-INDEX($F244:$J244,$E244)</f>
        <v>49.8</v>
      </c>
    </row>
    <row r="245" customFormat="false" ht="15" hidden="false" customHeight="false" outlineLevel="0" collapsed="false">
      <c r="A245" s="0" t="s">
        <v>40</v>
      </c>
      <c r="B245" s="0" t="n">
        <v>2017</v>
      </c>
      <c r="C245" s="0" t="s">
        <v>51</v>
      </c>
      <c r="D245" s="0" t="s">
        <v>43</v>
      </c>
      <c r="E245" s="0" t="n">
        <v>2</v>
      </c>
      <c r="F245" s="0" t="n">
        <v>14.5</v>
      </c>
      <c r="G245" s="0" t="n">
        <v>36.5</v>
      </c>
      <c r="H245" s="0" t="n">
        <v>15.8</v>
      </c>
      <c r="I245" s="0" t="n">
        <v>8.2</v>
      </c>
      <c r="J245" s="0" t="n">
        <v>17.9</v>
      </c>
      <c r="K245" s="0" t="n">
        <v>8.98370251491</v>
      </c>
      <c r="L245" s="0" t="n">
        <v>54.3124167451</v>
      </c>
      <c r="M245" s="0" t="n">
        <v>9.46242627968</v>
      </c>
      <c r="N245" s="0" t="n">
        <v>12.3943452461</v>
      </c>
      <c r="O245" s="0" t="n">
        <v>14.8471092143</v>
      </c>
      <c r="P245" s="0" t="n">
        <f aca="false">INDEX($F245:$J245,IF(1&lt;$E245,1,1+1))</f>
        <v>14.5</v>
      </c>
      <c r="Q245" s="0" t="n">
        <f aca="false">INDEX($F245:$J245,IF(2&lt;$E245,2,2+1))</f>
        <v>15.8</v>
      </c>
      <c r="R245" s="0" t="n">
        <f aca="false">INDEX($F245:$J245,IF(3&lt;$E245,3,3+1))</f>
        <v>8.2</v>
      </c>
      <c r="S245" s="0" t="n">
        <f aca="false">INDEX($F245:$J245,IF(4&lt;$E245,4,4+1))</f>
        <v>17.9</v>
      </c>
      <c r="T245" s="0" t="n">
        <f aca="false">INDEX($K245:$O245,IF(1&lt;$E245,1,1+1))</f>
        <v>8.98370251491</v>
      </c>
      <c r="U245" s="0" t="n">
        <f aca="false">INDEX($K245:$O245,IF(2&lt;$E245,2,2+1))</f>
        <v>9.46242627968</v>
      </c>
      <c r="V245" s="0" t="n">
        <f aca="false">INDEX($K245:$O245,IF(3&lt;$E245,3,3+1))</f>
        <v>12.3943452461</v>
      </c>
      <c r="W245" s="0" t="n">
        <f aca="false">INDEX($K245:$O245,IF(4&lt;$E245,4,4+1))</f>
        <v>14.8471092143</v>
      </c>
      <c r="X245" s="0" t="n">
        <f aca="false">1+COUNTIF($P245:$S245,"&gt;"&amp;$P245)+(COUNTIF($P245:$S245,$P245)-1)/2</f>
        <v>3</v>
      </c>
      <c r="Y245" s="0" t="n">
        <f aca="false">1+COUNTIF($P245:$S245,"&gt;"&amp;$Q245)+(COUNTIF($P245:$S245,$Q245)-1)/2</f>
        <v>2</v>
      </c>
      <c r="Z245" s="0" t="n">
        <f aca="false">1+COUNTIF($P245:$S245,"&gt;"&amp;$R245)+(COUNTIF($P245:$S245,$R245)-1)/2</f>
        <v>4</v>
      </c>
      <c r="AA245" s="0" t="n">
        <f aca="false">1+COUNTIF($P245:$S245,"&gt;"&amp;$S245)+(COUNTIF($P245:$S245,$S245)-1)/2</f>
        <v>1</v>
      </c>
      <c r="AB245" s="0" t="n">
        <f aca="false">1+COUNTIF($T245:$W245,"&gt;"&amp;$T245)+(COUNTIF($T245:$W245,$T245)-1)/2</f>
        <v>4</v>
      </c>
      <c r="AC245" s="0" t="n">
        <f aca="false">1+COUNTIF($T245:$W245,"&gt;"&amp;$U245)+(COUNTIF($T245:$W245,$U245)-1)/2</f>
        <v>3</v>
      </c>
      <c r="AD245" s="0" t="n">
        <f aca="false">1+COUNTIF($T245:$W245,"&gt;"&amp;$V245)+(COUNTIF($T245:$W245,$V245)-1)/2</f>
        <v>2</v>
      </c>
      <c r="AE245" s="0" t="n">
        <f aca="false">1+COUNTIF($T245:$W245,"&gt;"&amp;$W245)+(COUNTIF($T245:$W245,$W245)-1)/2</f>
        <v>1</v>
      </c>
      <c r="AF245" s="0" t="n">
        <f aca="false">IFERROR(CORREL($P245:$S245,$T245:$W245),"")</f>
        <v>0.086710336077186</v>
      </c>
      <c r="AG245" s="0" t="n">
        <f aca="false">IFERROR(CORREL($X245:$AA245,$AB245:$AE245),"")</f>
        <v>0.4</v>
      </c>
      <c r="AH245" s="0" t="n">
        <f aca="false">IFERROR((SIGN($P245-$Q245)*SIGN($T245-$U245)+SIGN($P245-$R245)*SIGN($T245-$V245)+SIGN($P245-$S245)*SIGN($T245-$W245)+SIGN($Q245-$R245)*SIGN($U245-$V245)+SIGN($Q245-$S245)*SIGN($U245-$W245)+SIGN($R245-$S245)*SIGN($V245-$W245))/SQRT((6-(($P245=$Q245)*1+($P245=$R245)*1+($P245=$S245)*1+($Q245=$R245)*1+($Q245=$S245)*1+($R245=$S245)*1))*(6-(($T245=$U245)*1+($T245=$V245)*1+($T245=$W245)*1+($U245=$V245)*1+($U245=$W245)*1+($V245=$W245)*1))),"")</f>
        <v>0.333333333333333</v>
      </c>
      <c r="AI245" s="0" t="n">
        <f aca="false">MATCH(MAX($K245:$O245),$K245:$O245,0)</f>
        <v>2</v>
      </c>
      <c r="AJ245" s="0" t="n">
        <f aca="false">IF(AI245&lt;&gt;$E245,1,0)</f>
        <v>0</v>
      </c>
      <c r="AK245" s="0" t="str">
        <f aca="false">IF(AJ245=1,INDEX($F245:$J245,AI245)/MAX($P245:$S245),"")</f>
        <v/>
      </c>
      <c r="AL245" s="0" t="str">
        <f aca="false">IF(AJ245=1,1+COUNTIF($P245:$S245,"&gt;"&amp;INDEX($F245:$J245,AI245)),"")</f>
        <v/>
      </c>
      <c r="AM245" s="0" t="n">
        <f aca="false">AVERAGE($P245:$S245)/MAX($P245:$S245)</f>
        <v>0.787709497206704</v>
      </c>
      <c r="AN245" s="0" t="n">
        <f aca="false">100-INDEX($F245:$J245,$E245)</f>
        <v>63.5</v>
      </c>
    </row>
    <row r="246" customFormat="false" ht="15" hidden="false" customHeight="false" outlineLevel="0" collapsed="false">
      <c r="A246" s="0" t="s">
        <v>40</v>
      </c>
      <c r="B246" s="0" t="n">
        <v>2017</v>
      </c>
      <c r="C246" s="0" t="s">
        <v>51</v>
      </c>
      <c r="D246" s="0" t="s">
        <v>44</v>
      </c>
      <c r="E246" s="0" t="n">
        <v>2</v>
      </c>
      <c r="F246" s="0" t="n">
        <v>16.6</v>
      </c>
      <c r="G246" s="0" t="n">
        <v>31</v>
      </c>
      <c r="H246" s="0" t="n">
        <v>17.7</v>
      </c>
      <c r="I246" s="0" t="n">
        <v>14.7</v>
      </c>
      <c r="J246" s="0" t="n">
        <v>12.9</v>
      </c>
      <c r="K246" s="0" t="n">
        <v>9.74372384706</v>
      </c>
      <c r="L246" s="0" t="n">
        <v>38.8669836993</v>
      </c>
      <c r="M246" s="0" t="n">
        <v>29.7449581942</v>
      </c>
      <c r="N246" s="0" t="n">
        <v>15.9620411752</v>
      </c>
      <c r="O246" s="0" t="n">
        <v>5.68229308421</v>
      </c>
      <c r="P246" s="0" t="n">
        <f aca="false">INDEX($F246:$J246,IF(1&lt;$E246,1,1+1))</f>
        <v>16.6</v>
      </c>
      <c r="Q246" s="0" t="n">
        <f aca="false">INDEX($F246:$J246,IF(2&lt;$E246,2,2+1))</f>
        <v>17.7</v>
      </c>
      <c r="R246" s="0" t="n">
        <f aca="false">INDEX($F246:$J246,IF(3&lt;$E246,3,3+1))</f>
        <v>14.7</v>
      </c>
      <c r="S246" s="0" t="n">
        <f aca="false">INDEX($F246:$J246,IF(4&lt;$E246,4,4+1))</f>
        <v>12.9</v>
      </c>
      <c r="T246" s="0" t="n">
        <f aca="false">INDEX($K246:$O246,IF(1&lt;$E246,1,1+1))</f>
        <v>9.74372384706</v>
      </c>
      <c r="U246" s="0" t="n">
        <f aca="false">INDEX($K246:$O246,IF(2&lt;$E246,2,2+1))</f>
        <v>29.7449581942</v>
      </c>
      <c r="V246" s="0" t="n">
        <f aca="false">INDEX($K246:$O246,IF(3&lt;$E246,3,3+1))</f>
        <v>15.9620411752</v>
      </c>
      <c r="W246" s="0" t="n">
        <f aca="false">INDEX($K246:$O246,IF(4&lt;$E246,4,4+1))</f>
        <v>5.68229308421</v>
      </c>
      <c r="X246" s="0" t="n">
        <f aca="false">1+COUNTIF($P246:$S246,"&gt;"&amp;$P246)+(COUNTIF($P246:$S246,$P246)-1)/2</f>
        <v>2</v>
      </c>
      <c r="Y246" s="0" t="n">
        <f aca="false">1+COUNTIF($P246:$S246,"&gt;"&amp;$Q246)+(COUNTIF($P246:$S246,$Q246)-1)/2</f>
        <v>1</v>
      </c>
      <c r="Z246" s="0" t="n">
        <f aca="false">1+COUNTIF($P246:$S246,"&gt;"&amp;$R246)+(COUNTIF($P246:$S246,$R246)-1)/2</f>
        <v>3</v>
      </c>
      <c r="AA246" s="0" t="n">
        <f aca="false">1+COUNTIF($P246:$S246,"&gt;"&amp;$S246)+(COUNTIF($P246:$S246,$S246)-1)/2</f>
        <v>4</v>
      </c>
      <c r="AB246" s="0" t="n">
        <f aca="false">1+COUNTIF($T246:$W246,"&gt;"&amp;$T246)+(COUNTIF($T246:$W246,$T246)-1)/2</f>
        <v>3</v>
      </c>
      <c r="AC246" s="0" t="n">
        <f aca="false">1+COUNTIF($T246:$W246,"&gt;"&amp;$U246)+(COUNTIF($T246:$W246,$U246)-1)/2</f>
        <v>1</v>
      </c>
      <c r="AD246" s="0" t="n">
        <f aca="false">1+COUNTIF($T246:$W246,"&gt;"&amp;$V246)+(COUNTIF($T246:$W246,$V246)-1)/2</f>
        <v>2</v>
      </c>
      <c r="AE246" s="0" t="n">
        <f aca="false">1+COUNTIF($T246:$W246,"&gt;"&amp;$W246)+(COUNTIF($T246:$W246,$W246)-1)/2</f>
        <v>4</v>
      </c>
      <c r="AF246" s="0" t="n">
        <f aca="false">IFERROR(CORREL($P246:$S246,$T246:$W246),"")</f>
        <v>0.74990222526454</v>
      </c>
      <c r="AG246" s="0" t="n">
        <f aca="false">IFERROR(CORREL($X246:$AA246,$AB246:$AE246),"")</f>
        <v>0.8</v>
      </c>
      <c r="AH246" s="0" t="n">
        <f aca="false">IFERROR((SIGN($P246-$Q246)*SIGN($T246-$U246)+SIGN($P246-$R246)*SIGN($T246-$V246)+SIGN($P246-$S246)*SIGN($T246-$W246)+SIGN($Q246-$R246)*SIGN($U246-$V246)+SIGN($Q246-$S246)*SIGN($U246-$W246)+SIGN($R246-$S246)*SIGN($V246-$W246))/SQRT((6-(($P246=$Q246)*1+($P246=$R246)*1+($P246=$S246)*1+($Q246=$R246)*1+($Q246=$S246)*1+($R246=$S246)*1))*(6-(($T246=$U246)*1+($T246=$V246)*1+($T246=$W246)*1+($U246=$V246)*1+($U246=$W246)*1+($V246=$W246)*1))),"")</f>
        <v>0.666666666666667</v>
      </c>
      <c r="AI246" s="0" t="n">
        <f aca="false">MATCH(MAX($K246:$O246),$K246:$O246,0)</f>
        <v>2</v>
      </c>
      <c r="AJ246" s="0" t="n">
        <f aca="false">IF(AI246&lt;&gt;$E246,1,0)</f>
        <v>0</v>
      </c>
      <c r="AK246" s="0" t="str">
        <f aca="false">IF(AJ246=1,INDEX($F246:$J246,AI246)/MAX($P246:$S246),"")</f>
        <v/>
      </c>
      <c r="AL246" s="0" t="str">
        <f aca="false">IF(AJ246=1,1+COUNTIF($P246:$S246,"&gt;"&amp;INDEX($F246:$J246,AI246)),"")</f>
        <v/>
      </c>
      <c r="AM246" s="0" t="n">
        <f aca="false">AVERAGE($P246:$S246)/MAX($P246:$S246)</f>
        <v>0.874293785310734</v>
      </c>
      <c r="AN246" s="0" t="n">
        <f aca="false">100-INDEX($F246:$J246,$E246)</f>
        <v>69</v>
      </c>
    </row>
    <row r="247" customFormat="false" ht="15" hidden="false" customHeight="false" outlineLevel="0" collapsed="false">
      <c r="A247" s="0" t="s">
        <v>40</v>
      </c>
      <c r="B247" s="0" t="n">
        <v>2017</v>
      </c>
      <c r="C247" s="0" t="s">
        <v>51</v>
      </c>
      <c r="D247" s="0" t="s">
        <v>45</v>
      </c>
      <c r="E247" s="0" t="n">
        <v>1</v>
      </c>
      <c r="F247" s="0" t="n">
        <v>32.3</v>
      </c>
      <c r="G247" s="0" t="n">
        <v>21.6</v>
      </c>
      <c r="H247" s="0" t="n">
        <v>10.9</v>
      </c>
      <c r="I247" s="0" t="n">
        <v>11.7</v>
      </c>
      <c r="J247" s="0" t="n">
        <v>16.2</v>
      </c>
      <c r="K247" s="0" t="n">
        <v>18.7064245787</v>
      </c>
      <c r="L247" s="0" t="n">
        <v>15.5825769578</v>
      </c>
      <c r="M247" s="0" t="n">
        <v>36.0084085281</v>
      </c>
      <c r="N247" s="0" t="n">
        <v>3.79753150255</v>
      </c>
      <c r="O247" s="0" t="n">
        <v>25.9050584329</v>
      </c>
      <c r="P247" s="0" t="n">
        <f aca="false">INDEX($F247:$J247,IF(1&lt;$E247,1,1+1))</f>
        <v>21.6</v>
      </c>
      <c r="Q247" s="0" t="n">
        <f aca="false">INDEX($F247:$J247,IF(2&lt;$E247,2,2+1))</f>
        <v>10.9</v>
      </c>
      <c r="R247" s="0" t="n">
        <f aca="false">INDEX($F247:$J247,IF(3&lt;$E247,3,3+1))</f>
        <v>11.7</v>
      </c>
      <c r="S247" s="0" t="n">
        <f aca="false">INDEX($F247:$J247,IF(4&lt;$E247,4,4+1))</f>
        <v>16.2</v>
      </c>
      <c r="T247" s="0" t="n">
        <f aca="false">INDEX($K247:$O247,IF(1&lt;$E247,1,1+1))</f>
        <v>15.5825769578</v>
      </c>
      <c r="U247" s="0" t="n">
        <f aca="false">INDEX($K247:$O247,IF(2&lt;$E247,2,2+1))</f>
        <v>36.0084085281</v>
      </c>
      <c r="V247" s="0" t="n">
        <f aca="false">INDEX($K247:$O247,IF(3&lt;$E247,3,3+1))</f>
        <v>3.79753150255</v>
      </c>
      <c r="W247" s="0" t="n">
        <f aca="false">INDEX($K247:$O247,IF(4&lt;$E247,4,4+1))</f>
        <v>25.9050584329</v>
      </c>
      <c r="X247" s="0" t="n">
        <f aca="false">1+COUNTIF($P247:$S247,"&gt;"&amp;$P247)+(COUNTIF($P247:$S247,$P247)-1)/2</f>
        <v>1</v>
      </c>
      <c r="Y247" s="0" t="n">
        <f aca="false">1+COUNTIF($P247:$S247,"&gt;"&amp;$Q247)+(COUNTIF($P247:$S247,$Q247)-1)/2</f>
        <v>4</v>
      </c>
      <c r="Z247" s="0" t="n">
        <f aca="false">1+COUNTIF($P247:$S247,"&gt;"&amp;$R247)+(COUNTIF($P247:$S247,$R247)-1)/2</f>
        <v>3</v>
      </c>
      <c r="AA247" s="0" t="n">
        <f aca="false">1+COUNTIF($P247:$S247,"&gt;"&amp;$S247)+(COUNTIF($P247:$S247,$S247)-1)/2</f>
        <v>2</v>
      </c>
      <c r="AB247" s="0" t="n">
        <f aca="false">1+COUNTIF($T247:$W247,"&gt;"&amp;$T247)+(COUNTIF($T247:$W247,$T247)-1)/2</f>
        <v>3</v>
      </c>
      <c r="AC247" s="0" t="n">
        <f aca="false">1+COUNTIF($T247:$W247,"&gt;"&amp;$U247)+(COUNTIF($T247:$W247,$U247)-1)/2</f>
        <v>1</v>
      </c>
      <c r="AD247" s="0" t="n">
        <f aca="false">1+COUNTIF($T247:$W247,"&gt;"&amp;$V247)+(COUNTIF($T247:$W247,$V247)-1)/2</f>
        <v>4</v>
      </c>
      <c r="AE247" s="0" t="n">
        <f aca="false">1+COUNTIF($T247:$W247,"&gt;"&amp;$W247)+(COUNTIF($T247:$W247,$W247)-1)/2</f>
        <v>2</v>
      </c>
      <c r="AF247" s="0" t="n">
        <f aca="false">IFERROR(CORREL($P247:$S247,$T247:$W247),"")</f>
        <v>-0.168453324268314</v>
      </c>
      <c r="AG247" s="0" t="n">
        <f aca="false">IFERROR(CORREL($X247:$AA247,$AB247:$AE247),"")</f>
        <v>-0.4</v>
      </c>
      <c r="AH247" s="0" t="n">
        <f aca="false">IFERROR((SIGN($P247-$Q247)*SIGN($T247-$U247)+SIGN($P247-$R247)*SIGN($T247-$V247)+SIGN($P247-$S247)*SIGN($T247-$W247)+SIGN($Q247-$R247)*SIGN($U247-$V247)+SIGN($Q247-$S247)*SIGN($U247-$W247)+SIGN($R247-$S247)*SIGN($V247-$W247))/SQRT((6-(($P247=$Q247)*1+($P247=$R247)*1+($P247=$S247)*1+($Q247=$R247)*1+($Q247=$S247)*1+($R247=$S247)*1))*(6-(($T247=$U247)*1+($T247=$V247)*1+($T247=$W247)*1+($U247=$V247)*1+($U247=$W247)*1+($V247=$W247)*1))),"")</f>
        <v>-0.333333333333333</v>
      </c>
      <c r="AI247" s="0" t="n">
        <f aca="false">MATCH(MAX($K247:$O247),$K247:$O247,0)</f>
        <v>3</v>
      </c>
      <c r="AJ247" s="0" t="n">
        <f aca="false">IF(AI247&lt;&gt;$E247,1,0)</f>
        <v>1</v>
      </c>
      <c r="AK247" s="0" t="n">
        <f aca="false">IF(AJ247=1,INDEX($F247:$J247,AI247)/MAX($P247:$S247),"")</f>
        <v>0.50462962962963</v>
      </c>
      <c r="AL247" s="0" t="n">
        <f aca="false">IF(AJ247=1,1+COUNTIF($P247:$S247,"&gt;"&amp;INDEX($F247:$J247,AI247)),"")</f>
        <v>4</v>
      </c>
      <c r="AM247" s="0" t="n">
        <f aca="false">AVERAGE($P247:$S247)/MAX($P247:$S247)</f>
        <v>0.699074074074074</v>
      </c>
      <c r="AN247" s="0" t="n">
        <f aca="false">100-INDEX($F247:$J247,$E247)</f>
        <v>67.7</v>
      </c>
    </row>
    <row r="248" customFormat="false" ht="15" hidden="false" customHeight="false" outlineLevel="0" collapsed="false">
      <c r="A248" s="0" t="s">
        <v>40</v>
      </c>
      <c r="B248" s="0" t="n">
        <v>2017</v>
      </c>
      <c r="C248" s="0" t="s">
        <v>52</v>
      </c>
      <c r="D248" s="0" t="s">
        <v>42</v>
      </c>
      <c r="E248" s="0" t="n">
        <v>1</v>
      </c>
      <c r="F248" s="0" t="n">
        <v>36.1</v>
      </c>
      <c r="G248" s="0" t="n">
        <v>16.5</v>
      </c>
      <c r="H248" s="0" t="n">
        <v>9.6</v>
      </c>
      <c r="I248" s="0" t="n">
        <v>13.6</v>
      </c>
      <c r="J248" s="0" t="n">
        <v>9.5</v>
      </c>
      <c r="K248" s="0" t="n">
        <v>36.0779405879</v>
      </c>
      <c r="L248" s="0" t="n">
        <v>28.621851261</v>
      </c>
      <c r="M248" s="0" t="n">
        <v>9.69838874744</v>
      </c>
      <c r="N248" s="0" t="n">
        <v>25.338251777</v>
      </c>
      <c r="O248" s="0" t="n">
        <v>0.263567626602</v>
      </c>
      <c r="P248" s="0" t="n">
        <f aca="false">INDEX($F248:$J248,IF(1&lt;$E248,1,1+1))</f>
        <v>16.5</v>
      </c>
      <c r="Q248" s="0" t="n">
        <f aca="false">INDEX($F248:$J248,IF(2&lt;$E248,2,2+1))</f>
        <v>9.6</v>
      </c>
      <c r="R248" s="0" t="n">
        <f aca="false">INDEX($F248:$J248,IF(3&lt;$E248,3,3+1))</f>
        <v>13.6</v>
      </c>
      <c r="S248" s="0" t="n">
        <f aca="false">INDEX($F248:$J248,IF(4&lt;$E248,4,4+1))</f>
        <v>9.5</v>
      </c>
      <c r="T248" s="0" t="n">
        <f aca="false">INDEX($K248:$O248,IF(1&lt;$E248,1,1+1))</f>
        <v>28.621851261</v>
      </c>
      <c r="U248" s="0" t="n">
        <f aca="false">INDEX($K248:$O248,IF(2&lt;$E248,2,2+1))</f>
        <v>9.69838874744</v>
      </c>
      <c r="V248" s="0" t="n">
        <f aca="false">INDEX($K248:$O248,IF(3&lt;$E248,3,3+1))</f>
        <v>25.338251777</v>
      </c>
      <c r="W248" s="0" t="n">
        <f aca="false">INDEX($K248:$O248,IF(4&lt;$E248,4,4+1))</f>
        <v>0.263567626602</v>
      </c>
      <c r="X248" s="0" t="n">
        <f aca="false">1+COUNTIF($P248:$S248,"&gt;"&amp;$P248)+(COUNTIF($P248:$S248,$P248)-1)/2</f>
        <v>1</v>
      </c>
      <c r="Y248" s="0" t="n">
        <f aca="false">1+COUNTIF($P248:$S248,"&gt;"&amp;$Q248)+(COUNTIF($P248:$S248,$Q248)-1)/2</f>
        <v>3</v>
      </c>
      <c r="Z248" s="0" t="n">
        <f aca="false">1+COUNTIF($P248:$S248,"&gt;"&amp;$R248)+(COUNTIF($P248:$S248,$R248)-1)/2</f>
        <v>2</v>
      </c>
      <c r="AA248" s="0" t="n">
        <f aca="false">1+COUNTIF($P248:$S248,"&gt;"&amp;$S248)+(COUNTIF($P248:$S248,$S248)-1)/2</f>
        <v>4</v>
      </c>
      <c r="AB248" s="0" t="n">
        <f aca="false">1+COUNTIF($T248:$W248,"&gt;"&amp;$T248)+(COUNTIF($T248:$W248,$T248)-1)/2</f>
        <v>1</v>
      </c>
      <c r="AC248" s="0" t="n">
        <f aca="false">1+COUNTIF($T248:$W248,"&gt;"&amp;$U248)+(COUNTIF($T248:$W248,$U248)-1)/2</f>
        <v>3</v>
      </c>
      <c r="AD248" s="0" t="n">
        <f aca="false">1+COUNTIF($T248:$W248,"&gt;"&amp;$V248)+(COUNTIF($T248:$W248,$V248)-1)/2</f>
        <v>2</v>
      </c>
      <c r="AE248" s="0" t="n">
        <f aca="false">1+COUNTIF($T248:$W248,"&gt;"&amp;$W248)+(COUNTIF($T248:$W248,$W248)-1)/2</f>
        <v>4</v>
      </c>
      <c r="AF248" s="0" t="n">
        <f aca="false">IFERROR(CORREL($P248:$S248,$T248:$W248),"")</f>
        <v>0.930646290755306</v>
      </c>
      <c r="AG248" s="0" t="n">
        <f aca="false">IFERROR(CORREL($X248:$AA248,$AB248:$AE248),"")</f>
        <v>1</v>
      </c>
      <c r="AH248" s="0" t="n">
        <f aca="false">IFERROR((SIGN($P248-$Q248)*SIGN($T248-$U248)+SIGN($P248-$R248)*SIGN($T248-$V248)+SIGN($P248-$S248)*SIGN($T248-$W248)+SIGN($Q248-$R248)*SIGN($U248-$V248)+SIGN($Q248-$S248)*SIGN($U248-$W248)+SIGN($R248-$S248)*SIGN($V248-$W248))/SQRT((6-(($P248=$Q248)*1+($P248=$R248)*1+($P248=$S248)*1+($Q248=$R248)*1+($Q248=$S248)*1+($R248=$S248)*1))*(6-(($T248=$U248)*1+($T248=$V248)*1+($T248=$W248)*1+($U248=$V248)*1+($U248=$W248)*1+($V248=$W248)*1))),"")</f>
        <v>1</v>
      </c>
      <c r="AI248" s="0" t="n">
        <f aca="false">MATCH(MAX($K248:$O248),$K248:$O248,0)</f>
        <v>1</v>
      </c>
      <c r="AJ248" s="0" t="n">
        <f aca="false">IF(AI248&lt;&gt;$E248,1,0)</f>
        <v>0</v>
      </c>
      <c r="AK248" s="0" t="str">
        <f aca="false">IF(AJ248=1,INDEX($F248:$J248,AI248)/MAX($P248:$S248),"")</f>
        <v/>
      </c>
      <c r="AL248" s="0" t="str">
        <f aca="false">IF(AJ248=1,1+COUNTIF($P248:$S248,"&gt;"&amp;INDEX($F248:$J248,AI248)),"")</f>
        <v/>
      </c>
      <c r="AM248" s="0" t="n">
        <f aca="false">AVERAGE($P248:$S248)/MAX($P248:$S248)</f>
        <v>0.745454545454546</v>
      </c>
      <c r="AN248" s="0" t="n">
        <f aca="false">100-INDEX($F248:$J248,$E248)</f>
        <v>63.9</v>
      </c>
    </row>
    <row r="249" customFormat="false" ht="15" hidden="false" customHeight="false" outlineLevel="0" collapsed="false">
      <c r="A249" s="0" t="s">
        <v>40</v>
      </c>
      <c r="B249" s="0" t="n">
        <v>2017</v>
      </c>
      <c r="C249" s="0" t="s">
        <v>52</v>
      </c>
      <c r="D249" s="0" t="s">
        <v>43</v>
      </c>
      <c r="E249" s="0" t="n">
        <v>3</v>
      </c>
      <c r="F249" s="0" t="n">
        <v>8</v>
      </c>
      <c r="G249" s="0" t="n">
        <v>9.4</v>
      </c>
      <c r="H249" s="0" t="n">
        <v>30.1</v>
      </c>
      <c r="I249" s="0" t="n">
        <v>7.3</v>
      </c>
      <c r="J249" s="0" t="n">
        <v>30.5</v>
      </c>
      <c r="K249" s="0" t="n">
        <v>7.84662970112</v>
      </c>
      <c r="L249" s="0" t="n">
        <v>33.5251787219</v>
      </c>
      <c r="M249" s="0" t="n">
        <v>35.038597359</v>
      </c>
      <c r="N249" s="0" t="n">
        <v>18.4030517128</v>
      </c>
      <c r="O249" s="0" t="n">
        <v>5.18654250524</v>
      </c>
      <c r="P249" s="0" t="n">
        <f aca="false">INDEX($F249:$J249,IF(1&lt;$E249,1,1+1))</f>
        <v>8</v>
      </c>
      <c r="Q249" s="0" t="n">
        <f aca="false">INDEX($F249:$J249,IF(2&lt;$E249,2,2+1))</f>
        <v>9.4</v>
      </c>
      <c r="R249" s="0" t="n">
        <f aca="false">INDEX($F249:$J249,IF(3&lt;$E249,3,3+1))</f>
        <v>7.3</v>
      </c>
      <c r="S249" s="0" t="n">
        <f aca="false">INDEX($F249:$J249,IF(4&lt;$E249,4,4+1))</f>
        <v>30.5</v>
      </c>
      <c r="T249" s="0" t="n">
        <f aca="false">INDEX($K249:$O249,IF(1&lt;$E249,1,1+1))</f>
        <v>7.84662970112</v>
      </c>
      <c r="U249" s="0" t="n">
        <f aca="false">INDEX($K249:$O249,IF(2&lt;$E249,2,2+1))</f>
        <v>33.5251787219</v>
      </c>
      <c r="V249" s="0" t="n">
        <f aca="false">INDEX($K249:$O249,IF(3&lt;$E249,3,3+1))</f>
        <v>18.4030517128</v>
      </c>
      <c r="W249" s="0" t="n">
        <f aca="false">INDEX($K249:$O249,IF(4&lt;$E249,4,4+1))</f>
        <v>5.18654250524</v>
      </c>
      <c r="X249" s="0" t="n">
        <f aca="false">1+COUNTIF($P249:$S249,"&gt;"&amp;$P249)+(COUNTIF($P249:$S249,$P249)-1)/2</f>
        <v>3</v>
      </c>
      <c r="Y249" s="0" t="n">
        <f aca="false">1+COUNTIF($P249:$S249,"&gt;"&amp;$Q249)+(COUNTIF($P249:$S249,$Q249)-1)/2</f>
        <v>2</v>
      </c>
      <c r="Z249" s="0" t="n">
        <f aca="false">1+COUNTIF($P249:$S249,"&gt;"&amp;$R249)+(COUNTIF($P249:$S249,$R249)-1)/2</f>
        <v>4</v>
      </c>
      <c r="AA249" s="0" t="n">
        <f aca="false">1+COUNTIF($P249:$S249,"&gt;"&amp;$S249)+(COUNTIF($P249:$S249,$S249)-1)/2</f>
        <v>1</v>
      </c>
      <c r="AB249" s="0" t="n">
        <f aca="false">1+COUNTIF($T249:$W249,"&gt;"&amp;$T249)+(COUNTIF($T249:$W249,$T249)-1)/2</f>
        <v>3</v>
      </c>
      <c r="AC249" s="0" t="n">
        <f aca="false">1+COUNTIF($T249:$W249,"&gt;"&amp;$U249)+(COUNTIF($T249:$W249,$U249)-1)/2</f>
        <v>1</v>
      </c>
      <c r="AD249" s="0" t="n">
        <f aca="false">1+COUNTIF($T249:$W249,"&gt;"&amp;$V249)+(COUNTIF($T249:$W249,$V249)-1)/2</f>
        <v>2</v>
      </c>
      <c r="AE249" s="0" t="n">
        <f aca="false">1+COUNTIF($T249:$W249,"&gt;"&amp;$W249)+(COUNTIF($T249:$W249,$W249)-1)/2</f>
        <v>4</v>
      </c>
      <c r="AF249" s="0" t="n">
        <f aca="false">IFERROR(CORREL($P249:$S249,$T249:$W249),"")</f>
        <v>-0.524642486502599</v>
      </c>
      <c r="AG249" s="0" t="n">
        <f aca="false">IFERROR(CORREL($X249:$AA249,$AB249:$AE249),"")</f>
        <v>-0.4</v>
      </c>
      <c r="AH249" s="0" t="n">
        <f aca="false">IFERROR((SIGN($P249-$Q249)*SIGN($T249-$U249)+SIGN($P249-$R249)*SIGN($T249-$V249)+SIGN($P249-$S249)*SIGN($T249-$W249)+SIGN($Q249-$R249)*SIGN($U249-$V249)+SIGN($Q249-$S249)*SIGN($U249-$W249)+SIGN($R249-$S249)*SIGN($V249-$W249))/SQRT((6-(($P249=$Q249)*1+($P249=$R249)*1+($P249=$S249)*1+($Q249=$R249)*1+($Q249=$S249)*1+($R249=$S249)*1))*(6-(($T249=$U249)*1+($T249=$V249)*1+($T249=$W249)*1+($U249=$V249)*1+($U249=$W249)*1+($V249=$W249)*1))),"")</f>
        <v>-0.333333333333333</v>
      </c>
      <c r="AI249" s="0" t="n">
        <f aca="false">MATCH(MAX($K249:$O249),$K249:$O249,0)</f>
        <v>3</v>
      </c>
      <c r="AJ249" s="0" t="n">
        <f aca="false">IF(AI249&lt;&gt;$E249,1,0)</f>
        <v>0</v>
      </c>
      <c r="AK249" s="0" t="str">
        <f aca="false">IF(AJ249=1,INDEX($F249:$J249,AI249)/MAX($P249:$S249),"")</f>
        <v/>
      </c>
      <c r="AL249" s="0" t="str">
        <f aca="false">IF(AJ249=1,1+COUNTIF($P249:$S249,"&gt;"&amp;INDEX($F249:$J249,AI249)),"")</f>
        <v/>
      </c>
      <c r="AM249" s="0" t="n">
        <f aca="false">AVERAGE($P249:$S249)/MAX($P249:$S249)</f>
        <v>0.452459016393443</v>
      </c>
      <c r="AN249" s="0" t="n">
        <f aca="false">100-INDEX($F249:$J249,$E249)</f>
        <v>69.9</v>
      </c>
    </row>
    <row r="250" customFormat="false" ht="15" hidden="false" customHeight="false" outlineLevel="0" collapsed="false">
      <c r="A250" s="0" t="s">
        <v>40</v>
      </c>
      <c r="B250" s="0" t="n">
        <v>2017</v>
      </c>
      <c r="C250" s="0" t="s">
        <v>52</v>
      </c>
      <c r="D250" s="0" t="s">
        <v>44</v>
      </c>
      <c r="E250" s="0" t="n">
        <v>5</v>
      </c>
      <c r="F250" s="0" t="n">
        <v>8.9</v>
      </c>
      <c r="G250" s="0" t="n">
        <v>10.6</v>
      </c>
      <c r="H250" s="0" t="n">
        <v>12.8</v>
      </c>
      <c r="I250" s="0" t="n">
        <v>7.3</v>
      </c>
      <c r="J250" s="0" t="n">
        <v>45.5</v>
      </c>
      <c r="K250" s="0" t="n">
        <v>13.2441573333</v>
      </c>
      <c r="L250" s="0" t="n">
        <v>30.9932931439</v>
      </c>
      <c r="M250" s="0" t="n">
        <v>46.5879243323</v>
      </c>
      <c r="N250" s="0" t="n">
        <v>0.753084756969</v>
      </c>
      <c r="O250" s="0" t="n">
        <v>8.42154043348</v>
      </c>
      <c r="P250" s="0" t="n">
        <f aca="false">INDEX($F250:$J250,IF(1&lt;$E250,1,1+1))</f>
        <v>8.9</v>
      </c>
      <c r="Q250" s="0" t="n">
        <f aca="false">INDEX($F250:$J250,IF(2&lt;$E250,2,2+1))</f>
        <v>10.6</v>
      </c>
      <c r="R250" s="0" t="n">
        <f aca="false">INDEX($F250:$J250,IF(3&lt;$E250,3,3+1))</f>
        <v>12.8</v>
      </c>
      <c r="S250" s="0" t="n">
        <f aca="false">INDEX($F250:$J250,IF(4&lt;$E250,4,4+1))</f>
        <v>7.3</v>
      </c>
      <c r="T250" s="0" t="n">
        <f aca="false">INDEX($K250:$O250,IF(1&lt;$E250,1,1+1))</f>
        <v>13.2441573333</v>
      </c>
      <c r="U250" s="0" t="n">
        <f aca="false">INDEX($K250:$O250,IF(2&lt;$E250,2,2+1))</f>
        <v>30.9932931439</v>
      </c>
      <c r="V250" s="0" t="n">
        <f aca="false">INDEX($K250:$O250,IF(3&lt;$E250,3,3+1))</f>
        <v>46.5879243323</v>
      </c>
      <c r="W250" s="0" t="n">
        <f aca="false">INDEX($K250:$O250,IF(4&lt;$E250,4,4+1))</f>
        <v>0.753084756969</v>
      </c>
      <c r="X250" s="0" t="n">
        <f aca="false">1+COUNTIF($P250:$S250,"&gt;"&amp;$P250)+(COUNTIF($P250:$S250,$P250)-1)/2</f>
        <v>3</v>
      </c>
      <c r="Y250" s="0" t="n">
        <f aca="false">1+COUNTIF($P250:$S250,"&gt;"&amp;$Q250)+(COUNTIF($P250:$S250,$Q250)-1)/2</f>
        <v>2</v>
      </c>
      <c r="Z250" s="0" t="n">
        <f aca="false">1+COUNTIF($P250:$S250,"&gt;"&amp;$R250)+(COUNTIF($P250:$S250,$R250)-1)/2</f>
        <v>1</v>
      </c>
      <c r="AA250" s="0" t="n">
        <f aca="false">1+COUNTIF($P250:$S250,"&gt;"&amp;$S250)+(COUNTIF($P250:$S250,$S250)-1)/2</f>
        <v>4</v>
      </c>
      <c r="AB250" s="0" t="n">
        <f aca="false">1+COUNTIF($T250:$W250,"&gt;"&amp;$T250)+(COUNTIF($T250:$W250,$T250)-1)/2</f>
        <v>3</v>
      </c>
      <c r="AC250" s="0" t="n">
        <f aca="false">1+COUNTIF($T250:$W250,"&gt;"&amp;$U250)+(COUNTIF($T250:$W250,$U250)-1)/2</f>
        <v>2</v>
      </c>
      <c r="AD250" s="0" t="n">
        <f aca="false">1+COUNTIF($T250:$W250,"&gt;"&amp;$V250)+(COUNTIF($T250:$W250,$V250)-1)/2</f>
        <v>1</v>
      </c>
      <c r="AE250" s="0" t="n">
        <f aca="false">1+COUNTIF($T250:$W250,"&gt;"&amp;$W250)+(COUNTIF($T250:$W250,$W250)-1)/2</f>
        <v>4</v>
      </c>
      <c r="AF250" s="0" t="n">
        <f aca="false">IFERROR(CORREL($P250:$S250,$T250:$W250),"")</f>
        <v>0.997163159421349</v>
      </c>
      <c r="AG250" s="0" t="n">
        <f aca="false">IFERROR(CORREL($X250:$AA250,$AB250:$AE250),"")</f>
        <v>1</v>
      </c>
      <c r="AH250" s="0" t="n">
        <f aca="false">IFERROR((SIGN($P250-$Q250)*SIGN($T250-$U250)+SIGN($P250-$R250)*SIGN($T250-$V250)+SIGN($P250-$S250)*SIGN($T250-$W250)+SIGN($Q250-$R250)*SIGN($U250-$V250)+SIGN($Q250-$S250)*SIGN($U250-$W250)+SIGN($R250-$S250)*SIGN($V250-$W250))/SQRT((6-(($P250=$Q250)*1+($P250=$R250)*1+($P250=$S250)*1+($Q250=$R250)*1+($Q250=$S250)*1+($R250=$S250)*1))*(6-(($T250=$U250)*1+($T250=$V250)*1+($T250=$W250)*1+($U250=$V250)*1+($U250=$W250)*1+($V250=$W250)*1))),"")</f>
        <v>1</v>
      </c>
      <c r="AI250" s="0" t="n">
        <f aca="false">MATCH(MAX($K250:$O250),$K250:$O250,0)</f>
        <v>3</v>
      </c>
      <c r="AJ250" s="0" t="n">
        <f aca="false">IF(AI250&lt;&gt;$E250,1,0)</f>
        <v>1</v>
      </c>
      <c r="AK250" s="0" t="n">
        <f aca="false">IF(AJ250=1,INDEX($F250:$J250,AI250)/MAX($P250:$S250),"")</f>
        <v>1</v>
      </c>
      <c r="AL250" s="0" t="n">
        <f aca="false">IF(AJ250=1,1+COUNTIF($P250:$S250,"&gt;"&amp;INDEX($F250:$J250,AI250)),"")</f>
        <v>1</v>
      </c>
      <c r="AM250" s="0" t="n">
        <f aca="false">AVERAGE($P250:$S250)/MAX($P250:$S250)</f>
        <v>0.7734375</v>
      </c>
      <c r="AN250" s="0" t="n">
        <f aca="false">100-INDEX($F250:$J250,$E250)</f>
        <v>54.5</v>
      </c>
    </row>
    <row r="251" customFormat="false" ht="15" hidden="false" customHeight="false" outlineLevel="0" collapsed="false">
      <c r="A251" s="0" t="s">
        <v>40</v>
      </c>
      <c r="B251" s="0" t="n">
        <v>2017</v>
      </c>
      <c r="C251" s="0" t="s">
        <v>46</v>
      </c>
      <c r="D251" s="0" t="s">
        <v>42</v>
      </c>
      <c r="E251" s="0" t="n">
        <v>1</v>
      </c>
      <c r="F251" s="0" t="n">
        <v>34.1</v>
      </c>
      <c r="G251" s="0" t="n">
        <v>9</v>
      </c>
      <c r="H251" s="0" t="n">
        <v>11.2</v>
      </c>
      <c r="I251" s="0" t="n">
        <v>20</v>
      </c>
      <c r="J251" s="0" t="n">
        <v>6.6</v>
      </c>
      <c r="K251" s="0" t="n">
        <v>27.7624479508</v>
      </c>
      <c r="L251" s="0" t="n">
        <v>15.8989862894</v>
      </c>
      <c r="M251" s="0" t="n">
        <v>4.64301801271</v>
      </c>
      <c r="N251" s="0" t="n">
        <v>36.3242946327</v>
      </c>
      <c r="O251" s="0" t="n">
        <v>15.3712531144</v>
      </c>
      <c r="P251" s="0" t="n">
        <f aca="false">INDEX($F251:$J251,IF(1&lt;$E251,1,1+1))</f>
        <v>9</v>
      </c>
      <c r="Q251" s="0" t="n">
        <f aca="false">INDEX($F251:$J251,IF(2&lt;$E251,2,2+1))</f>
        <v>11.2</v>
      </c>
      <c r="R251" s="0" t="n">
        <f aca="false">INDEX($F251:$J251,IF(3&lt;$E251,3,3+1))</f>
        <v>20</v>
      </c>
      <c r="S251" s="0" t="n">
        <f aca="false">INDEX($F251:$J251,IF(4&lt;$E251,4,4+1))</f>
        <v>6.6</v>
      </c>
      <c r="T251" s="0" t="n">
        <f aca="false">INDEX($K251:$O251,IF(1&lt;$E251,1,1+1))</f>
        <v>15.8989862894</v>
      </c>
      <c r="U251" s="0" t="n">
        <f aca="false">INDEX($K251:$O251,IF(2&lt;$E251,2,2+1))</f>
        <v>4.64301801271</v>
      </c>
      <c r="V251" s="0" t="n">
        <f aca="false">INDEX($K251:$O251,IF(3&lt;$E251,3,3+1))</f>
        <v>36.3242946327</v>
      </c>
      <c r="W251" s="0" t="n">
        <f aca="false">INDEX($K251:$O251,IF(4&lt;$E251,4,4+1))</f>
        <v>15.3712531144</v>
      </c>
      <c r="X251" s="0" t="n">
        <f aca="false">1+COUNTIF($P251:$S251,"&gt;"&amp;$P251)+(COUNTIF($P251:$S251,$P251)-1)/2</f>
        <v>3</v>
      </c>
      <c r="Y251" s="0" t="n">
        <f aca="false">1+COUNTIF($P251:$S251,"&gt;"&amp;$Q251)+(COUNTIF($P251:$S251,$Q251)-1)/2</f>
        <v>2</v>
      </c>
      <c r="Z251" s="0" t="n">
        <f aca="false">1+COUNTIF($P251:$S251,"&gt;"&amp;$R251)+(COUNTIF($P251:$S251,$R251)-1)/2</f>
        <v>1</v>
      </c>
      <c r="AA251" s="0" t="n">
        <f aca="false">1+COUNTIF($P251:$S251,"&gt;"&amp;$S251)+(COUNTIF($P251:$S251,$S251)-1)/2</f>
        <v>4</v>
      </c>
      <c r="AB251" s="0" t="n">
        <f aca="false">1+COUNTIF($T251:$W251,"&gt;"&amp;$T251)+(COUNTIF($T251:$W251,$T251)-1)/2</f>
        <v>2</v>
      </c>
      <c r="AC251" s="0" t="n">
        <f aca="false">1+COUNTIF($T251:$W251,"&gt;"&amp;$U251)+(COUNTIF($T251:$W251,$U251)-1)/2</f>
        <v>4</v>
      </c>
      <c r="AD251" s="0" t="n">
        <f aca="false">1+COUNTIF($T251:$W251,"&gt;"&amp;$V251)+(COUNTIF($T251:$W251,$V251)-1)/2</f>
        <v>1</v>
      </c>
      <c r="AE251" s="0" t="n">
        <f aca="false">1+COUNTIF($T251:$W251,"&gt;"&amp;$W251)+(COUNTIF($T251:$W251,$W251)-1)/2</f>
        <v>3</v>
      </c>
      <c r="AF251" s="0" t="n">
        <f aca="false">IFERROR(CORREL($P251:$S251,$T251:$W251),"")</f>
        <v>0.766534648568087</v>
      </c>
      <c r="AG251" s="0" t="n">
        <f aca="false">IFERROR(CORREL($X251:$AA251,$AB251:$AE251),"")</f>
        <v>0.4</v>
      </c>
      <c r="AH251" s="0" t="n">
        <f aca="false">IFERROR((SIGN($P251-$Q251)*SIGN($T251-$U251)+SIGN($P251-$R251)*SIGN($T251-$V251)+SIGN($P251-$S251)*SIGN($T251-$W251)+SIGN($Q251-$R251)*SIGN($U251-$V251)+SIGN($Q251-$S251)*SIGN($U251-$W251)+SIGN($R251-$S251)*SIGN($V251-$W251))/SQRT((6-(($P251=$Q251)*1+($P251=$R251)*1+($P251=$S251)*1+($Q251=$R251)*1+($Q251=$S251)*1+($R251=$S251)*1))*(6-(($T251=$U251)*1+($T251=$V251)*1+($T251=$W251)*1+($U251=$V251)*1+($U251=$W251)*1+($V251=$W251)*1))),"")</f>
        <v>0.333333333333333</v>
      </c>
      <c r="AI251" s="0" t="n">
        <f aca="false">MATCH(MAX($K251:$O251),$K251:$O251,0)</f>
        <v>4</v>
      </c>
      <c r="AJ251" s="0" t="n">
        <f aca="false">IF(AI251&lt;&gt;$E251,1,0)</f>
        <v>1</v>
      </c>
      <c r="AK251" s="0" t="n">
        <f aca="false">IF(AJ251=1,INDEX($F251:$J251,AI251)/MAX($P251:$S251),"")</f>
        <v>1</v>
      </c>
      <c r="AL251" s="0" t="n">
        <f aca="false">IF(AJ251=1,1+COUNTIF($P251:$S251,"&gt;"&amp;INDEX($F251:$J251,AI251)),"")</f>
        <v>1</v>
      </c>
      <c r="AM251" s="0" t="n">
        <f aca="false">AVERAGE($P251:$S251)/MAX($P251:$S251)</f>
        <v>0.585</v>
      </c>
      <c r="AN251" s="0" t="n">
        <f aca="false">100-INDEX($F251:$J251,$E251)</f>
        <v>65.9</v>
      </c>
    </row>
    <row r="252" customFormat="false" ht="15" hidden="false" customHeight="false" outlineLevel="0" collapsed="false">
      <c r="A252" s="0" t="s">
        <v>40</v>
      </c>
      <c r="B252" s="0" t="n">
        <v>2017</v>
      </c>
      <c r="C252" s="0" t="s">
        <v>46</v>
      </c>
      <c r="D252" s="0" t="s">
        <v>43</v>
      </c>
      <c r="E252" s="0" t="n">
        <v>2</v>
      </c>
      <c r="F252" s="0" t="n">
        <v>17.6</v>
      </c>
      <c r="G252" s="0" t="n">
        <v>26.6</v>
      </c>
      <c r="H252" s="0" t="n">
        <v>16.8</v>
      </c>
      <c r="I252" s="0" t="n">
        <v>9.3</v>
      </c>
      <c r="J252" s="0" t="n">
        <v>10</v>
      </c>
      <c r="K252" s="0" t="n">
        <v>27.5246208305</v>
      </c>
      <c r="L252" s="0" t="n">
        <v>56.1125193976</v>
      </c>
      <c r="M252" s="0" t="n">
        <v>0.425328898216</v>
      </c>
      <c r="N252" s="0" t="n">
        <v>4.76293475057</v>
      </c>
      <c r="O252" s="0" t="n">
        <v>11.1745961231</v>
      </c>
      <c r="P252" s="0" t="n">
        <f aca="false">INDEX($F252:$J252,IF(1&lt;$E252,1,1+1))</f>
        <v>17.6</v>
      </c>
      <c r="Q252" s="0" t="n">
        <f aca="false">INDEX($F252:$J252,IF(2&lt;$E252,2,2+1))</f>
        <v>16.8</v>
      </c>
      <c r="R252" s="0" t="n">
        <f aca="false">INDEX($F252:$J252,IF(3&lt;$E252,3,3+1))</f>
        <v>9.3</v>
      </c>
      <c r="S252" s="0" t="n">
        <f aca="false">INDEX($F252:$J252,IF(4&lt;$E252,4,4+1))</f>
        <v>10</v>
      </c>
      <c r="T252" s="0" t="n">
        <f aca="false">INDEX($K252:$O252,IF(1&lt;$E252,1,1+1))</f>
        <v>27.5246208305</v>
      </c>
      <c r="U252" s="0" t="n">
        <f aca="false">INDEX($K252:$O252,IF(2&lt;$E252,2,2+1))</f>
        <v>0.425328898216</v>
      </c>
      <c r="V252" s="0" t="n">
        <f aca="false">INDEX($K252:$O252,IF(3&lt;$E252,3,3+1))</f>
        <v>4.76293475057</v>
      </c>
      <c r="W252" s="0" t="n">
        <f aca="false">INDEX($K252:$O252,IF(4&lt;$E252,4,4+1))</f>
        <v>11.1745961231</v>
      </c>
      <c r="X252" s="0" t="n">
        <f aca="false">1+COUNTIF($P252:$S252,"&gt;"&amp;$P252)+(COUNTIF($P252:$S252,$P252)-1)/2</f>
        <v>1</v>
      </c>
      <c r="Y252" s="0" t="n">
        <f aca="false">1+COUNTIF($P252:$S252,"&gt;"&amp;$Q252)+(COUNTIF($P252:$S252,$Q252)-1)/2</f>
        <v>2</v>
      </c>
      <c r="Z252" s="0" t="n">
        <f aca="false">1+COUNTIF($P252:$S252,"&gt;"&amp;$R252)+(COUNTIF($P252:$S252,$R252)-1)/2</f>
        <v>4</v>
      </c>
      <c r="AA252" s="0" t="n">
        <f aca="false">1+COUNTIF($P252:$S252,"&gt;"&amp;$S252)+(COUNTIF($P252:$S252,$S252)-1)/2</f>
        <v>3</v>
      </c>
      <c r="AB252" s="0" t="n">
        <f aca="false">1+COUNTIF($T252:$W252,"&gt;"&amp;$T252)+(COUNTIF($T252:$W252,$T252)-1)/2</f>
        <v>1</v>
      </c>
      <c r="AC252" s="0" t="n">
        <f aca="false">1+COUNTIF($T252:$W252,"&gt;"&amp;$U252)+(COUNTIF($T252:$W252,$U252)-1)/2</f>
        <v>4</v>
      </c>
      <c r="AD252" s="0" t="n">
        <f aca="false">1+COUNTIF($T252:$W252,"&gt;"&amp;$V252)+(COUNTIF($T252:$W252,$V252)-1)/2</f>
        <v>3</v>
      </c>
      <c r="AE252" s="0" t="n">
        <f aca="false">1+COUNTIF($T252:$W252,"&gt;"&amp;$W252)+(COUNTIF($T252:$W252,$W252)-1)/2</f>
        <v>2</v>
      </c>
      <c r="AF252" s="0" t="n">
        <f aca="false">IFERROR(CORREL($P252:$S252,$T252:$W252),"")</f>
        <v>0.374079627383705</v>
      </c>
      <c r="AG252" s="0" t="n">
        <f aca="false">IFERROR(CORREL($X252:$AA252,$AB252:$AE252),"")</f>
        <v>0.4</v>
      </c>
      <c r="AH252" s="0" t="n">
        <f aca="false">IFERROR((SIGN($P252-$Q252)*SIGN($T252-$U252)+SIGN($P252-$R252)*SIGN($T252-$V252)+SIGN($P252-$S252)*SIGN($T252-$W252)+SIGN($Q252-$R252)*SIGN($U252-$V252)+SIGN($Q252-$S252)*SIGN($U252-$W252)+SIGN($R252-$S252)*SIGN($V252-$W252))/SQRT((6-(($P252=$Q252)*1+($P252=$R252)*1+($P252=$S252)*1+($Q252=$R252)*1+($Q252=$S252)*1+($R252=$S252)*1))*(6-(($T252=$U252)*1+($T252=$V252)*1+($T252=$W252)*1+($U252=$V252)*1+($U252=$W252)*1+($V252=$W252)*1))),"")</f>
        <v>0.333333333333333</v>
      </c>
      <c r="AI252" s="0" t="n">
        <f aca="false">MATCH(MAX($K252:$O252),$K252:$O252,0)</f>
        <v>2</v>
      </c>
      <c r="AJ252" s="0" t="n">
        <f aca="false">IF(AI252&lt;&gt;$E252,1,0)</f>
        <v>0</v>
      </c>
      <c r="AK252" s="0" t="str">
        <f aca="false">IF(AJ252=1,INDEX($F252:$J252,AI252)/MAX($P252:$S252),"")</f>
        <v/>
      </c>
      <c r="AL252" s="0" t="str">
        <f aca="false">IF(AJ252=1,1+COUNTIF($P252:$S252,"&gt;"&amp;INDEX($F252:$J252,AI252)),"")</f>
        <v/>
      </c>
      <c r="AM252" s="0" t="n">
        <f aca="false">AVERAGE($P252:$S252)/MAX($P252:$S252)</f>
        <v>0.762784090909091</v>
      </c>
      <c r="AN252" s="0" t="n">
        <f aca="false">100-INDEX($F252:$J252,$E252)</f>
        <v>73.4</v>
      </c>
    </row>
    <row r="253" customFormat="false" ht="15" hidden="false" customHeight="false" outlineLevel="0" collapsed="false">
      <c r="A253" s="0" t="s">
        <v>40</v>
      </c>
      <c r="B253" s="0" t="n">
        <v>2017</v>
      </c>
      <c r="C253" s="0" t="s">
        <v>46</v>
      </c>
      <c r="D253" s="0" t="s">
        <v>44</v>
      </c>
      <c r="E253" s="0" t="n">
        <v>5</v>
      </c>
      <c r="F253" s="0" t="n">
        <v>8.9</v>
      </c>
      <c r="G253" s="0" t="n">
        <v>18.1</v>
      </c>
      <c r="H253" s="0" t="n">
        <v>17.6</v>
      </c>
      <c r="I253" s="0" t="n">
        <v>8.8</v>
      </c>
      <c r="J253" s="0" t="n">
        <v>26.4</v>
      </c>
      <c r="K253" s="0" t="n">
        <v>4.55962478532</v>
      </c>
      <c r="L253" s="0" t="n">
        <v>17.5380337832</v>
      </c>
      <c r="M253" s="0" t="n">
        <v>8.62972812573</v>
      </c>
      <c r="N253" s="0" t="n">
        <v>9.80158530369</v>
      </c>
      <c r="O253" s="0" t="n">
        <v>59.4710280021</v>
      </c>
      <c r="P253" s="0" t="n">
        <f aca="false">INDEX($F253:$J253,IF(1&lt;$E253,1,1+1))</f>
        <v>8.9</v>
      </c>
      <c r="Q253" s="0" t="n">
        <f aca="false">INDEX($F253:$J253,IF(2&lt;$E253,2,2+1))</f>
        <v>18.1</v>
      </c>
      <c r="R253" s="0" t="n">
        <f aca="false">INDEX($F253:$J253,IF(3&lt;$E253,3,3+1))</f>
        <v>17.6</v>
      </c>
      <c r="S253" s="0" t="n">
        <f aca="false">INDEX($F253:$J253,IF(4&lt;$E253,4,4+1))</f>
        <v>8.8</v>
      </c>
      <c r="T253" s="0" t="n">
        <f aca="false">INDEX($K253:$O253,IF(1&lt;$E253,1,1+1))</f>
        <v>4.55962478532</v>
      </c>
      <c r="U253" s="0" t="n">
        <f aca="false">INDEX($K253:$O253,IF(2&lt;$E253,2,2+1))</f>
        <v>17.5380337832</v>
      </c>
      <c r="V253" s="0" t="n">
        <f aca="false">INDEX($K253:$O253,IF(3&lt;$E253,3,3+1))</f>
        <v>8.62972812573</v>
      </c>
      <c r="W253" s="0" t="n">
        <f aca="false">INDEX($K253:$O253,IF(4&lt;$E253,4,4+1))</f>
        <v>9.80158530369</v>
      </c>
      <c r="X253" s="0" t="n">
        <f aca="false">1+COUNTIF($P253:$S253,"&gt;"&amp;$P253)+(COUNTIF($P253:$S253,$P253)-1)/2</f>
        <v>3</v>
      </c>
      <c r="Y253" s="0" t="n">
        <f aca="false">1+COUNTIF($P253:$S253,"&gt;"&amp;$Q253)+(COUNTIF($P253:$S253,$Q253)-1)/2</f>
        <v>1</v>
      </c>
      <c r="Z253" s="0" t="n">
        <f aca="false">1+COUNTIF($P253:$S253,"&gt;"&amp;$R253)+(COUNTIF($P253:$S253,$R253)-1)/2</f>
        <v>2</v>
      </c>
      <c r="AA253" s="0" t="n">
        <f aca="false">1+COUNTIF($P253:$S253,"&gt;"&amp;$S253)+(COUNTIF($P253:$S253,$S253)-1)/2</f>
        <v>4</v>
      </c>
      <c r="AB253" s="0" t="n">
        <f aca="false">1+COUNTIF($T253:$W253,"&gt;"&amp;$T253)+(COUNTIF($T253:$W253,$T253)-1)/2</f>
        <v>4</v>
      </c>
      <c r="AC253" s="0" t="n">
        <f aca="false">1+COUNTIF($T253:$W253,"&gt;"&amp;$U253)+(COUNTIF($T253:$W253,$U253)-1)/2</f>
        <v>1</v>
      </c>
      <c r="AD253" s="0" t="n">
        <f aca="false">1+COUNTIF($T253:$W253,"&gt;"&amp;$V253)+(COUNTIF($T253:$W253,$V253)-1)/2</f>
        <v>3</v>
      </c>
      <c r="AE253" s="0" t="n">
        <f aca="false">1+COUNTIF($T253:$W253,"&gt;"&amp;$W253)+(COUNTIF($T253:$W253,$W253)-1)/2</f>
        <v>2</v>
      </c>
      <c r="AF253" s="0" t="n">
        <f aca="false">IFERROR(CORREL($P253:$S253,$T253:$W253),"")</f>
        <v>0.651056634910273</v>
      </c>
      <c r="AG253" s="0" t="n">
        <f aca="false">IFERROR(CORREL($X253:$AA253,$AB253:$AE253),"")</f>
        <v>0.4</v>
      </c>
      <c r="AH253" s="0" t="n">
        <f aca="false">IFERROR((SIGN($P253-$Q253)*SIGN($T253-$U253)+SIGN($P253-$R253)*SIGN($T253-$V253)+SIGN($P253-$S253)*SIGN($T253-$W253)+SIGN($Q253-$R253)*SIGN($U253-$V253)+SIGN($Q253-$S253)*SIGN($U253-$W253)+SIGN($R253-$S253)*SIGN($V253-$W253))/SQRT((6-(($P253=$Q253)*1+($P253=$R253)*1+($P253=$S253)*1+($Q253=$R253)*1+($Q253=$S253)*1+($R253=$S253)*1))*(6-(($T253=$U253)*1+($T253=$V253)*1+($T253=$W253)*1+($U253=$V253)*1+($U253=$W253)*1+($V253=$W253)*1))),"")</f>
        <v>0.333333333333333</v>
      </c>
      <c r="AI253" s="0" t="n">
        <f aca="false">MATCH(MAX($K253:$O253),$K253:$O253,0)</f>
        <v>5</v>
      </c>
      <c r="AJ253" s="0" t="n">
        <f aca="false">IF(AI253&lt;&gt;$E253,1,0)</f>
        <v>0</v>
      </c>
      <c r="AK253" s="0" t="str">
        <f aca="false">IF(AJ253=1,INDEX($F253:$J253,AI253)/MAX($P253:$S253),"")</f>
        <v/>
      </c>
      <c r="AL253" s="0" t="str">
        <f aca="false">IF(AJ253=1,1+COUNTIF($P253:$S253,"&gt;"&amp;INDEX($F253:$J253,AI253)),"")</f>
        <v/>
      </c>
      <c r="AM253" s="0" t="n">
        <f aca="false">AVERAGE($P253:$S253)/MAX($P253:$S253)</f>
        <v>0.737569060773481</v>
      </c>
      <c r="AN253" s="0" t="n">
        <f aca="false">100-INDEX($F253:$J253,$E253)</f>
        <v>73.6</v>
      </c>
    </row>
    <row r="254" customFormat="false" ht="15" hidden="false" customHeight="false" outlineLevel="0" collapsed="false">
      <c r="A254" s="0" t="s">
        <v>40</v>
      </c>
      <c r="B254" s="0" t="n">
        <v>2017</v>
      </c>
      <c r="C254" s="0" t="s">
        <v>46</v>
      </c>
      <c r="D254" s="0" t="s">
        <v>45</v>
      </c>
      <c r="E254" s="0" t="n">
        <v>2</v>
      </c>
      <c r="F254" s="0" t="n">
        <v>12.5</v>
      </c>
      <c r="G254" s="0" t="n">
        <v>36.9</v>
      </c>
      <c r="H254" s="0" t="n">
        <v>12</v>
      </c>
      <c r="I254" s="0" t="n">
        <v>10.6</v>
      </c>
      <c r="J254" s="0" t="n">
        <v>7.6</v>
      </c>
      <c r="K254" s="0" t="n">
        <v>3.28950997738</v>
      </c>
      <c r="L254" s="0" t="n">
        <v>44.9756643977</v>
      </c>
      <c r="M254" s="0" t="n">
        <v>6.80017883916</v>
      </c>
      <c r="N254" s="0" t="n">
        <v>41.9114546128</v>
      </c>
      <c r="O254" s="0" t="n">
        <v>3.02319217293</v>
      </c>
      <c r="P254" s="0" t="n">
        <f aca="false">INDEX($F254:$J254,IF(1&lt;$E254,1,1+1))</f>
        <v>12.5</v>
      </c>
      <c r="Q254" s="0" t="n">
        <f aca="false">INDEX($F254:$J254,IF(2&lt;$E254,2,2+1))</f>
        <v>12</v>
      </c>
      <c r="R254" s="0" t="n">
        <f aca="false">INDEX($F254:$J254,IF(3&lt;$E254,3,3+1))</f>
        <v>10.6</v>
      </c>
      <c r="S254" s="0" t="n">
        <f aca="false">INDEX($F254:$J254,IF(4&lt;$E254,4,4+1))</f>
        <v>7.6</v>
      </c>
      <c r="T254" s="0" t="n">
        <f aca="false">INDEX($K254:$O254,IF(1&lt;$E254,1,1+1))</f>
        <v>3.28950997738</v>
      </c>
      <c r="U254" s="0" t="n">
        <f aca="false">INDEX($K254:$O254,IF(2&lt;$E254,2,2+1))</f>
        <v>6.80017883916</v>
      </c>
      <c r="V254" s="0" t="n">
        <f aca="false">INDEX($K254:$O254,IF(3&lt;$E254,3,3+1))</f>
        <v>41.9114546128</v>
      </c>
      <c r="W254" s="0" t="n">
        <f aca="false">INDEX($K254:$O254,IF(4&lt;$E254,4,4+1))</f>
        <v>3.02319217293</v>
      </c>
      <c r="X254" s="0" t="n">
        <f aca="false">1+COUNTIF($P254:$S254,"&gt;"&amp;$P254)+(COUNTIF($P254:$S254,$P254)-1)/2</f>
        <v>1</v>
      </c>
      <c r="Y254" s="0" t="n">
        <f aca="false">1+COUNTIF($P254:$S254,"&gt;"&amp;$Q254)+(COUNTIF($P254:$S254,$Q254)-1)/2</f>
        <v>2</v>
      </c>
      <c r="Z254" s="0" t="n">
        <f aca="false">1+COUNTIF($P254:$S254,"&gt;"&amp;$R254)+(COUNTIF($P254:$S254,$R254)-1)/2</f>
        <v>3</v>
      </c>
      <c r="AA254" s="0" t="n">
        <f aca="false">1+COUNTIF($P254:$S254,"&gt;"&amp;$S254)+(COUNTIF($P254:$S254,$S254)-1)/2</f>
        <v>4</v>
      </c>
      <c r="AB254" s="0" t="n">
        <f aca="false">1+COUNTIF($T254:$W254,"&gt;"&amp;$T254)+(COUNTIF($T254:$W254,$T254)-1)/2</f>
        <v>3</v>
      </c>
      <c r="AC254" s="0" t="n">
        <f aca="false">1+COUNTIF($T254:$W254,"&gt;"&amp;$U254)+(COUNTIF($T254:$W254,$U254)-1)/2</f>
        <v>2</v>
      </c>
      <c r="AD254" s="0" t="n">
        <f aca="false">1+COUNTIF($T254:$W254,"&gt;"&amp;$V254)+(COUNTIF($T254:$W254,$V254)-1)/2</f>
        <v>1</v>
      </c>
      <c r="AE254" s="0" t="n">
        <f aca="false">1+COUNTIF($T254:$W254,"&gt;"&amp;$W254)+(COUNTIF($T254:$W254,$W254)-1)/2</f>
        <v>4</v>
      </c>
      <c r="AF254" s="0" t="n">
        <f aca="false">IFERROR(CORREL($P254:$S254,$T254:$W254),"")</f>
        <v>0.0206705330110173</v>
      </c>
      <c r="AG254" s="0" t="n">
        <f aca="false">IFERROR(CORREL($X254:$AA254,$AB254:$AE254),"")</f>
        <v>0.2</v>
      </c>
      <c r="AH254" s="0" t="n">
        <f aca="false">IFERROR((SIGN($P254-$Q254)*SIGN($T254-$U254)+SIGN($P254-$R254)*SIGN($T254-$V254)+SIGN($P254-$S254)*SIGN($T254-$W254)+SIGN($Q254-$R254)*SIGN($U254-$V254)+SIGN($Q254-$S254)*SIGN($U254-$W254)+SIGN($R254-$S254)*SIGN($V254-$W254))/SQRT((6-(($P254=$Q254)*1+($P254=$R254)*1+($P254=$S254)*1+($Q254=$R254)*1+($Q254=$S254)*1+($R254=$S254)*1))*(6-(($T254=$U254)*1+($T254=$V254)*1+($T254=$W254)*1+($U254=$V254)*1+($U254=$W254)*1+($V254=$W254)*1))),"")</f>
        <v>0</v>
      </c>
      <c r="AI254" s="0" t="n">
        <f aca="false">MATCH(MAX($K254:$O254),$K254:$O254,0)</f>
        <v>2</v>
      </c>
      <c r="AJ254" s="0" t="n">
        <f aca="false">IF(AI254&lt;&gt;$E254,1,0)</f>
        <v>0</v>
      </c>
      <c r="AK254" s="0" t="str">
        <f aca="false">IF(AJ254=1,INDEX($F254:$J254,AI254)/MAX($P254:$S254),"")</f>
        <v/>
      </c>
      <c r="AL254" s="0" t="str">
        <f aca="false">IF(AJ254=1,1+COUNTIF($P254:$S254,"&gt;"&amp;INDEX($F254:$J254,AI254)),"")</f>
        <v/>
      </c>
      <c r="AM254" s="0" t="n">
        <f aca="false">AVERAGE($P254:$S254)/MAX($P254:$S254)</f>
        <v>0.854</v>
      </c>
      <c r="AN254" s="0" t="n">
        <f aca="false">100-INDEX($F254:$J254,$E254)</f>
        <v>63.1</v>
      </c>
    </row>
    <row r="255" customFormat="false" ht="15" hidden="false" customHeight="false" outlineLevel="0" collapsed="false">
      <c r="A255" s="0" t="s">
        <v>40</v>
      </c>
      <c r="B255" s="0" t="n">
        <v>2017</v>
      </c>
      <c r="C255" s="0" t="s">
        <v>47</v>
      </c>
      <c r="D255" s="0" t="s">
        <v>42</v>
      </c>
      <c r="E255" s="0" t="n">
        <v>1</v>
      </c>
      <c r="F255" s="0" t="n">
        <v>23.6</v>
      </c>
      <c r="G255" s="0" t="n">
        <v>18.9</v>
      </c>
      <c r="H255" s="0" t="n">
        <v>13.7</v>
      </c>
      <c r="I255" s="0" t="n">
        <v>23.6</v>
      </c>
      <c r="J255" s="0" t="n">
        <v>10.6</v>
      </c>
      <c r="K255" s="0" t="n">
        <v>25.6896574783</v>
      </c>
      <c r="L255" s="0" t="n">
        <v>3.0276863314</v>
      </c>
      <c r="M255" s="0" t="n">
        <v>4.48875622843</v>
      </c>
      <c r="N255" s="0" t="n">
        <v>3.58237347137</v>
      </c>
      <c r="O255" s="0" t="n">
        <v>63.2115264905</v>
      </c>
      <c r="P255" s="0" t="n">
        <f aca="false">INDEX($F255:$J255,IF(1&lt;$E255,1,1+1))</f>
        <v>18.9</v>
      </c>
      <c r="Q255" s="0" t="n">
        <f aca="false">INDEX($F255:$J255,IF(2&lt;$E255,2,2+1))</f>
        <v>13.7</v>
      </c>
      <c r="R255" s="0" t="n">
        <f aca="false">INDEX($F255:$J255,IF(3&lt;$E255,3,3+1))</f>
        <v>23.6</v>
      </c>
      <c r="S255" s="0" t="n">
        <f aca="false">INDEX($F255:$J255,IF(4&lt;$E255,4,4+1))</f>
        <v>10.6</v>
      </c>
      <c r="T255" s="0" t="n">
        <f aca="false">INDEX($K255:$O255,IF(1&lt;$E255,1,1+1))</f>
        <v>3.0276863314</v>
      </c>
      <c r="U255" s="0" t="n">
        <f aca="false">INDEX($K255:$O255,IF(2&lt;$E255,2,2+1))</f>
        <v>4.48875622843</v>
      </c>
      <c r="V255" s="0" t="n">
        <f aca="false">INDEX($K255:$O255,IF(3&lt;$E255,3,3+1))</f>
        <v>3.58237347137</v>
      </c>
      <c r="W255" s="0" t="n">
        <f aca="false">INDEX($K255:$O255,IF(4&lt;$E255,4,4+1))</f>
        <v>63.2115264905</v>
      </c>
      <c r="X255" s="0" t="n">
        <f aca="false">1+COUNTIF($P255:$S255,"&gt;"&amp;$P255)+(COUNTIF($P255:$S255,$P255)-1)/2</f>
        <v>2</v>
      </c>
      <c r="Y255" s="0" t="n">
        <f aca="false">1+COUNTIF($P255:$S255,"&gt;"&amp;$Q255)+(COUNTIF($P255:$S255,$Q255)-1)/2</f>
        <v>3</v>
      </c>
      <c r="Z255" s="0" t="n">
        <f aca="false">1+COUNTIF($P255:$S255,"&gt;"&amp;$R255)+(COUNTIF($P255:$S255,$R255)-1)/2</f>
        <v>1</v>
      </c>
      <c r="AA255" s="0" t="n">
        <f aca="false">1+COUNTIF($P255:$S255,"&gt;"&amp;$S255)+(COUNTIF($P255:$S255,$S255)-1)/2</f>
        <v>4</v>
      </c>
      <c r="AB255" s="0" t="n">
        <f aca="false">1+COUNTIF($T255:$W255,"&gt;"&amp;$T255)+(COUNTIF($T255:$W255,$T255)-1)/2</f>
        <v>4</v>
      </c>
      <c r="AC255" s="0" t="n">
        <f aca="false">1+COUNTIF($T255:$W255,"&gt;"&amp;$U255)+(COUNTIF($T255:$W255,$U255)-1)/2</f>
        <v>2</v>
      </c>
      <c r="AD255" s="0" t="n">
        <f aca="false">1+COUNTIF($T255:$W255,"&gt;"&amp;$V255)+(COUNTIF($T255:$W255,$V255)-1)/2</f>
        <v>3</v>
      </c>
      <c r="AE255" s="0" t="n">
        <f aca="false">1+COUNTIF($T255:$W255,"&gt;"&amp;$W255)+(COUNTIF($T255:$W255,$W255)-1)/2</f>
        <v>1</v>
      </c>
      <c r="AF255" s="0" t="n">
        <f aca="false">IFERROR(CORREL($P255:$S255,$T255:$W255),"")</f>
        <v>-0.718079831652389</v>
      </c>
      <c r="AG255" s="0" t="n">
        <f aca="false">IFERROR(CORREL($X255:$AA255,$AB255:$AE255),"")</f>
        <v>-0.8</v>
      </c>
      <c r="AH255" s="0" t="n">
        <f aca="false">IFERROR((SIGN($P255-$Q255)*SIGN($T255-$U255)+SIGN($P255-$R255)*SIGN($T255-$V255)+SIGN($P255-$S255)*SIGN($T255-$W255)+SIGN($Q255-$R255)*SIGN($U255-$V255)+SIGN($Q255-$S255)*SIGN($U255-$W255)+SIGN($R255-$S255)*SIGN($V255-$W255))/SQRT((6-(($P255=$Q255)*1+($P255=$R255)*1+($P255=$S255)*1+($Q255=$R255)*1+($Q255=$S255)*1+($R255=$S255)*1))*(6-(($T255=$U255)*1+($T255=$V255)*1+($T255=$W255)*1+($U255=$V255)*1+($U255=$W255)*1+($V255=$W255)*1))),"")</f>
        <v>-0.666666666666667</v>
      </c>
      <c r="AI255" s="0" t="n">
        <f aca="false">MATCH(MAX($K255:$O255),$K255:$O255,0)</f>
        <v>5</v>
      </c>
      <c r="AJ255" s="0" t="n">
        <f aca="false">IF(AI255&lt;&gt;$E255,1,0)</f>
        <v>1</v>
      </c>
      <c r="AK255" s="0" t="n">
        <f aca="false">IF(AJ255=1,INDEX($F255:$J255,AI255)/MAX($P255:$S255),"")</f>
        <v>0.449152542372881</v>
      </c>
      <c r="AL255" s="0" t="n">
        <f aca="false">IF(AJ255=1,1+COUNTIF($P255:$S255,"&gt;"&amp;INDEX($F255:$J255,AI255)),"")</f>
        <v>4</v>
      </c>
      <c r="AM255" s="0" t="n">
        <f aca="false">AVERAGE($P255:$S255)/MAX($P255:$S255)</f>
        <v>0.707627118644068</v>
      </c>
      <c r="AN255" s="0" t="n">
        <f aca="false">100-INDEX($F255:$J255,$E255)</f>
        <v>76.4</v>
      </c>
    </row>
    <row r="256" customFormat="false" ht="15" hidden="false" customHeight="false" outlineLevel="0" collapsed="false">
      <c r="A256" s="0" t="s">
        <v>40</v>
      </c>
      <c r="B256" s="0" t="n">
        <v>2017</v>
      </c>
      <c r="C256" s="0" t="s">
        <v>47</v>
      </c>
      <c r="D256" s="0" t="s">
        <v>43</v>
      </c>
      <c r="E256" s="0" t="n">
        <v>2</v>
      </c>
      <c r="F256" s="0" t="n">
        <v>16.6</v>
      </c>
      <c r="G256" s="0" t="n">
        <v>27.6</v>
      </c>
      <c r="H256" s="0" t="n">
        <v>13.9</v>
      </c>
      <c r="I256" s="0" t="n">
        <v>10.2</v>
      </c>
      <c r="J256" s="0" t="n">
        <v>21.8</v>
      </c>
      <c r="K256" s="0" t="n">
        <v>18.9004137033</v>
      </c>
      <c r="L256" s="0" t="n">
        <v>20.4615837173</v>
      </c>
      <c r="M256" s="0" t="n">
        <v>47.9063803864</v>
      </c>
      <c r="N256" s="0" t="n">
        <v>7.40010585643</v>
      </c>
      <c r="O256" s="0" t="n">
        <v>5.33151633654</v>
      </c>
      <c r="P256" s="0" t="n">
        <f aca="false">INDEX($F256:$J256,IF(1&lt;$E256,1,1+1))</f>
        <v>16.6</v>
      </c>
      <c r="Q256" s="0" t="n">
        <f aca="false">INDEX($F256:$J256,IF(2&lt;$E256,2,2+1))</f>
        <v>13.9</v>
      </c>
      <c r="R256" s="0" t="n">
        <f aca="false">INDEX($F256:$J256,IF(3&lt;$E256,3,3+1))</f>
        <v>10.2</v>
      </c>
      <c r="S256" s="0" t="n">
        <f aca="false">INDEX($F256:$J256,IF(4&lt;$E256,4,4+1))</f>
        <v>21.8</v>
      </c>
      <c r="T256" s="0" t="n">
        <f aca="false">INDEX($K256:$O256,IF(1&lt;$E256,1,1+1))</f>
        <v>18.9004137033</v>
      </c>
      <c r="U256" s="0" t="n">
        <f aca="false">INDEX($K256:$O256,IF(2&lt;$E256,2,2+1))</f>
        <v>47.9063803864</v>
      </c>
      <c r="V256" s="0" t="n">
        <f aca="false">INDEX($K256:$O256,IF(3&lt;$E256,3,3+1))</f>
        <v>7.40010585643</v>
      </c>
      <c r="W256" s="0" t="n">
        <f aca="false">INDEX($K256:$O256,IF(4&lt;$E256,4,4+1))</f>
        <v>5.33151633654</v>
      </c>
      <c r="X256" s="0" t="n">
        <f aca="false">1+COUNTIF($P256:$S256,"&gt;"&amp;$P256)+(COUNTIF($P256:$S256,$P256)-1)/2</f>
        <v>2</v>
      </c>
      <c r="Y256" s="0" t="n">
        <f aca="false">1+COUNTIF($P256:$S256,"&gt;"&amp;$Q256)+(COUNTIF($P256:$S256,$Q256)-1)/2</f>
        <v>3</v>
      </c>
      <c r="Z256" s="0" t="n">
        <f aca="false">1+COUNTIF($P256:$S256,"&gt;"&amp;$R256)+(COUNTIF($P256:$S256,$R256)-1)/2</f>
        <v>4</v>
      </c>
      <c r="AA256" s="0" t="n">
        <f aca="false">1+COUNTIF($P256:$S256,"&gt;"&amp;$S256)+(COUNTIF($P256:$S256,$S256)-1)/2</f>
        <v>1</v>
      </c>
      <c r="AB256" s="0" t="n">
        <f aca="false">1+COUNTIF($T256:$W256,"&gt;"&amp;$T256)+(COUNTIF($T256:$W256,$T256)-1)/2</f>
        <v>2</v>
      </c>
      <c r="AC256" s="0" t="n">
        <f aca="false">1+COUNTIF($T256:$W256,"&gt;"&amp;$U256)+(COUNTIF($T256:$W256,$U256)-1)/2</f>
        <v>1</v>
      </c>
      <c r="AD256" s="0" t="n">
        <f aca="false">1+COUNTIF($T256:$W256,"&gt;"&amp;$V256)+(COUNTIF($T256:$W256,$V256)-1)/2</f>
        <v>3</v>
      </c>
      <c r="AE256" s="0" t="n">
        <f aca="false">1+COUNTIF($T256:$W256,"&gt;"&amp;$W256)+(COUNTIF($T256:$W256,$W256)-1)/2</f>
        <v>4</v>
      </c>
      <c r="AF256" s="0" t="n">
        <f aca="false">IFERROR(CORREL($P256:$S256,$T256:$W256),"")</f>
        <v>-0.248723501057973</v>
      </c>
      <c r="AG256" s="0" t="n">
        <f aca="false">IFERROR(CORREL($X256:$AA256,$AB256:$AE256),"")</f>
        <v>-0.4</v>
      </c>
      <c r="AH256" s="0" t="n">
        <f aca="false">IFERROR((SIGN($P256-$Q256)*SIGN($T256-$U256)+SIGN($P256-$R256)*SIGN($T256-$V256)+SIGN($P256-$S256)*SIGN($T256-$W256)+SIGN($Q256-$R256)*SIGN($U256-$V256)+SIGN($Q256-$S256)*SIGN($U256-$W256)+SIGN($R256-$S256)*SIGN($V256-$W256))/SQRT((6-(($P256=$Q256)*1+($P256=$R256)*1+($P256=$S256)*1+($Q256=$R256)*1+($Q256=$S256)*1+($R256=$S256)*1))*(6-(($T256=$U256)*1+($T256=$V256)*1+($T256=$W256)*1+($U256=$V256)*1+($U256=$W256)*1+($V256=$W256)*1))),"")</f>
        <v>-0.333333333333333</v>
      </c>
      <c r="AI256" s="0" t="n">
        <f aca="false">MATCH(MAX($K256:$O256),$K256:$O256,0)</f>
        <v>3</v>
      </c>
      <c r="AJ256" s="0" t="n">
        <f aca="false">IF(AI256&lt;&gt;$E256,1,0)</f>
        <v>1</v>
      </c>
      <c r="AK256" s="0" t="n">
        <f aca="false">IF(AJ256=1,INDEX($F256:$J256,AI256)/MAX($P256:$S256),"")</f>
        <v>0.637614678899083</v>
      </c>
      <c r="AL256" s="0" t="n">
        <f aca="false">IF(AJ256=1,1+COUNTIF($P256:$S256,"&gt;"&amp;INDEX($F256:$J256,AI256)),"")</f>
        <v>3</v>
      </c>
      <c r="AM256" s="0" t="n">
        <f aca="false">AVERAGE($P256:$S256)/MAX($P256:$S256)</f>
        <v>0.716743119266055</v>
      </c>
      <c r="AN256" s="0" t="n">
        <f aca="false">100-INDEX($F256:$J256,$E256)</f>
        <v>72.4</v>
      </c>
    </row>
    <row r="257" customFormat="false" ht="15" hidden="false" customHeight="false" outlineLevel="0" collapsed="false">
      <c r="A257" s="0" t="s">
        <v>40</v>
      </c>
      <c r="B257" s="0" t="n">
        <v>2017</v>
      </c>
      <c r="C257" s="0" t="s">
        <v>47</v>
      </c>
      <c r="D257" s="0" t="s">
        <v>44</v>
      </c>
      <c r="E257" s="0" t="n">
        <v>1</v>
      </c>
      <c r="F257" s="0" t="n">
        <v>22.7</v>
      </c>
      <c r="G257" s="0" t="n">
        <v>12.8</v>
      </c>
      <c r="H257" s="0" t="n">
        <v>14.8</v>
      </c>
      <c r="I257" s="0" t="n">
        <v>19.2</v>
      </c>
      <c r="J257" s="0" t="n">
        <v>20.5</v>
      </c>
      <c r="K257" s="0" t="n">
        <v>44.1096494753</v>
      </c>
      <c r="L257" s="0" t="n">
        <v>32.9960721381</v>
      </c>
      <c r="M257" s="0" t="n">
        <v>8.44983043504</v>
      </c>
      <c r="N257" s="0" t="n">
        <v>3.03211062561</v>
      </c>
      <c r="O257" s="0" t="n">
        <v>11.412337326</v>
      </c>
      <c r="P257" s="0" t="n">
        <f aca="false">INDEX($F257:$J257,IF(1&lt;$E257,1,1+1))</f>
        <v>12.8</v>
      </c>
      <c r="Q257" s="0" t="n">
        <f aca="false">INDEX($F257:$J257,IF(2&lt;$E257,2,2+1))</f>
        <v>14.8</v>
      </c>
      <c r="R257" s="0" t="n">
        <f aca="false">INDEX($F257:$J257,IF(3&lt;$E257,3,3+1))</f>
        <v>19.2</v>
      </c>
      <c r="S257" s="0" t="n">
        <f aca="false">INDEX($F257:$J257,IF(4&lt;$E257,4,4+1))</f>
        <v>20.5</v>
      </c>
      <c r="T257" s="0" t="n">
        <f aca="false">INDEX($K257:$O257,IF(1&lt;$E257,1,1+1))</f>
        <v>32.9960721381</v>
      </c>
      <c r="U257" s="0" t="n">
        <f aca="false">INDEX($K257:$O257,IF(2&lt;$E257,2,2+1))</f>
        <v>8.44983043504</v>
      </c>
      <c r="V257" s="0" t="n">
        <f aca="false">INDEX($K257:$O257,IF(3&lt;$E257,3,3+1))</f>
        <v>3.03211062561</v>
      </c>
      <c r="W257" s="0" t="n">
        <f aca="false">INDEX($K257:$O257,IF(4&lt;$E257,4,4+1))</f>
        <v>11.412337326</v>
      </c>
      <c r="X257" s="0" t="n">
        <f aca="false">1+COUNTIF($P257:$S257,"&gt;"&amp;$P257)+(COUNTIF($P257:$S257,$P257)-1)/2</f>
        <v>4</v>
      </c>
      <c r="Y257" s="0" t="n">
        <f aca="false">1+COUNTIF($P257:$S257,"&gt;"&amp;$Q257)+(COUNTIF($P257:$S257,$Q257)-1)/2</f>
        <v>3</v>
      </c>
      <c r="Z257" s="0" t="n">
        <f aca="false">1+COUNTIF($P257:$S257,"&gt;"&amp;$R257)+(COUNTIF($P257:$S257,$R257)-1)/2</f>
        <v>2</v>
      </c>
      <c r="AA257" s="0" t="n">
        <f aca="false">1+COUNTIF($P257:$S257,"&gt;"&amp;$S257)+(COUNTIF($P257:$S257,$S257)-1)/2</f>
        <v>1</v>
      </c>
      <c r="AB257" s="0" t="n">
        <f aca="false">1+COUNTIF($T257:$W257,"&gt;"&amp;$T257)+(COUNTIF($T257:$W257,$T257)-1)/2</f>
        <v>1</v>
      </c>
      <c r="AC257" s="0" t="n">
        <f aca="false">1+COUNTIF($T257:$W257,"&gt;"&amp;$U257)+(COUNTIF($T257:$W257,$U257)-1)/2</f>
        <v>3</v>
      </c>
      <c r="AD257" s="0" t="n">
        <f aca="false">1+COUNTIF($T257:$W257,"&gt;"&amp;$V257)+(COUNTIF($T257:$W257,$V257)-1)/2</f>
        <v>4</v>
      </c>
      <c r="AE257" s="0" t="n">
        <f aca="false">1+COUNTIF($T257:$W257,"&gt;"&amp;$W257)+(COUNTIF($T257:$W257,$W257)-1)/2</f>
        <v>2</v>
      </c>
      <c r="AF257" s="0" t="n">
        <f aca="false">IFERROR(CORREL($P257:$S257,$T257:$W257),"")</f>
        <v>-0.704569724423233</v>
      </c>
      <c r="AG257" s="0" t="n">
        <f aca="false">IFERROR(CORREL($X257:$AA257,$AB257:$AE257),"")</f>
        <v>-0.4</v>
      </c>
      <c r="AH257" s="0" t="n">
        <f aca="false">IFERROR((SIGN($P257-$Q257)*SIGN($T257-$U257)+SIGN($P257-$R257)*SIGN($T257-$V257)+SIGN($P257-$S257)*SIGN($T257-$W257)+SIGN($Q257-$R257)*SIGN($U257-$V257)+SIGN($Q257-$S257)*SIGN($U257-$W257)+SIGN($R257-$S257)*SIGN($V257-$W257))/SQRT((6-(($P257=$Q257)*1+($P257=$R257)*1+($P257=$S257)*1+($Q257=$R257)*1+($Q257=$S257)*1+($R257=$S257)*1))*(6-(($T257=$U257)*1+($T257=$V257)*1+($T257=$W257)*1+($U257=$V257)*1+($U257=$W257)*1+($V257=$W257)*1))),"")</f>
        <v>-0.333333333333333</v>
      </c>
      <c r="AI257" s="0" t="n">
        <f aca="false">MATCH(MAX($K257:$O257),$K257:$O257,0)</f>
        <v>1</v>
      </c>
      <c r="AJ257" s="0" t="n">
        <f aca="false">IF(AI257&lt;&gt;$E257,1,0)</f>
        <v>0</v>
      </c>
      <c r="AK257" s="0" t="str">
        <f aca="false">IF(AJ257=1,INDEX($F257:$J257,AI257)/MAX($P257:$S257),"")</f>
        <v/>
      </c>
      <c r="AL257" s="0" t="str">
        <f aca="false">IF(AJ257=1,1+COUNTIF($P257:$S257,"&gt;"&amp;INDEX($F257:$J257,AI257)),"")</f>
        <v/>
      </c>
      <c r="AM257" s="0" t="n">
        <f aca="false">AVERAGE($P257:$S257)/MAX($P257:$S257)</f>
        <v>0.820731707317073</v>
      </c>
      <c r="AN257" s="0" t="n">
        <f aca="false">100-INDEX($F257:$J257,$E257)</f>
        <v>77.3</v>
      </c>
    </row>
    <row r="258" customFormat="false" ht="15" hidden="false" customHeight="false" outlineLevel="0" collapsed="false">
      <c r="A258" s="0" t="s">
        <v>40</v>
      </c>
      <c r="B258" s="0" t="n">
        <v>2017</v>
      </c>
      <c r="C258" s="0" t="s">
        <v>47</v>
      </c>
      <c r="D258" s="0" t="s">
        <v>45</v>
      </c>
      <c r="E258" s="0" t="n">
        <v>2</v>
      </c>
      <c r="F258" s="0" t="n">
        <v>9.5</v>
      </c>
      <c r="G258" s="0" t="n">
        <v>38.5</v>
      </c>
      <c r="H258" s="0" t="n">
        <v>15.9</v>
      </c>
      <c r="I258" s="0" t="n">
        <v>17.3</v>
      </c>
      <c r="J258" s="0" t="n">
        <v>8.7</v>
      </c>
      <c r="K258" s="0" t="n">
        <v>9.96059306647</v>
      </c>
      <c r="L258" s="0" t="n">
        <v>35.6871217632</v>
      </c>
      <c r="M258" s="0" t="n">
        <v>8.6760095724</v>
      </c>
      <c r="N258" s="0" t="n">
        <v>38.7770633482</v>
      </c>
      <c r="O258" s="0" t="n">
        <v>6.8992122498</v>
      </c>
      <c r="P258" s="0" t="n">
        <f aca="false">INDEX($F258:$J258,IF(1&lt;$E258,1,1+1))</f>
        <v>9.5</v>
      </c>
      <c r="Q258" s="0" t="n">
        <f aca="false">INDEX($F258:$J258,IF(2&lt;$E258,2,2+1))</f>
        <v>15.9</v>
      </c>
      <c r="R258" s="0" t="n">
        <f aca="false">INDEX($F258:$J258,IF(3&lt;$E258,3,3+1))</f>
        <v>17.3</v>
      </c>
      <c r="S258" s="0" t="n">
        <f aca="false">INDEX($F258:$J258,IF(4&lt;$E258,4,4+1))</f>
        <v>8.7</v>
      </c>
      <c r="T258" s="0" t="n">
        <f aca="false">INDEX($K258:$O258,IF(1&lt;$E258,1,1+1))</f>
        <v>9.96059306647</v>
      </c>
      <c r="U258" s="0" t="n">
        <f aca="false">INDEX($K258:$O258,IF(2&lt;$E258,2,2+1))</f>
        <v>8.6760095724</v>
      </c>
      <c r="V258" s="0" t="n">
        <f aca="false">INDEX($K258:$O258,IF(3&lt;$E258,3,3+1))</f>
        <v>38.7770633482</v>
      </c>
      <c r="W258" s="0" t="n">
        <f aca="false">INDEX($K258:$O258,IF(4&lt;$E258,4,4+1))</f>
        <v>6.8992122498</v>
      </c>
      <c r="X258" s="0" t="n">
        <f aca="false">1+COUNTIF($P258:$S258,"&gt;"&amp;$P258)+(COUNTIF($P258:$S258,$P258)-1)/2</f>
        <v>3</v>
      </c>
      <c r="Y258" s="0" t="n">
        <f aca="false">1+COUNTIF($P258:$S258,"&gt;"&amp;$Q258)+(COUNTIF($P258:$S258,$Q258)-1)/2</f>
        <v>2</v>
      </c>
      <c r="Z258" s="0" t="n">
        <f aca="false">1+COUNTIF($P258:$S258,"&gt;"&amp;$R258)+(COUNTIF($P258:$S258,$R258)-1)/2</f>
        <v>1</v>
      </c>
      <c r="AA258" s="0" t="n">
        <f aca="false">1+COUNTIF($P258:$S258,"&gt;"&amp;$S258)+(COUNTIF($P258:$S258,$S258)-1)/2</f>
        <v>4</v>
      </c>
      <c r="AB258" s="0" t="n">
        <f aca="false">1+COUNTIF($T258:$W258,"&gt;"&amp;$T258)+(COUNTIF($T258:$W258,$T258)-1)/2</f>
        <v>2</v>
      </c>
      <c r="AC258" s="0" t="n">
        <f aca="false">1+COUNTIF($T258:$W258,"&gt;"&amp;$U258)+(COUNTIF($T258:$W258,$U258)-1)/2</f>
        <v>3</v>
      </c>
      <c r="AD258" s="0" t="n">
        <f aca="false">1+COUNTIF($T258:$W258,"&gt;"&amp;$V258)+(COUNTIF($T258:$W258,$V258)-1)/2</f>
        <v>1</v>
      </c>
      <c r="AE258" s="0" t="n">
        <f aca="false">1+COUNTIF($T258:$W258,"&gt;"&amp;$W258)+(COUNTIF($T258:$W258,$W258)-1)/2</f>
        <v>4</v>
      </c>
      <c r="AF258" s="0" t="n">
        <f aca="false">IFERROR(CORREL($P258:$S258,$T258:$W258),"")</f>
        <v>0.686751296543078</v>
      </c>
      <c r="AG258" s="0" t="n">
        <f aca="false">IFERROR(CORREL($X258:$AA258,$AB258:$AE258),"")</f>
        <v>0.8</v>
      </c>
      <c r="AH258" s="0" t="n">
        <f aca="false">IFERROR((SIGN($P258-$Q258)*SIGN($T258-$U258)+SIGN($P258-$R258)*SIGN($T258-$V258)+SIGN($P258-$S258)*SIGN($T258-$W258)+SIGN($Q258-$R258)*SIGN($U258-$V258)+SIGN($Q258-$S258)*SIGN($U258-$W258)+SIGN($R258-$S258)*SIGN($V258-$W258))/SQRT((6-(($P258=$Q258)*1+($P258=$R258)*1+($P258=$S258)*1+($Q258=$R258)*1+($Q258=$S258)*1+($R258=$S258)*1))*(6-(($T258=$U258)*1+($T258=$V258)*1+($T258=$W258)*1+($U258=$V258)*1+($U258=$W258)*1+($V258=$W258)*1))),"")</f>
        <v>0.666666666666667</v>
      </c>
      <c r="AI258" s="0" t="n">
        <f aca="false">MATCH(MAX($K258:$O258),$K258:$O258,0)</f>
        <v>4</v>
      </c>
      <c r="AJ258" s="0" t="n">
        <f aca="false">IF(AI258&lt;&gt;$E258,1,0)</f>
        <v>1</v>
      </c>
      <c r="AK258" s="0" t="n">
        <f aca="false">IF(AJ258=1,INDEX($F258:$J258,AI258)/MAX($P258:$S258),"")</f>
        <v>1</v>
      </c>
      <c r="AL258" s="0" t="n">
        <f aca="false">IF(AJ258=1,1+COUNTIF($P258:$S258,"&gt;"&amp;INDEX($F258:$J258,AI258)),"")</f>
        <v>1</v>
      </c>
      <c r="AM258" s="0" t="n">
        <f aca="false">AVERAGE($P258:$S258)/MAX($P258:$S258)</f>
        <v>0.742774566473988</v>
      </c>
      <c r="AN258" s="0" t="n">
        <f aca="false">100-INDEX($F258:$J258,$E258)</f>
        <v>61.5</v>
      </c>
    </row>
    <row r="259" customFormat="false" ht="15" hidden="false" customHeight="false" outlineLevel="0" collapsed="false">
      <c r="A259" s="0" t="s">
        <v>40</v>
      </c>
      <c r="B259" s="0" t="n">
        <v>2016</v>
      </c>
      <c r="C259" s="0" t="s">
        <v>48</v>
      </c>
      <c r="D259" s="0" t="s">
        <v>43</v>
      </c>
      <c r="E259" s="0" t="n">
        <v>1</v>
      </c>
      <c r="F259" s="0" t="n">
        <v>47.3</v>
      </c>
      <c r="G259" s="0" t="n">
        <v>7.6</v>
      </c>
      <c r="H259" s="0" t="n">
        <v>7.3</v>
      </c>
      <c r="I259" s="0" t="n">
        <v>8.4</v>
      </c>
      <c r="J259" s="0" t="n">
        <v>12.3</v>
      </c>
      <c r="K259" s="0" t="n">
        <v>21.9779997612</v>
      </c>
      <c r="L259" s="0" t="n">
        <v>3.33015236368</v>
      </c>
      <c r="M259" s="0" t="n">
        <v>18.3078209958</v>
      </c>
      <c r="N259" s="0" t="n">
        <v>27.9018366505</v>
      </c>
      <c r="O259" s="0" t="n">
        <v>28.4821902289</v>
      </c>
      <c r="P259" s="0" t="n">
        <f aca="false">INDEX($F259:$J259,IF(1&lt;$E259,1,1+1))</f>
        <v>7.6</v>
      </c>
      <c r="Q259" s="0" t="n">
        <f aca="false">INDEX($F259:$J259,IF(2&lt;$E259,2,2+1))</f>
        <v>7.3</v>
      </c>
      <c r="R259" s="0" t="n">
        <f aca="false">INDEX($F259:$J259,IF(3&lt;$E259,3,3+1))</f>
        <v>8.4</v>
      </c>
      <c r="S259" s="0" t="n">
        <f aca="false">INDEX($F259:$J259,IF(4&lt;$E259,4,4+1))</f>
        <v>12.3</v>
      </c>
      <c r="T259" s="0" t="n">
        <f aca="false">INDEX($K259:$O259,IF(1&lt;$E259,1,1+1))</f>
        <v>3.33015236368</v>
      </c>
      <c r="U259" s="0" t="n">
        <f aca="false">INDEX($K259:$O259,IF(2&lt;$E259,2,2+1))</f>
        <v>18.3078209958</v>
      </c>
      <c r="V259" s="0" t="n">
        <f aca="false">INDEX($K259:$O259,IF(3&lt;$E259,3,3+1))</f>
        <v>27.9018366505</v>
      </c>
      <c r="W259" s="0" t="n">
        <f aca="false">INDEX($K259:$O259,IF(4&lt;$E259,4,4+1))</f>
        <v>28.4821902289</v>
      </c>
      <c r="X259" s="0" t="n">
        <f aca="false">1+COUNTIF($P259:$S259,"&gt;"&amp;$P259)+(COUNTIF($P259:$S259,$P259)-1)/2</f>
        <v>3</v>
      </c>
      <c r="Y259" s="0" t="n">
        <f aca="false">1+COUNTIF($P259:$S259,"&gt;"&amp;$Q259)+(COUNTIF($P259:$S259,$Q259)-1)/2</f>
        <v>4</v>
      </c>
      <c r="Z259" s="0" t="n">
        <f aca="false">1+COUNTIF($P259:$S259,"&gt;"&amp;$R259)+(COUNTIF($P259:$S259,$R259)-1)/2</f>
        <v>2</v>
      </c>
      <c r="AA259" s="0" t="n">
        <f aca="false">1+COUNTIF($P259:$S259,"&gt;"&amp;$S259)+(COUNTIF($P259:$S259,$S259)-1)/2</f>
        <v>1</v>
      </c>
      <c r="AB259" s="0" t="n">
        <f aca="false">1+COUNTIF($T259:$W259,"&gt;"&amp;$T259)+(COUNTIF($T259:$W259,$T259)-1)/2</f>
        <v>4</v>
      </c>
      <c r="AC259" s="0" t="n">
        <f aca="false">1+COUNTIF($T259:$W259,"&gt;"&amp;$U259)+(COUNTIF($T259:$W259,$U259)-1)/2</f>
        <v>3</v>
      </c>
      <c r="AD259" s="0" t="n">
        <f aca="false">1+COUNTIF($T259:$W259,"&gt;"&amp;$V259)+(COUNTIF($T259:$W259,$V259)-1)/2</f>
        <v>2</v>
      </c>
      <c r="AE259" s="0" t="n">
        <f aca="false">1+COUNTIF($T259:$W259,"&gt;"&amp;$W259)+(COUNTIF($T259:$W259,$W259)-1)/2</f>
        <v>1</v>
      </c>
      <c r="AF259" s="0" t="n">
        <f aca="false">IFERROR(CORREL($P259:$S259,$T259:$W259),"")</f>
        <v>0.604087554366225</v>
      </c>
      <c r="AG259" s="0" t="n">
        <f aca="false">IFERROR(CORREL($X259:$AA259,$AB259:$AE259),"")</f>
        <v>0.8</v>
      </c>
      <c r="AH259" s="0" t="n">
        <f aca="false">IFERROR((SIGN($P259-$Q259)*SIGN($T259-$U259)+SIGN($P259-$R259)*SIGN($T259-$V259)+SIGN($P259-$S259)*SIGN($T259-$W259)+SIGN($Q259-$R259)*SIGN($U259-$V259)+SIGN($Q259-$S259)*SIGN($U259-$W259)+SIGN($R259-$S259)*SIGN($V259-$W259))/SQRT((6-(($P259=$Q259)*1+($P259=$R259)*1+($P259=$S259)*1+($Q259=$R259)*1+($Q259=$S259)*1+($R259=$S259)*1))*(6-(($T259=$U259)*1+($T259=$V259)*1+($T259=$W259)*1+($U259=$V259)*1+($U259=$W259)*1+($V259=$W259)*1))),"")</f>
        <v>0.666666666666667</v>
      </c>
      <c r="AI259" s="0" t="n">
        <f aca="false">MATCH(MAX($K259:$O259),$K259:$O259,0)</f>
        <v>5</v>
      </c>
      <c r="AJ259" s="0" t="n">
        <f aca="false">IF(AI259&lt;&gt;$E259,1,0)</f>
        <v>1</v>
      </c>
      <c r="AK259" s="0" t="n">
        <f aca="false">IF(AJ259=1,INDEX($F259:$J259,AI259)/MAX($P259:$S259),"")</f>
        <v>1</v>
      </c>
      <c r="AL259" s="0" t="n">
        <f aca="false">IF(AJ259=1,1+COUNTIF($P259:$S259,"&gt;"&amp;INDEX($F259:$J259,AI259)),"")</f>
        <v>1</v>
      </c>
      <c r="AM259" s="0" t="n">
        <f aca="false">AVERAGE($P259:$S259)/MAX($P259:$S259)</f>
        <v>0.723577235772358</v>
      </c>
      <c r="AN259" s="0" t="n">
        <f aca="false">100-INDEX($F259:$J259,$E259)</f>
        <v>52.7</v>
      </c>
    </row>
    <row r="260" customFormat="false" ht="15" hidden="false" customHeight="false" outlineLevel="0" collapsed="false">
      <c r="A260" s="0" t="s">
        <v>40</v>
      </c>
      <c r="B260" s="0" t="n">
        <v>2016</v>
      </c>
      <c r="C260" s="0" t="s">
        <v>48</v>
      </c>
      <c r="D260" s="0" t="s">
        <v>44</v>
      </c>
      <c r="E260" s="0" t="n">
        <v>2</v>
      </c>
      <c r="F260" s="0" t="n">
        <v>4.9</v>
      </c>
      <c r="G260" s="0" t="n">
        <v>51.6</v>
      </c>
      <c r="H260" s="0" t="n">
        <v>8.2</v>
      </c>
      <c r="I260" s="0" t="n">
        <v>11.2</v>
      </c>
      <c r="J260" s="0" t="n">
        <v>7.2</v>
      </c>
      <c r="K260" s="0" t="n">
        <v>0.804036863481</v>
      </c>
      <c r="L260" s="0" t="n">
        <v>43.3792604605</v>
      </c>
      <c r="M260" s="0" t="n">
        <v>1.51470154283</v>
      </c>
      <c r="N260" s="0" t="n">
        <v>35.806101711</v>
      </c>
      <c r="O260" s="0" t="n">
        <v>18.4958994222</v>
      </c>
      <c r="P260" s="0" t="n">
        <f aca="false">INDEX($F260:$J260,IF(1&lt;$E260,1,1+1))</f>
        <v>4.9</v>
      </c>
      <c r="Q260" s="0" t="n">
        <f aca="false">INDEX($F260:$J260,IF(2&lt;$E260,2,2+1))</f>
        <v>8.2</v>
      </c>
      <c r="R260" s="0" t="n">
        <f aca="false">INDEX($F260:$J260,IF(3&lt;$E260,3,3+1))</f>
        <v>11.2</v>
      </c>
      <c r="S260" s="0" t="n">
        <f aca="false">INDEX($F260:$J260,IF(4&lt;$E260,4,4+1))</f>
        <v>7.2</v>
      </c>
      <c r="T260" s="0" t="n">
        <f aca="false">INDEX($K260:$O260,IF(1&lt;$E260,1,1+1))</f>
        <v>0.804036863481</v>
      </c>
      <c r="U260" s="0" t="n">
        <f aca="false">INDEX($K260:$O260,IF(2&lt;$E260,2,2+1))</f>
        <v>1.51470154283</v>
      </c>
      <c r="V260" s="0" t="n">
        <f aca="false">INDEX($K260:$O260,IF(3&lt;$E260,3,3+1))</f>
        <v>35.806101711</v>
      </c>
      <c r="W260" s="0" t="n">
        <f aca="false">INDEX($K260:$O260,IF(4&lt;$E260,4,4+1))</f>
        <v>18.4958994222</v>
      </c>
      <c r="X260" s="0" t="n">
        <f aca="false">1+COUNTIF($P260:$S260,"&gt;"&amp;$P260)+(COUNTIF($P260:$S260,$P260)-1)/2</f>
        <v>4</v>
      </c>
      <c r="Y260" s="0" t="n">
        <f aca="false">1+COUNTIF($P260:$S260,"&gt;"&amp;$Q260)+(COUNTIF($P260:$S260,$Q260)-1)/2</f>
        <v>2</v>
      </c>
      <c r="Z260" s="0" t="n">
        <f aca="false">1+COUNTIF($P260:$S260,"&gt;"&amp;$R260)+(COUNTIF($P260:$S260,$R260)-1)/2</f>
        <v>1</v>
      </c>
      <c r="AA260" s="0" t="n">
        <f aca="false">1+COUNTIF($P260:$S260,"&gt;"&amp;$S260)+(COUNTIF($P260:$S260,$S260)-1)/2</f>
        <v>3</v>
      </c>
      <c r="AB260" s="0" t="n">
        <f aca="false">1+COUNTIF($T260:$W260,"&gt;"&amp;$T260)+(COUNTIF($T260:$W260,$T260)-1)/2</f>
        <v>4</v>
      </c>
      <c r="AC260" s="0" t="n">
        <f aca="false">1+COUNTIF($T260:$W260,"&gt;"&amp;$U260)+(COUNTIF($T260:$W260,$U260)-1)/2</f>
        <v>3</v>
      </c>
      <c r="AD260" s="0" t="n">
        <f aca="false">1+COUNTIF($T260:$W260,"&gt;"&amp;$V260)+(COUNTIF($T260:$W260,$V260)-1)/2</f>
        <v>1</v>
      </c>
      <c r="AE260" s="0" t="n">
        <f aca="false">1+COUNTIF($T260:$W260,"&gt;"&amp;$W260)+(COUNTIF($T260:$W260,$W260)-1)/2</f>
        <v>2</v>
      </c>
      <c r="AF260" s="0" t="n">
        <f aca="false">IFERROR(CORREL($P260:$S260,$T260:$W260),"")</f>
        <v>0.805189591674905</v>
      </c>
      <c r="AG260" s="0" t="n">
        <f aca="false">IFERROR(CORREL($X260:$AA260,$AB260:$AE260),"")</f>
        <v>0.8</v>
      </c>
      <c r="AH260" s="0" t="n">
        <f aca="false">IFERROR((SIGN($P260-$Q260)*SIGN($T260-$U260)+SIGN($P260-$R260)*SIGN($T260-$V260)+SIGN($P260-$S260)*SIGN($T260-$W260)+SIGN($Q260-$R260)*SIGN($U260-$V260)+SIGN($Q260-$S260)*SIGN($U260-$W260)+SIGN($R260-$S260)*SIGN($V260-$W260))/SQRT((6-(($P260=$Q260)*1+($P260=$R260)*1+($P260=$S260)*1+($Q260=$R260)*1+($Q260=$S260)*1+($R260=$S260)*1))*(6-(($T260=$U260)*1+($T260=$V260)*1+($T260=$W260)*1+($U260=$V260)*1+($U260=$W260)*1+($V260=$W260)*1))),"")</f>
        <v>0.666666666666667</v>
      </c>
      <c r="AI260" s="0" t="n">
        <f aca="false">MATCH(MAX($K260:$O260),$K260:$O260,0)</f>
        <v>2</v>
      </c>
      <c r="AJ260" s="0" t="n">
        <f aca="false">IF(AI260&lt;&gt;$E260,1,0)</f>
        <v>0</v>
      </c>
      <c r="AK260" s="0" t="str">
        <f aca="false">IF(AJ260=1,INDEX($F260:$J260,AI260)/MAX($P260:$S260),"")</f>
        <v/>
      </c>
      <c r="AL260" s="0" t="str">
        <f aca="false">IF(AJ260=1,1+COUNTIF($P260:$S260,"&gt;"&amp;INDEX($F260:$J260,AI260)),"")</f>
        <v/>
      </c>
      <c r="AM260" s="0" t="n">
        <f aca="false">AVERAGE($P260:$S260)/MAX($P260:$S260)</f>
        <v>0.703125</v>
      </c>
      <c r="AN260" s="0" t="n">
        <f aca="false">100-INDEX($F260:$J260,$E260)</f>
        <v>48.4</v>
      </c>
    </row>
    <row r="261" customFormat="false" ht="15" hidden="false" customHeight="false" outlineLevel="0" collapsed="false">
      <c r="A261" s="0" t="s">
        <v>40</v>
      </c>
      <c r="B261" s="0" t="n">
        <v>2016</v>
      </c>
      <c r="C261" s="0" t="s">
        <v>48</v>
      </c>
      <c r="D261" s="0" t="s">
        <v>45</v>
      </c>
      <c r="E261" s="0" t="n">
        <v>2</v>
      </c>
      <c r="F261" s="0" t="n">
        <v>12.7</v>
      </c>
      <c r="G261" s="0" t="n">
        <v>50.7</v>
      </c>
      <c r="H261" s="0" t="n">
        <v>6.1</v>
      </c>
      <c r="I261" s="0" t="n">
        <v>5.2</v>
      </c>
      <c r="J261" s="0" t="n">
        <v>8.2</v>
      </c>
      <c r="K261" s="0" t="n">
        <v>6.03017806484</v>
      </c>
      <c r="L261" s="0" t="n">
        <v>85.4969236058</v>
      </c>
      <c r="M261" s="0" t="n">
        <v>6.10969602685</v>
      </c>
      <c r="N261" s="0" t="n">
        <v>2.13687216559</v>
      </c>
      <c r="O261" s="0" t="n">
        <v>0.226330136905</v>
      </c>
      <c r="P261" s="0" t="n">
        <f aca="false">INDEX($F261:$J261,IF(1&lt;$E261,1,1+1))</f>
        <v>12.7</v>
      </c>
      <c r="Q261" s="0" t="n">
        <f aca="false">INDEX($F261:$J261,IF(2&lt;$E261,2,2+1))</f>
        <v>6.1</v>
      </c>
      <c r="R261" s="0" t="n">
        <f aca="false">INDEX($F261:$J261,IF(3&lt;$E261,3,3+1))</f>
        <v>5.2</v>
      </c>
      <c r="S261" s="0" t="n">
        <f aca="false">INDEX($F261:$J261,IF(4&lt;$E261,4,4+1))</f>
        <v>8.2</v>
      </c>
      <c r="T261" s="0" t="n">
        <f aca="false">INDEX($K261:$O261,IF(1&lt;$E261,1,1+1))</f>
        <v>6.03017806484</v>
      </c>
      <c r="U261" s="0" t="n">
        <f aca="false">INDEX($K261:$O261,IF(2&lt;$E261,2,2+1))</f>
        <v>6.10969602685</v>
      </c>
      <c r="V261" s="0" t="n">
        <f aca="false">INDEX($K261:$O261,IF(3&lt;$E261,3,3+1))</f>
        <v>2.13687216559</v>
      </c>
      <c r="W261" s="0" t="n">
        <f aca="false">INDEX($K261:$O261,IF(4&lt;$E261,4,4+1))</f>
        <v>0.226330136905</v>
      </c>
      <c r="X261" s="0" t="n">
        <f aca="false">1+COUNTIF($P261:$S261,"&gt;"&amp;$P261)+(COUNTIF($P261:$S261,$P261)-1)/2</f>
        <v>1</v>
      </c>
      <c r="Y261" s="0" t="n">
        <f aca="false">1+COUNTIF($P261:$S261,"&gt;"&amp;$Q261)+(COUNTIF($P261:$S261,$Q261)-1)/2</f>
        <v>3</v>
      </c>
      <c r="Z261" s="0" t="n">
        <f aca="false">1+COUNTIF($P261:$S261,"&gt;"&amp;$R261)+(COUNTIF($P261:$S261,$R261)-1)/2</f>
        <v>4</v>
      </c>
      <c r="AA261" s="0" t="n">
        <f aca="false">1+COUNTIF($P261:$S261,"&gt;"&amp;$S261)+(COUNTIF($P261:$S261,$S261)-1)/2</f>
        <v>2</v>
      </c>
      <c r="AB261" s="0" t="n">
        <f aca="false">1+COUNTIF($T261:$W261,"&gt;"&amp;$T261)+(COUNTIF($T261:$W261,$T261)-1)/2</f>
        <v>2</v>
      </c>
      <c r="AC261" s="0" t="n">
        <f aca="false">1+COUNTIF($T261:$W261,"&gt;"&amp;$U261)+(COUNTIF($T261:$W261,$U261)-1)/2</f>
        <v>1</v>
      </c>
      <c r="AD261" s="0" t="n">
        <f aca="false">1+COUNTIF($T261:$W261,"&gt;"&amp;$V261)+(COUNTIF($T261:$W261,$V261)-1)/2</f>
        <v>3</v>
      </c>
      <c r="AE261" s="0" t="n">
        <f aca="false">1+COUNTIF($T261:$W261,"&gt;"&amp;$W261)+(COUNTIF($T261:$W261,$W261)-1)/2</f>
        <v>4</v>
      </c>
      <c r="AF261" s="0" t="n">
        <f aca="false">IFERROR(CORREL($P261:$S261,$T261:$W261),"")</f>
        <v>0.342685865623289</v>
      </c>
      <c r="AG261" s="0" t="n">
        <f aca="false">IFERROR(CORREL($X261:$AA261,$AB261:$AE261),"")</f>
        <v>0</v>
      </c>
      <c r="AH261" s="0" t="n">
        <f aca="false">IFERROR((SIGN($P261-$Q261)*SIGN($T261-$U261)+SIGN($P261-$R261)*SIGN($T261-$V261)+SIGN($P261-$S261)*SIGN($T261-$W261)+SIGN($Q261-$R261)*SIGN($U261-$V261)+SIGN($Q261-$S261)*SIGN($U261-$W261)+SIGN($R261-$S261)*SIGN($V261-$W261))/SQRT((6-(($P261=$Q261)*1+($P261=$R261)*1+($P261=$S261)*1+($Q261=$R261)*1+($Q261=$S261)*1+($R261=$S261)*1))*(6-(($T261=$U261)*1+($T261=$V261)*1+($T261=$W261)*1+($U261=$V261)*1+($U261=$W261)*1+($V261=$W261)*1))),"")</f>
        <v>0</v>
      </c>
      <c r="AI261" s="0" t="n">
        <f aca="false">MATCH(MAX($K261:$O261),$K261:$O261,0)</f>
        <v>2</v>
      </c>
      <c r="AJ261" s="0" t="n">
        <f aca="false">IF(AI261&lt;&gt;$E261,1,0)</f>
        <v>0</v>
      </c>
      <c r="AK261" s="0" t="str">
        <f aca="false">IF(AJ261=1,INDEX($F261:$J261,AI261)/MAX($P261:$S261),"")</f>
        <v/>
      </c>
      <c r="AL261" s="0" t="str">
        <f aca="false">IF(AJ261=1,1+COUNTIF($P261:$S261,"&gt;"&amp;INDEX($F261:$J261,AI261)),"")</f>
        <v/>
      </c>
      <c r="AM261" s="0" t="n">
        <f aca="false">AVERAGE($P261:$S261)/MAX($P261:$S261)</f>
        <v>0.633858267716535</v>
      </c>
      <c r="AN261" s="0" t="n">
        <f aca="false">100-INDEX($F261:$J261,$E261)</f>
        <v>49.3</v>
      </c>
    </row>
    <row r="262" customFormat="false" ht="15" hidden="false" customHeight="false" outlineLevel="0" collapsed="false">
      <c r="A262" s="0" t="s">
        <v>40</v>
      </c>
      <c r="B262" s="0" t="n">
        <v>2016</v>
      </c>
      <c r="C262" s="0" t="s">
        <v>48</v>
      </c>
      <c r="D262" s="0" t="s">
        <v>53</v>
      </c>
      <c r="E262" s="0" t="n">
        <v>1</v>
      </c>
      <c r="F262" s="0" t="n">
        <v>50.7</v>
      </c>
      <c r="G262" s="0" t="n">
        <v>6.6</v>
      </c>
      <c r="H262" s="0" t="n">
        <v>11.9</v>
      </c>
      <c r="I262" s="0" t="n">
        <v>7.9</v>
      </c>
      <c r="J262" s="0" t="n">
        <v>5.6</v>
      </c>
      <c r="K262" s="0" t="n">
        <v>15.800650302</v>
      </c>
      <c r="L262" s="0" t="n">
        <v>11.4677625372</v>
      </c>
      <c r="M262" s="0" t="n">
        <v>44.0299112457</v>
      </c>
      <c r="N262" s="0" t="n">
        <v>8.60462328101</v>
      </c>
      <c r="O262" s="0" t="n">
        <v>20.0970526341</v>
      </c>
      <c r="P262" s="0" t="n">
        <f aca="false">INDEX($F262:$J262,IF(1&lt;$E262,1,1+1))</f>
        <v>6.6</v>
      </c>
      <c r="Q262" s="0" t="n">
        <f aca="false">INDEX($F262:$J262,IF(2&lt;$E262,2,2+1))</f>
        <v>11.9</v>
      </c>
      <c r="R262" s="0" t="n">
        <f aca="false">INDEX($F262:$J262,IF(3&lt;$E262,3,3+1))</f>
        <v>7.9</v>
      </c>
      <c r="S262" s="0" t="n">
        <f aca="false">INDEX($F262:$J262,IF(4&lt;$E262,4,4+1))</f>
        <v>5.6</v>
      </c>
      <c r="T262" s="0" t="n">
        <f aca="false">INDEX($K262:$O262,IF(1&lt;$E262,1,1+1))</f>
        <v>11.4677625372</v>
      </c>
      <c r="U262" s="0" t="n">
        <f aca="false">INDEX($K262:$O262,IF(2&lt;$E262,2,2+1))</f>
        <v>44.0299112457</v>
      </c>
      <c r="V262" s="0" t="n">
        <f aca="false">INDEX($K262:$O262,IF(3&lt;$E262,3,3+1))</f>
        <v>8.60462328101</v>
      </c>
      <c r="W262" s="0" t="n">
        <f aca="false">INDEX($K262:$O262,IF(4&lt;$E262,4,4+1))</f>
        <v>20.0970526341</v>
      </c>
      <c r="X262" s="0" t="n">
        <f aca="false">1+COUNTIF($P262:$S262,"&gt;"&amp;$P262)+(COUNTIF($P262:$S262,$P262)-1)/2</f>
        <v>3</v>
      </c>
      <c r="Y262" s="0" t="n">
        <f aca="false">1+COUNTIF($P262:$S262,"&gt;"&amp;$Q262)+(COUNTIF($P262:$S262,$Q262)-1)/2</f>
        <v>1</v>
      </c>
      <c r="Z262" s="0" t="n">
        <f aca="false">1+COUNTIF($P262:$S262,"&gt;"&amp;$R262)+(COUNTIF($P262:$S262,$R262)-1)/2</f>
        <v>2</v>
      </c>
      <c r="AA262" s="0" t="n">
        <f aca="false">1+COUNTIF($P262:$S262,"&gt;"&amp;$S262)+(COUNTIF($P262:$S262,$S262)-1)/2</f>
        <v>4</v>
      </c>
      <c r="AB262" s="0" t="n">
        <f aca="false">1+COUNTIF($T262:$W262,"&gt;"&amp;$T262)+(COUNTIF($T262:$W262,$T262)-1)/2</f>
        <v>3</v>
      </c>
      <c r="AC262" s="0" t="n">
        <f aca="false">1+COUNTIF($T262:$W262,"&gt;"&amp;$U262)+(COUNTIF($T262:$W262,$U262)-1)/2</f>
        <v>1</v>
      </c>
      <c r="AD262" s="0" t="n">
        <f aca="false">1+COUNTIF($T262:$W262,"&gt;"&amp;$V262)+(COUNTIF($T262:$W262,$V262)-1)/2</f>
        <v>4</v>
      </c>
      <c r="AE262" s="0" t="n">
        <f aca="false">1+COUNTIF($T262:$W262,"&gt;"&amp;$W262)+(COUNTIF($T262:$W262,$W262)-1)/2</f>
        <v>2</v>
      </c>
      <c r="AF262" s="0" t="n">
        <f aca="false">IFERROR(CORREL($P262:$S262,$T262:$W262),"")</f>
        <v>0.798890622083216</v>
      </c>
      <c r="AG262" s="0" t="n">
        <f aca="false">IFERROR(CORREL($X262:$AA262,$AB262:$AE262),"")</f>
        <v>0.2</v>
      </c>
      <c r="AH262" s="0" t="n">
        <f aca="false">IFERROR((SIGN($P262-$Q262)*SIGN($T262-$U262)+SIGN($P262-$R262)*SIGN($T262-$V262)+SIGN($P262-$S262)*SIGN($T262-$W262)+SIGN($Q262-$R262)*SIGN($U262-$V262)+SIGN($Q262-$S262)*SIGN($U262-$W262)+SIGN($R262-$S262)*SIGN($V262-$W262))/SQRT((6-(($P262=$Q262)*1+($P262=$R262)*1+($P262=$S262)*1+($Q262=$R262)*1+($Q262=$S262)*1+($R262=$S262)*1))*(6-(($T262=$U262)*1+($T262=$V262)*1+($T262=$W262)*1+($U262=$V262)*1+($U262=$W262)*1+($V262=$W262)*1))),"")</f>
        <v>0</v>
      </c>
      <c r="AI262" s="0" t="n">
        <f aca="false">MATCH(MAX($K262:$O262),$K262:$O262,0)</f>
        <v>3</v>
      </c>
      <c r="AJ262" s="0" t="n">
        <f aca="false">IF(AI262&lt;&gt;$E262,1,0)</f>
        <v>1</v>
      </c>
      <c r="AK262" s="0" t="n">
        <f aca="false">IF(AJ262=1,INDEX($F262:$J262,AI262)/MAX($P262:$S262),"")</f>
        <v>1</v>
      </c>
      <c r="AL262" s="0" t="n">
        <f aca="false">IF(AJ262=1,1+COUNTIF($P262:$S262,"&gt;"&amp;INDEX($F262:$J262,AI262)),"")</f>
        <v>1</v>
      </c>
      <c r="AM262" s="0" t="n">
        <f aca="false">AVERAGE($P262:$S262)/MAX($P262:$S262)</f>
        <v>0.672268907563025</v>
      </c>
      <c r="AN262" s="0" t="n">
        <f aca="false">100-INDEX($F262:$J262,$E262)</f>
        <v>49.3</v>
      </c>
    </row>
    <row r="263" customFormat="false" ht="15" hidden="false" customHeight="false" outlineLevel="0" collapsed="false">
      <c r="A263" s="0" t="s">
        <v>40</v>
      </c>
      <c r="B263" s="0" t="n">
        <v>2016</v>
      </c>
      <c r="C263" s="0" t="s">
        <v>49</v>
      </c>
      <c r="D263" s="0" t="s">
        <v>42</v>
      </c>
      <c r="E263" s="0" t="n">
        <v>5</v>
      </c>
      <c r="F263" s="0" t="n">
        <v>12.7</v>
      </c>
      <c r="G263" s="0" t="n">
        <v>5.1</v>
      </c>
      <c r="H263" s="0" t="n">
        <v>6.7</v>
      </c>
      <c r="I263" s="0" t="n">
        <v>4.4</v>
      </c>
      <c r="J263" s="0" t="n">
        <v>63.2</v>
      </c>
      <c r="K263" s="0" t="n">
        <v>1.04825682052</v>
      </c>
      <c r="L263" s="0" t="n">
        <v>2.82273211027</v>
      </c>
      <c r="M263" s="0" t="n">
        <v>78.1834973891</v>
      </c>
      <c r="N263" s="0" t="n">
        <v>0.0516600273386</v>
      </c>
      <c r="O263" s="0" t="n">
        <v>17.8938536528</v>
      </c>
      <c r="P263" s="0" t="n">
        <f aca="false">INDEX($F263:$J263,IF(1&lt;$E263,1,1+1))</f>
        <v>12.7</v>
      </c>
      <c r="Q263" s="0" t="n">
        <f aca="false">INDEX($F263:$J263,IF(2&lt;$E263,2,2+1))</f>
        <v>5.1</v>
      </c>
      <c r="R263" s="0" t="n">
        <f aca="false">INDEX($F263:$J263,IF(3&lt;$E263,3,3+1))</f>
        <v>6.7</v>
      </c>
      <c r="S263" s="0" t="n">
        <f aca="false">INDEX($F263:$J263,IF(4&lt;$E263,4,4+1))</f>
        <v>4.4</v>
      </c>
      <c r="T263" s="0" t="n">
        <f aca="false">INDEX($K263:$O263,IF(1&lt;$E263,1,1+1))</f>
        <v>1.04825682052</v>
      </c>
      <c r="U263" s="0" t="n">
        <f aca="false">INDEX($K263:$O263,IF(2&lt;$E263,2,2+1))</f>
        <v>2.82273211027</v>
      </c>
      <c r="V263" s="0" t="n">
        <f aca="false">INDEX($K263:$O263,IF(3&lt;$E263,3,3+1))</f>
        <v>78.1834973891</v>
      </c>
      <c r="W263" s="0" t="n">
        <f aca="false">INDEX($K263:$O263,IF(4&lt;$E263,4,4+1))</f>
        <v>0.0516600273386</v>
      </c>
      <c r="X263" s="0" t="n">
        <f aca="false">1+COUNTIF($P263:$S263,"&gt;"&amp;$P263)+(COUNTIF($P263:$S263,$P263)-1)/2</f>
        <v>1</v>
      </c>
      <c r="Y263" s="0" t="n">
        <f aca="false">1+COUNTIF($P263:$S263,"&gt;"&amp;$Q263)+(COUNTIF($P263:$S263,$Q263)-1)/2</f>
        <v>3</v>
      </c>
      <c r="Z263" s="0" t="n">
        <f aca="false">1+COUNTIF($P263:$S263,"&gt;"&amp;$R263)+(COUNTIF($P263:$S263,$R263)-1)/2</f>
        <v>2</v>
      </c>
      <c r="AA263" s="0" t="n">
        <f aca="false">1+COUNTIF($P263:$S263,"&gt;"&amp;$S263)+(COUNTIF($P263:$S263,$S263)-1)/2</f>
        <v>4</v>
      </c>
      <c r="AB263" s="0" t="n">
        <f aca="false">1+COUNTIF($T263:$W263,"&gt;"&amp;$T263)+(COUNTIF($T263:$W263,$T263)-1)/2</f>
        <v>3</v>
      </c>
      <c r="AC263" s="0" t="n">
        <f aca="false">1+COUNTIF($T263:$W263,"&gt;"&amp;$U263)+(COUNTIF($T263:$W263,$U263)-1)/2</f>
        <v>2</v>
      </c>
      <c r="AD263" s="0" t="n">
        <f aca="false">1+COUNTIF($T263:$W263,"&gt;"&amp;$V263)+(COUNTIF($T263:$W263,$V263)-1)/2</f>
        <v>1</v>
      </c>
      <c r="AE263" s="0" t="n">
        <f aca="false">1+COUNTIF($T263:$W263,"&gt;"&amp;$W263)+(COUNTIF($T263:$W263,$W263)-1)/2</f>
        <v>4</v>
      </c>
      <c r="AF263" s="0" t="n">
        <f aca="false">IFERROR(CORREL($P263:$S263,$T263:$W263),"")</f>
        <v>-0.095185220385041</v>
      </c>
      <c r="AG263" s="0" t="n">
        <f aca="false">IFERROR(CORREL($X263:$AA263,$AB263:$AE263),"")</f>
        <v>0.4</v>
      </c>
      <c r="AH263" s="0" t="n">
        <f aca="false">IFERROR((SIGN($P263-$Q263)*SIGN($T263-$U263)+SIGN($P263-$R263)*SIGN($T263-$V263)+SIGN($P263-$S263)*SIGN($T263-$W263)+SIGN($Q263-$R263)*SIGN($U263-$V263)+SIGN($Q263-$S263)*SIGN($U263-$W263)+SIGN($R263-$S263)*SIGN($V263-$W263))/SQRT((6-(($P263=$Q263)*1+($P263=$R263)*1+($P263=$S263)*1+($Q263=$R263)*1+($Q263=$S263)*1+($R263=$S263)*1))*(6-(($T263=$U263)*1+($T263=$V263)*1+($T263=$W263)*1+($U263=$V263)*1+($U263=$W263)*1+($V263=$W263)*1))),"")</f>
        <v>0.333333333333333</v>
      </c>
      <c r="AI263" s="0" t="n">
        <f aca="false">MATCH(MAX($K263:$O263),$K263:$O263,0)</f>
        <v>3</v>
      </c>
      <c r="AJ263" s="0" t="n">
        <f aca="false">IF(AI263&lt;&gt;$E263,1,0)</f>
        <v>1</v>
      </c>
      <c r="AK263" s="0" t="n">
        <f aca="false">IF(AJ263=1,INDEX($F263:$J263,AI263)/MAX($P263:$S263),"")</f>
        <v>0.52755905511811</v>
      </c>
      <c r="AL263" s="0" t="n">
        <f aca="false">IF(AJ263=1,1+COUNTIF($P263:$S263,"&gt;"&amp;INDEX($F263:$J263,AI263)),"")</f>
        <v>2</v>
      </c>
      <c r="AM263" s="0" t="n">
        <f aca="false">AVERAGE($P263:$S263)/MAX($P263:$S263)</f>
        <v>0.568897637795276</v>
      </c>
      <c r="AN263" s="0" t="n">
        <f aca="false">100-INDEX($F263:$J263,$E263)</f>
        <v>36.8</v>
      </c>
    </row>
    <row r="264" customFormat="false" ht="15" hidden="false" customHeight="false" outlineLevel="0" collapsed="false">
      <c r="A264" s="0" t="s">
        <v>40</v>
      </c>
      <c r="B264" s="0" t="n">
        <v>2016</v>
      </c>
      <c r="C264" s="0" t="s">
        <v>49</v>
      </c>
      <c r="D264" s="0" t="s">
        <v>43</v>
      </c>
      <c r="E264" s="0" t="n">
        <v>3</v>
      </c>
      <c r="F264" s="0" t="n">
        <v>14</v>
      </c>
      <c r="G264" s="0" t="n">
        <v>15.4</v>
      </c>
      <c r="H264" s="0" t="n">
        <v>45.6</v>
      </c>
      <c r="I264" s="0" t="n">
        <v>8.4</v>
      </c>
      <c r="J264" s="0" t="n">
        <v>8.6</v>
      </c>
      <c r="K264" s="0" t="n">
        <v>27.759105208</v>
      </c>
      <c r="L264" s="0" t="n">
        <v>2.43747793564</v>
      </c>
      <c r="M264" s="0" t="n">
        <v>21.0345516075</v>
      </c>
      <c r="N264" s="0" t="n">
        <v>24.920984528</v>
      </c>
      <c r="O264" s="0" t="n">
        <v>23.8478807208</v>
      </c>
      <c r="P264" s="0" t="n">
        <f aca="false">INDEX($F264:$J264,IF(1&lt;$E264,1,1+1))</f>
        <v>14</v>
      </c>
      <c r="Q264" s="0" t="n">
        <f aca="false">INDEX($F264:$J264,IF(2&lt;$E264,2,2+1))</f>
        <v>15.4</v>
      </c>
      <c r="R264" s="0" t="n">
        <f aca="false">INDEX($F264:$J264,IF(3&lt;$E264,3,3+1))</f>
        <v>8.4</v>
      </c>
      <c r="S264" s="0" t="n">
        <f aca="false">INDEX($F264:$J264,IF(4&lt;$E264,4,4+1))</f>
        <v>8.6</v>
      </c>
      <c r="T264" s="0" t="n">
        <f aca="false">INDEX($K264:$O264,IF(1&lt;$E264,1,1+1))</f>
        <v>27.759105208</v>
      </c>
      <c r="U264" s="0" t="n">
        <f aca="false">INDEX($K264:$O264,IF(2&lt;$E264,2,2+1))</f>
        <v>2.43747793564</v>
      </c>
      <c r="V264" s="0" t="n">
        <f aca="false">INDEX($K264:$O264,IF(3&lt;$E264,3,3+1))</f>
        <v>24.920984528</v>
      </c>
      <c r="W264" s="0" t="n">
        <f aca="false">INDEX($K264:$O264,IF(4&lt;$E264,4,4+1))</f>
        <v>23.8478807208</v>
      </c>
      <c r="X264" s="0" t="n">
        <f aca="false">1+COUNTIF($P264:$S264,"&gt;"&amp;$P264)+(COUNTIF($P264:$S264,$P264)-1)/2</f>
        <v>2</v>
      </c>
      <c r="Y264" s="0" t="n">
        <f aca="false">1+COUNTIF($P264:$S264,"&gt;"&amp;$Q264)+(COUNTIF($P264:$S264,$Q264)-1)/2</f>
        <v>1</v>
      </c>
      <c r="Z264" s="0" t="n">
        <f aca="false">1+COUNTIF($P264:$S264,"&gt;"&amp;$R264)+(COUNTIF($P264:$S264,$R264)-1)/2</f>
        <v>4</v>
      </c>
      <c r="AA264" s="0" t="n">
        <f aca="false">1+COUNTIF($P264:$S264,"&gt;"&amp;$S264)+(COUNTIF($P264:$S264,$S264)-1)/2</f>
        <v>3</v>
      </c>
      <c r="AB264" s="0" t="n">
        <f aca="false">1+COUNTIF($T264:$W264,"&gt;"&amp;$T264)+(COUNTIF($T264:$W264,$T264)-1)/2</f>
        <v>1</v>
      </c>
      <c r="AC264" s="0" t="n">
        <f aca="false">1+COUNTIF($T264:$W264,"&gt;"&amp;$U264)+(COUNTIF($T264:$W264,$U264)-1)/2</f>
        <v>4</v>
      </c>
      <c r="AD264" s="0" t="n">
        <f aca="false">1+COUNTIF($T264:$W264,"&gt;"&amp;$V264)+(COUNTIF($T264:$W264,$V264)-1)/2</f>
        <v>2</v>
      </c>
      <c r="AE264" s="0" t="n">
        <f aca="false">1+COUNTIF($T264:$W264,"&gt;"&amp;$W264)+(COUNTIF($T264:$W264,$W264)-1)/2</f>
        <v>3</v>
      </c>
      <c r="AF264" s="0" t="n">
        <f aca="false">IFERROR(CORREL($P264:$S264,$T264:$W264),"")</f>
        <v>-0.594880370842674</v>
      </c>
      <c r="AG264" s="0" t="n">
        <f aca="false">IFERROR(CORREL($X264:$AA264,$AB264:$AE264),"")</f>
        <v>-0.4</v>
      </c>
      <c r="AH264" s="0" t="n">
        <f aca="false">IFERROR((SIGN($P264-$Q264)*SIGN($T264-$U264)+SIGN($P264-$R264)*SIGN($T264-$V264)+SIGN($P264-$S264)*SIGN($T264-$W264)+SIGN($Q264-$R264)*SIGN($U264-$V264)+SIGN($Q264-$S264)*SIGN($U264-$W264)+SIGN($R264-$S264)*SIGN($V264-$W264))/SQRT((6-(($P264=$Q264)*1+($P264=$R264)*1+($P264=$S264)*1+($Q264=$R264)*1+($Q264=$S264)*1+($R264=$S264)*1))*(6-(($T264=$U264)*1+($T264=$V264)*1+($T264=$W264)*1+($U264=$V264)*1+($U264=$W264)*1+($V264=$W264)*1))),"")</f>
        <v>-0.333333333333333</v>
      </c>
      <c r="AI264" s="0" t="n">
        <f aca="false">MATCH(MAX($K264:$O264),$K264:$O264,0)</f>
        <v>1</v>
      </c>
      <c r="AJ264" s="0" t="n">
        <f aca="false">IF(AI264&lt;&gt;$E264,1,0)</f>
        <v>1</v>
      </c>
      <c r="AK264" s="0" t="n">
        <f aca="false">IF(AJ264=1,INDEX($F264:$J264,AI264)/MAX($P264:$S264),"")</f>
        <v>0.909090909090909</v>
      </c>
      <c r="AL264" s="0" t="n">
        <f aca="false">IF(AJ264=1,1+COUNTIF($P264:$S264,"&gt;"&amp;INDEX($F264:$J264,AI264)),"")</f>
        <v>2</v>
      </c>
      <c r="AM264" s="0" t="n">
        <f aca="false">AVERAGE($P264:$S264)/MAX($P264:$S264)</f>
        <v>0.753246753246753</v>
      </c>
      <c r="AN264" s="0" t="n">
        <f aca="false">100-INDEX($F264:$J264,$E264)</f>
        <v>54.4</v>
      </c>
    </row>
    <row r="265" customFormat="false" ht="15" hidden="false" customHeight="false" outlineLevel="0" collapsed="false">
      <c r="A265" s="0" t="s">
        <v>40</v>
      </c>
      <c r="B265" s="0" t="n">
        <v>2016</v>
      </c>
      <c r="C265" s="0" t="s">
        <v>49</v>
      </c>
      <c r="D265" s="0" t="s">
        <v>44</v>
      </c>
      <c r="E265" s="0" t="n">
        <v>2</v>
      </c>
      <c r="F265" s="0" t="n">
        <v>14.3</v>
      </c>
      <c r="G265" s="0" t="n">
        <v>47</v>
      </c>
      <c r="H265" s="0" t="n">
        <v>12.6</v>
      </c>
      <c r="I265" s="0" t="n">
        <v>9.1</v>
      </c>
      <c r="J265" s="0" t="n">
        <v>9</v>
      </c>
      <c r="K265" s="0" t="n">
        <v>24.2258887851</v>
      </c>
      <c r="L265" s="0" t="n">
        <v>30.7513467699</v>
      </c>
      <c r="M265" s="0" t="n">
        <v>10.2871945567</v>
      </c>
      <c r="N265" s="0" t="n">
        <v>24.3487818182</v>
      </c>
      <c r="O265" s="0" t="n">
        <v>10.38678807</v>
      </c>
      <c r="P265" s="0" t="n">
        <f aca="false">INDEX($F265:$J265,IF(1&lt;$E265,1,1+1))</f>
        <v>14.3</v>
      </c>
      <c r="Q265" s="0" t="n">
        <f aca="false">INDEX($F265:$J265,IF(2&lt;$E265,2,2+1))</f>
        <v>12.6</v>
      </c>
      <c r="R265" s="0" t="n">
        <f aca="false">INDEX($F265:$J265,IF(3&lt;$E265,3,3+1))</f>
        <v>9.1</v>
      </c>
      <c r="S265" s="0" t="n">
        <f aca="false">INDEX($F265:$J265,IF(4&lt;$E265,4,4+1))</f>
        <v>9</v>
      </c>
      <c r="T265" s="0" t="n">
        <f aca="false">INDEX($K265:$O265,IF(1&lt;$E265,1,1+1))</f>
        <v>24.2258887851</v>
      </c>
      <c r="U265" s="0" t="n">
        <f aca="false">INDEX($K265:$O265,IF(2&lt;$E265,2,2+1))</f>
        <v>10.2871945567</v>
      </c>
      <c r="V265" s="0" t="n">
        <f aca="false">INDEX($K265:$O265,IF(3&lt;$E265,3,3+1))</f>
        <v>24.3487818182</v>
      </c>
      <c r="W265" s="0" t="n">
        <f aca="false">INDEX($K265:$O265,IF(4&lt;$E265,4,4+1))</f>
        <v>10.38678807</v>
      </c>
      <c r="X265" s="0" t="n">
        <f aca="false">1+COUNTIF($P265:$S265,"&gt;"&amp;$P265)+(COUNTIF($P265:$S265,$P265)-1)/2</f>
        <v>1</v>
      </c>
      <c r="Y265" s="0" t="n">
        <f aca="false">1+COUNTIF($P265:$S265,"&gt;"&amp;$Q265)+(COUNTIF($P265:$S265,$Q265)-1)/2</f>
        <v>2</v>
      </c>
      <c r="Z265" s="0" t="n">
        <f aca="false">1+COUNTIF($P265:$S265,"&gt;"&amp;$R265)+(COUNTIF($P265:$S265,$R265)-1)/2</f>
        <v>3</v>
      </c>
      <c r="AA265" s="0" t="n">
        <f aca="false">1+COUNTIF($P265:$S265,"&gt;"&amp;$S265)+(COUNTIF($P265:$S265,$S265)-1)/2</f>
        <v>4</v>
      </c>
      <c r="AB265" s="0" t="n">
        <f aca="false">1+COUNTIF($T265:$W265,"&gt;"&amp;$T265)+(COUNTIF($T265:$W265,$T265)-1)/2</f>
        <v>2</v>
      </c>
      <c r="AC265" s="0" t="n">
        <f aca="false">1+COUNTIF($T265:$W265,"&gt;"&amp;$U265)+(COUNTIF($T265:$W265,$U265)-1)/2</f>
        <v>4</v>
      </c>
      <c r="AD265" s="0" t="n">
        <f aca="false">1+COUNTIF($T265:$W265,"&gt;"&amp;$V265)+(COUNTIF($T265:$W265,$V265)-1)/2</f>
        <v>1</v>
      </c>
      <c r="AE265" s="0" t="n">
        <f aca="false">1+COUNTIF($T265:$W265,"&gt;"&amp;$W265)+(COUNTIF($T265:$W265,$W265)-1)/2</f>
        <v>3</v>
      </c>
      <c r="AF265" s="0" t="n">
        <f aca="false">IFERROR(CORREL($P265:$S265,$T265:$W265),"")</f>
        <v>0.189446694852106</v>
      </c>
      <c r="AG265" s="0" t="n">
        <f aca="false">IFERROR(CORREL($X265:$AA265,$AB265:$AE265),"")</f>
        <v>0</v>
      </c>
      <c r="AH265" s="0" t="n">
        <f aca="false">IFERROR((SIGN($P265-$Q265)*SIGN($T265-$U265)+SIGN($P265-$R265)*SIGN($T265-$V265)+SIGN($P265-$S265)*SIGN($T265-$W265)+SIGN($Q265-$R265)*SIGN($U265-$V265)+SIGN($Q265-$S265)*SIGN($U265-$W265)+SIGN($R265-$S265)*SIGN($V265-$W265))/SQRT((6-(($P265=$Q265)*1+($P265=$R265)*1+($P265=$S265)*1+($Q265=$R265)*1+($Q265=$S265)*1+($R265=$S265)*1))*(6-(($T265=$U265)*1+($T265=$V265)*1+($T265=$W265)*1+($U265=$V265)*1+($U265=$W265)*1+($V265=$W265)*1))),"")</f>
        <v>0</v>
      </c>
      <c r="AI265" s="0" t="n">
        <f aca="false">MATCH(MAX($K265:$O265),$K265:$O265,0)</f>
        <v>2</v>
      </c>
      <c r="AJ265" s="0" t="n">
        <f aca="false">IF(AI265&lt;&gt;$E265,1,0)</f>
        <v>0</v>
      </c>
      <c r="AK265" s="0" t="str">
        <f aca="false">IF(AJ265=1,INDEX($F265:$J265,AI265)/MAX($P265:$S265),"")</f>
        <v/>
      </c>
      <c r="AL265" s="0" t="str">
        <f aca="false">IF(AJ265=1,1+COUNTIF($P265:$S265,"&gt;"&amp;INDEX($F265:$J265,AI265)),"")</f>
        <v/>
      </c>
      <c r="AM265" s="0" t="n">
        <f aca="false">AVERAGE($P265:$S265)/MAX($P265:$S265)</f>
        <v>0.786713286713287</v>
      </c>
      <c r="AN265" s="0" t="n">
        <f aca="false">100-INDEX($F265:$J265,$E265)</f>
        <v>53</v>
      </c>
    </row>
    <row r="266" customFormat="false" ht="15" hidden="false" customHeight="false" outlineLevel="0" collapsed="false">
      <c r="A266" s="0" t="s">
        <v>40</v>
      </c>
      <c r="B266" s="0" t="n">
        <v>2016</v>
      </c>
      <c r="C266" s="0" t="s">
        <v>49</v>
      </c>
      <c r="D266" s="0" t="s">
        <v>45</v>
      </c>
      <c r="E266" s="0" t="n">
        <v>1</v>
      </c>
      <c r="F266" s="0" t="n">
        <v>36.8</v>
      </c>
      <c r="G266" s="0" t="n">
        <v>10.2</v>
      </c>
      <c r="H266" s="0" t="n">
        <v>13.3</v>
      </c>
      <c r="I266" s="0" t="n">
        <v>20.9</v>
      </c>
      <c r="J266" s="0" t="n">
        <v>10.5</v>
      </c>
      <c r="K266" s="0" t="n">
        <v>34.7264040785</v>
      </c>
      <c r="L266" s="0" t="n">
        <v>6.44312740317</v>
      </c>
      <c r="M266" s="0" t="n">
        <v>3.48935679043</v>
      </c>
      <c r="N266" s="0" t="n">
        <v>48.2835926569</v>
      </c>
      <c r="O266" s="0" t="n">
        <v>7.05751907102</v>
      </c>
      <c r="P266" s="0" t="n">
        <f aca="false">INDEX($F266:$J266,IF(1&lt;$E266,1,1+1))</f>
        <v>10.2</v>
      </c>
      <c r="Q266" s="0" t="n">
        <f aca="false">INDEX($F266:$J266,IF(2&lt;$E266,2,2+1))</f>
        <v>13.3</v>
      </c>
      <c r="R266" s="0" t="n">
        <f aca="false">INDEX($F266:$J266,IF(3&lt;$E266,3,3+1))</f>
        <v>20.9</v>
      </c>
      <c r="S266" s="0" t="n">
        <f aca="false">INDEX($F266:$J266,IF(4&lt;$E266,4,4+1))</f>
        <v>10.5</v>
      </c>
      <c r="T266" s="0" t="n">
        <f aca="false">INDEX($K266:$O266,IF(1&lt;$E266,1,1+1))</f>
        <v>6.44312740317</v>
      </c>
      <c r="U266" s="0" t="n">
        <f aca="false">INDEX($K266:$O266,IF(2&lt;$E266,2,2+1))</f>
        <v>3.48935679043</v>
      </c>
      <c r="V266" s="0" t="n">
        <f aca="false">INDEX($K266:$O266,IF(3&lt;$E266,3,3+1))</f>
        <v>48.2835926569</v>
      </c>
      <c r="W266" s="0" t="n">
        <f aca="false">INDEX($K266:$O266,IF(4&lt;$E266,4,4+1))</f>
        <v>7.05751907102</v>
      </c>
      <c r="X266" s="0" t="n">
        <f aca="false">1+COUNTIF($P266:$S266,"&gt;"&amp;$P266)+(COUNTIF($P266:$S266,$P266)-1)/2</f>
        <v>4</v>
      </c>
      <c r="Y266" s="0" t="n">
        <f aca="false">1+COUNTIF($P266:$S266,"&gt;"&amp;$Q266)+(COUNTIF($P266:$S266,$Q266)-1)/2</f>
        <v>2</v>
      </c>
      <c r="Z266" s="0" t="n">
        <f aca="false">1+COUNTIF($P266:$S266,"&gt;"&amp;$R266)+(COUNTIF($P266:$S266,$R266)-1)/2</f>
        <v>1</v>
      </c>
      <c r="AA266" s="0" t="n">
        <f aca="false">1+COUNTIF($P266:$S266,"&gt;"&amp;$S266)+(COUNTIF($P266:$S266,$S266)-1)/2</f>
        <v>3</v>
      </c>
      <c r="AB266" s="0" t="n">
        <f aca="false">1+COUNTIF($T266:$W266,"&gt;"&amp;$T266)+(COUNTIF($T266:$W266,$T266)-1)/2</f>
        <v>3</v>
      </c>
      <c r="AC266" s="0" t="n">
        <f aca="false">1+COUNTIF($T266:$W266,"&gt;"&amp;$U266)+(COUNTIF($T266:$W266,$U266)-1)/2</f>
        <v>4</v>
      </c>
      <c r="AD266" s="0" t="n">
        <f aca="false">1+COUNTIF($T266:$W266,"&gt;"&amp;$V266)+(COUNTIF($T266:$W266,$V266)-1)/2</f>
        <v>1</v>
      </c>
      <c r="AE266" s="0" t="n">
        <f aca="false">1+COUNTIF($T266:$W266,"&gt;"&amp;$W266)+(COUNTIF($T266:$W266,$W266)-1)/2</f>
        <v>2</v>
      </c>
      <c r="AF266" s="0" t="n">
        <f aca="false">IFERROR(CORREL($P266:$S266,$T266:$W266),"")</f>
        <v>0.937608240640922</v>
      </c>
      <c r="AG266" s="0" t="n">
        <f aca="false">IFERROR(CORREL($X266:$AA266,$AB266:$AE266),"")</f>
        <v>0.4</v>
      </c>
      <c r="AH266" s="0" t="n">
        <f aca="false">IFERROR((SIGN($P266-$Q266)*SIGN($T266-$U266)+SIGN($P266-$R266)*SIGN($T266-$V266)+SIGN($P266-$S266)*SIGN($T266-$W266)+SIGN($Q266-$R266)*SIGN($U266-$V266)+SIGN($Q266-$S266)*SIGN($U266-$W266)+SIGN($R266-$S266)*SIGN($V266-$W266))/SQRT((6-(($P266=$Q266)*1+($P266=$R266)*1+($P266=$S266)*1+($Q266=$R266)*1+($Q266=$S266)*1+($R266=$S266)*1))*(6-(($T266=$U266)*1+($T266=$V266)*1+($T266=$W266)*1+($U266=$V266)*1+($U266=$W266)*1+($V266=$W266)*1))),"")</f>
        <v>0.333333333333333</v>
      </c>
      <c r="AI266" s="0" t="n">
        <f aca="false">MATCH(MAX($K266:$O266),$K266:$O266,0)</f>
        <v>4</v>
      </c>
      <c r="AJ266" s="0" t="n">
        <f aca="false">IF(AI266&lt;&gt;$E266,1,0)</f>
        <v>1</v>
      </c>
      <c r="AK266" s="0" t="n">
        <f aca="false">IF(AJ266=1,INDEX($F266:$J266,AI266)/MAX($P266:$S266),"")</f>
        <v>1</v>
      </c>
      <c r="AL266" s="0" t="n">
        <f aca="false">IF(AJ266=1,1+COUNTIF($P266:$S266,"&gt;"&amp;INDEX($F266:$J266,AI266)),"")</f>
        <v>1</v>
      </c>
      <c r="AM266" s="0" t="n">
        <f aca="false">AVERAGE($P266:$S266)/MAX($P266:$S266)</f>
        <v>0.656698564593301</v>
      </c>
      <c r="AN266" s="0" t="n">
        <f aca="false">100-INDEX($F266:$J266,$E266)</f>
        <v>63.2</v>
      </c>
    </row>
    <row r="267" customFormat="false" ht="15" hidden="false" customHeight="false" outlineLevel="0" collapsed="false">
      <c r="A267" s="0" t="s">
        <v>40</v>
      </c>
      <c r="B267" s="0" t="n">
        <v>2016</v>
      </c>
      <c r="C267" s="0" t="s">
        <v>50</v>
      </c>
      <c r="D267" s="0" t="s">
        <v>42</v>
      </c>
      <c r="E267" s="0" t="n">
        <v>3</v>
      </c>
      <c r="F267" s="0" t="n">
        <v>6.2</v>
      </c>
      <c r="G267" s="0" t="n">
        <v>9.7</v>
      </c>
      <c r="H267" s="0" t="n">
        <v>56.4</v>
      </c>
      <c r="I267" s="0" t="n">
        <v>5.7</v>
      </c>
      <c r="J267" s="0" t="n">
        <v>6.9</v>
      </c>
      <c r="K267" s="0" t="n">
        <v>0.0268852568404</v>
      </c>
      <c r="L267" s="0" t="n">
        <v>48.2567571351</v>
      </c>
      <c r="M267" s="0" t="n">
        <v>39.0718879848</v>
      </c>
      <c r="N267" s="0" t="n">
        <v>6.18793938317</v>
      </c>
      <c r="O267" s="0" t="n">
        <v>6.45653024011</v>
      </c>
      <c r="P267" s="0" t="n">
        <f aca="false">INDEX($F267:$J267,IF(1&lt;$E267,1,1+1))</f>
        <v>6.2</v>
      </c>
      <c r="Q267" s="0" t="n">
        <f aca="false">INDEX($F267:$J267,IF(2&lt;$E267,2,2+1))</f>
        <v>9.7</v>
      </c>
      <c r="R267" s="0" t="n">
        <f aca="false">INDEX($F267:$J267,IF(3&lt;$E267,3,3+1))</f>
        <v>5.7</v>
      </c>
      <c r="S267" s="0" t="n">
        <f aca="false">INDEX($F267:$J267,IF(4&lt;$E267,4,4+1))</f>
        <v>6.9</v>
      </c>
      <c r="T267" s="0" t="n">
        <f aca="false">INDEX($K267:$O267,IF(1&lt;$E267,1,1+1))</f>
        <v>0.0268852568404</v>
      </c>
      <c r="U267" s="0" t="n">
        <f aca="false">INDEX($K267:$O267,IF(2&lt;$E267,2,2+1))</f>
        <v>48.2567571351</v>
      </c>
      <c r="V267" s="0" t="n">
        <f aca="false">INDEX($K267:$O267,IF(3&lt;$E267,3,3+1))</f>
        <v>6.18793938317</v>
      </c>
      <c r="W267" s="0" t="n">
        <f aca="false">INDEX($K267:$O267,IF(4&lt;$E267,4,4+1))</f>
        <v>6.45653024011</v>
      </c>
      <c r="X267" s="0" t="n">
        <f aca="false">1+COUNTIF($P267:$S267,"&gt;"&amp;$P267)+(COUNTIF($P267:$S267,$P267)-1)/2</f>
        <v>3</v>
      </c>
      <c r="Y267" s="0" t="n">
        <f aca="false">1+COUNTIF($P267:$S267,"&gt;"&amp;$Q267)+(COUNTIF($P267:$S267,$Q267)-1)/2</f>
        <v>1</v>
      </c>
      <c r="Z267" s="0" t="n">
        <f aca="false">1+COUNTIF($P267:$S267,"&gt;"&amp;$R267)+(COUNTIF($P267:$S267,$R267)-1)/2</f>
        <v>4</v>
      </c>
      <c r="AA267" s="0" t="n">
        <f aca="false">1+COUNTIF($P267:$S267,"&gt;"&amp;$S267)+(COUNTIF($P267:$S267,$S267)-1)/2</f>
        <v>2</v>
      </c>
      <c r="AB267" s="0" t="n">
        <f aca="false">1+COUNTIF($T267:$W267,"&gt;"&amp;$T267)+(COUNTIF($T267:$W267,$T267)-1)/2</f>
        <v>4</v>
      </c>
      <c r="AC267" s="0" t="n">
        <f aca="false">1+COUNTIF($T267:$W267,"&gt;"&amp;$U267)+(COUNTIF($T267:$W267,$U267)-1)/2</f>
        <v>1</v>
      </c>
      <c r="AD267" s="0" t="n">
        <f aca="false">1+COUNTIF($T267:$W267,"&gt;"&amp;$V267)+(COUNTIF($T267:$W267,$V267)-1)/2</f>
        <v>3</v>
      </c>
      <c r="AE267" s="0" t="n">
        <f aca="false">1+COUNTIF($T267:$W267,"&gt;"&amp;$W267)+(COUNTIF($T267:$W267,$W267)-1)/2</f>
        <v>2</v>
      </c>
      <c r="AF267" s="0" t="n">
        <f aca="false">IFERROR(CORREL($P267:$S267,$T267:$W267),"")</f>
        <v>0.957527488001077</v>
      </c>
      <c r="AG267" s="0" t="n">
        <f aca="false">IFERROR(CORREL($X267:$AA267,$AB267:$AE267),"")</f>
        <v>0.8</v>
      </c>
      <c r="AH267" s="0" t="n">
        <f aca="false">IFERROR((SIGN($P267-$Q267)*SIGN($T267-$U267)+SIGN($P267-$R267)*SIGN($T267-$V267)+SIGN($P267-$S267)*SIGN($T267-$W267)+SIGN($Q267-$R267)*SIGN($U267-$V267)+SIGN($Q267-$S267)*SIGN($U267-$W267)+SIGN($R267-$S267)*SIGN($V267-$W267))/SQRT((6-(($P267=$Q267)*1+($P267=$R267)*1+($P267=$S267)*1+($Q267=$R267)*1+($Q267=$S267)*1+($R267=$S267)*1))*(6-(($T267=$U267)*1+($T267=$V267)*1+($T267=$W267)*1+($U267=$V267)*1+($U267=$W267)*1+($V267=$W267)*1))),"")</f>
        <v>0.666666666666667</v>
      </c>
      <c r="AI267" s="0" t="n">
        <f aca="false">MATCH(MAX($K267:$O267),$K267:$O267,0)</f>
        <v>2</v>
      </c>
      <c r="AJ267" s="0" t="n">
        <f aca="false">IF(AI267&lt;&gt;$E267,1,0)</f>
        <v>1</v>
      </c>
      <c r="AK267" s="0" t="n">
        <f aca="false">IF(AJ267=1,INDEX($F267:$J267,AI267)/MAX($P267:$S267),"")</f>
        <v>1</v>
      </c>
      <c r="AL267" s="0" t="n">
        <f aca="false">IF(AJ267=1,1+COUNTIF($P267:$S267,"&gt;"&amp;INDEX($F267:$J267,AI267)),"")</f>
        <v>1</v>
      </c>
      <c r="AM267" s="0" t="n">
        <f aca="false">AVERAGE($P267:$S267)/MAX($P267:$S267)</f>
        <v>0.734536082474227</v>
      </c>
      <c r="AN267" s="0" t="n">
        <f aca="false">100-INDEX($F267:$J267,$E267)</f>
        <v>43.6</v>
      </c>
    </row>
    <row r="268" customFormat="false" ht="15" hidden="false" customHeight="false" outlineLevel="0" collapsed="false">
      <c r="A268" s="0" t="s">
        <v>40</v>
      </c>
      <c r="B268" s="0" t="n">
        <v>2016</v>
      </c>
      <c r="C268" s="0" t="s">
        <v>50</v>
      </c>
      <c r="D268" s="0" t="s">
        <v>43</v>
      </c>
      <c r="E268" s="0" t="n">
        <v>3</v>
      </c>
      <c r="F268" s="0" t="n">
        <v>12.7</v>
      </c>
      <c r="G268" s="0" t="n">
        <v>13.5</v>
      </c>
      <c r="H268" s="0" t="n">
        <v>44.1</v>
      </c>
      <c r="I268" s="0" t="n">
        <v>7.9</v>
      </c>
      <c r="J268" s="0" t="n">
        <v>6.4</v>
      </c>
      <c r="K268" s="0" t="n">
        <v>62.5714552561</v>
      </c>
      <c r="L268" s="0" t="n">
        <v>3.13015207975</v>
      </c>
      <c r="M268" s="0" t="n">
        <v>18.007584298</v>
      </c>
      <c r="N268" s="0" t="n">
        <v>5.38569583113</v>
      </c>
      <c r="O268" s="0" t="n">
        <v>10.9051125351</v>
      </c>
      <c r="P268" s="0" t="n">
        <f aca="false">INDEX($F268:$J268,IF(1&lt;$E268,1,1+1))</f>
        <v>12.7</v>
      </c>
      <c r="Q268" s="0" t="n">
        <f aca="false">INDEX($F268:$J268,IF(2&lt;$E268,2,2+1))</f>
        <v>13.5</v>
      </c>
      <c r="R268" s="0" t="n">
        <f aca="false">INDEX($F268:$J268,IF(3&lt;$E268,3,3+1))</f>
        <v>7.9</v>
      </c>
      <c r="S268" s="0" t="n">
        <f aca="false">INDEX($F268:$J268,IF(4&lt;$E268,4,4+1))</f>
        <v>6.4</v>
      </c>
      <c r="T268" s="0" t="n">
        <f aca="false">INDEX($K268:$O268,IF(1&lt;$E268,1,1+1))</f>
        <v>62.5714552561</v>
      </c>
      <c r="U268" s="0" t="n">
        <f aca="false">INDEX($K268:$O268,IF(2&lt;$E268,2,2+1))</f>
        <v>3.13015207975</v>
      </c>
      <c r="V268" s="0" t="n">
        <f aca="false">INDEX($K268:$O268,IF(3&lt;$E268,3,3+1))</f>
        <v>5.38569583113</v>
      </c>
      <c r="W268" s="0" t="n">
        <f aca="false">INDEX($K268:$O268,IF(4&lt;$E268,4,4+1))</f>
        <v>10.9051125351</v>
      </c>
      <c r="X268" s="0" t="n">
        <f aca="false">1+COUNTIF($P268:$S268,"&gt;"&amp;$P268)+(COUNTIF($P268:$S268,$P268)-1)/2</f>
        <v>2</v>
      </c>
      <c r="Y268" s="0" t="n">
        <f aca="false">1+COUNTIF($P268:$S268,"&gt;"&amp;$Q268)+(COUNTIF($P268:$S268,$Q268)-1)/2</f>
        <v>1</v>
      </c>
      <c r="Z268" s="0" t="n">
        <f aca="false">1+COUNTIF($P268:$S268,"&gt;"&amp;$R268)+(COUNTIF($P268:$S268,$R268)-1)/2</f>
        <v>3</v>
      </c>
      <c r="AA268" s="0" t="n">
        <f aca="false">1+COUNTIF($P268:$S268,"&gt;"&amp;$S268)+(COUNTIF($P268:$S268,$S268)-1)/2</f>
        <v>4</v>
      </c>
      <c r="AB268" s="0" t="n">
        <f aca="false">1+COUNTIF($T268:$W268,"&gt;"&amp;$T268)+(COUNTIF($T268:$W268,$T268)-1)/2</f>
        <v>1</v>
      </c>
      <c r="AC268" s="0" t="n">
        <f aca="false">1+COUNTIF($T268:$W268,"&gt;"&amp;$U268)+(COUNTIF($T268:$W268,$U268)-1)/2</f>
        <v>4</v>
      </c>
      <c r="AD268" s="0" t="n">
        <f aca="false">1+COUNTIF($T268:$W268,"&gt;"&amp;$V268)+(COUNTIF($T268:$W268,$V268)-1)/2</f>
        <v>3</v>
      </c>
      <c r="AE268" s="0" t="n">
        <f aca="false">1+COUNTIF($T268:$W268,"&gt;"&amp;$W268)+(COUNTIF($T268:$W268,$W268)-1)/2</f>
        <v>2</v>
      </c>
      <c r="AF268" s="0" t="n">
        <f aca="false">IFERROR(CORREL($P268:$S268,$T268:$W268),"")</f>
        <v>0.401086260610425</v>
      </c>
      <c r="AG268" s="0" t="n">
        <f aca="false">IFERROR(CORREL($X268:$AA268,$AB268:$AE268),"")</f>
        <v>-0.4</v>
      </c>
      <c r="AH268" s="0" t="n">
        <f aca="false">IFERROR((SIGN($P268-$Q268)*SIGN($T268-$U268)+SIGN($P268-$R268)*SIGN($T268-$V268)+SIGN($P268-$S268)*SIGN($T268-$W268)+SIGN($Q268-$R268)*SIGN($U268-$V268)+SIGN($Q268-$S268)*SIGN($U268-$W268)+SIGN($R268-$S268)*SIGN($V268-$W268))/SQRT((6-(($P268=$Q268)*1+($P268=$R268)*1+($P268=$S268)*1+($Q268=$R268)*1+($Q268=$S268)*1+($R268=$S268)*1))*(6-(($T268=$U268)*1+($T268=$V268)*1+($T268=$W268)*1+($U268=$V268)*1+($U268=$W268)*1+($V268=$W268)*1))),"")</f>
        <v>-0.333333333333333</v>
      </c>
      <c r="AI268" s="0" t="n">
        <f aca="false">MATCH(MAX($K268:$O268),$K268:$O268,0)</f>
        <v>1</v>
      </c>
      <c r="AJ268" s="0" t="n">
        <f aca="false">IF(AI268&lt;&gt;$E268,1,0)</f>
        <v>1</v>
      </c>
      <c r="AK268" s="0" t="n">
        <f aca="false">IF(AJ268=1,INDEX($F268:$J268,AI268)/MAX($P268:$S268),"")</f>
        <v>0.940740740740741</v>
      </c>
      <c r="AL268" s="0" t="n">
        <f aca="false">IF(AJ268=1,1+COUNTIF($P268:$S268,"&gt;"&amp;INDEX($F268:$J268,AI268)),"")</f>
        <v>2</v>
      </c>
      <c r="AM268" s="0" t="n">
        <f aca="false">AVERAGE($P268:$S268)/MAX($P268:$S268)</f>
        <v>0.75</v>
      </c>
      <c r="AN268" s="0" t="n">
        <f aca="false">100-INDEX($F268:$J268,$E268)</f>
        <v>55.9</v>
      </c>
    </row>
    <row r="269" customFormat="false" ht="15" hidden="false" customHeight="false" outlineLevel="0" collapsed="false">
      <c r="A269" s="0" t="s">
        <v>40</v>
      </c>
      <c r="B269" s="0" t="n">
        <v>2016</v>
      </c>
      <c r="C269" s="0" t="s">
        <v>50</v>
      </c>
      <c r="D269" s="0" t="s">
        <v>44</v>
      </c>
      <c r="E269" s="0" t="n">
        <v>4</v>
      </c>
      <c r="F269" s="0" t="n">
        <v>8.2</v>
      </c>
      <c r="G269" s="0" t="n">
        <v>9.5</v>
      </c>
      <c r="H269" s="0" t="n">
        <v>10</v>
      </c>
      <c r="I269" s="0" t="n">
        <v>53.2</v>
      </c>
      <c r="J269" s="0" t="n">
        <v>3.6</v>
      </c>
      <c r="K269" s="0" t="n">
        <v>6.2177052945</v>
      </c>
      <c r="L269" s="0" t="n">
        <v>5.58277432173</v>
      </c>
      <c r="M269" s="0" t="n">
        <v>13.1126033416</v>
      </c>
      <c r="N269" s="0" t="n">
        <v>60.48402474</v>
      </c>
      <c r="O269" s="0" t="n">
        <v>14.6028923022</v>
      </c>
      <c r="P269" s="0" t="n">
        <f aca="false">INDEX($F269:$J269,IF(1&lt;$E269,1,1+1))</f>
        <v>8.2</v>
      </c>
      <c r="Q269" s="0" t="n">
        <f aca="false">INDEX($F269:$J269,IF(2&lt;$E269,2,2+1))</f>
        <v>9.5</v>
      </c>
      <c r="R269" s="0" t="n">
        <f aca="false">INDEX($F269:$J269,IF(3&lt;$E269,3,3+1))</f>
        <v>10</v>
      </c>
      <c r="S269" s="0" t="n">
        <f aca="false">INDEX($F269:$J269,IF(4&lt;$E269,4,4+1))</f>
        <v>3.6</v>
      </c>
      <c r="T269" s="0" t="n">
        <f aca="false">INDEX($K269:$O269,IF(1&lt;$E269,1,1+1))</f>
        <v>6.2177052945</v>
      </c>
      <c r="U269" s="0" t="n">
        <f aca="false">INDEX($K269:$O269,IF(2&lt;$E269,2,2+1))</f>
        <v>5.58277432173</v>
      </c>
      <c r="V269" s="0" t="n">
        <f aca="false">INDEX($K269:$O269,IF(3&lt;$E269,3,3+1))</f>
        <v>13.1126033416</v>
      </c>
      <c r="W269" s="0" t="n">
        <f aca="false">INDEX($K269:$O269,IF(4&lt;$E269,4,4+1))</f>
        <v>14.6028923022</v>
      </c>
      <c r="X269" s="0" t="n">
        <f aca="false">1+COUNTIF($P269:$S269,"&gt;"&amp;$P269)+(COUNTIF($P269:$S269,$P269)-1)/2</f>
        <v>3</v>
      </c>
      <c r="Y269" s="0" t="n">
        <f aca="false">1+COUNTIF($P269:$S269,"&gt;"&amp;$Q269)+(COUNTIF($P269:$S269,$Q269)-1)/2</f>
        <v>2</v>
      </c>
      <c r="Z269" s="0" t="n">
        <f aca="false">1+COUNTIF($P269:$S269,"&gt;"&amp;$R269)+(COUNTIF($P269:$S269,$R269)-1)/2</f>
        <v>1</v>
      </c>
      <c r="AA269" s="0" t="n">
        <f aca="false">1+COUNTIF($P269:$S269,"&gt;"&amp;$S269)+(COUNTIF($P269:$S269,$S269)-1)/2</f>
        <v>4</v>
      </c>
      <c r="AB269" s="0" t="n">
        <f aca="false">1+COUNTIF($T269:$W269,"&gt;"&amp;$T269)+(COUNTIF($T269:$W269,$T269)-1)/2</f>
        <v>3</v>
      </c>
      <c r="AC269" s="0" t="n">
        <f aca="false">1+COUNTIF($T269:$W269,"&gt;"&amp;$U269)+(COUNTIF($T269:$W269,$U269)-1)/2</f>
        <v>4</v>
      </c>
      <c r="AD269" s="0" t="n">
        <f aca="false">1+COUNTIF($T269:$W269,"&gt;"&amp;$V269)+(COUNTIF($T269:$W269,$V269)-1)/2</f>
        <v>2</v>
      </c>
      <c r="AE269" s="0" t="n">
        <f aca="false">1+COUNTIF($T269:$W269,"&gt;"&amp;$W269)+(COUNTIF($T269:$W269,$W269)-1)/2</f>
        <v>1</v>
      </c>
      <c r="AF269" s="0" t="n">
        <f aca="false">IFERROR(CORREL($P269:$S269,$T269:$W269),"")</f>
        <v>-0.529167512835508</v>
      </c>
      <c r="AG269" s="0" t="n">
        <f aca="false">IFERROR(CORREL($X269:$AA269,$AB269:$AE269),"")</f>
        <v>-0.4</v>
      </c>
      <c r="AH269" s="0" t="n">
        <f aca="false">IFERROR((SIGN($P269-$Q269)*SIGN($T269-$U269)+SIGN($P269-$R269)*SIGN($T269-$V269)+SIGN($P269-$S269)*SIGN($T269-$W269)+SIGN($Q269-$R269)*SIGN($U269-$V269)+SIGN($Q269-$S269)*SIGN($U269-$W269)+SIGN($R269-$S269)*SIGN($V269-$W269))/SQRT((6-(($P269=$Q269)*1+($P269=$R269)*1+($P269=$S269)*1+($Q269=$R269)*1+($Q269=$S269)*1+($R269=$S269)*1))*(6-(($T269=$U269)*1+($T269=$V269)*1+($T269=$W269)*1+($U269=$V269)*1+($U269=$W269)*1+($V269=$W269)*1))),"")</f>
        <v>-0.333333333333333</v>
      </c>
      <c r="AI269" s="0" t="n">
        <f aca="false">MATCH(MAX($K269:$O269),$K269:$O269,0)</f>
        <v>4</v>
      </c>
      <c r="AJ269" s="0" t="n">
        <f aca="false">IF(AI269&lt;&gt;$E269,1,0)</f>
        <v>0</v>
      </c>
      <c r="AK269" s="0" t="str">
        <f aca="false">IF(AJ269=1,INDEX($F269:$J269,AI269)/MAX($P269:$S269),"")</f>
        <v/>
      </c>
      <c r="AL269" s="0" t="str">
        <f aca="false">IF(AJ269=1,1+COUNTIF($P269:$S269,"&gt;"&amp;INDEX($F269:$J269,AI269)),"")</f>
        <v/>
      </c>
      <c r="AM269" s="0" t="n">
        <f aca="false">AVERAGE($P269:$S269)/MAX($P269:$S269)</f>
        <v>0.7825</v>
      </c>
      <c r="AN269" s="0" t="n">
        <f aca="false">100-INDEX($F269:$J269,$E269)</f>
        <v>46.8</v>
      </c>
    </row>
    <row r="270" customFormat="false" ht="15" hidden="false" customHeight="false" outlineLevel="0" collapsed="false">
      <c r="A270" s="0" t="s">
        <v>40</v>
      </c>
      <c r="B270" s="0" t="n">
        <v>2016</v>
      </c>
      <c r="C270" s="0" t="s">
        <v>50</v>
      </c>
      <c r="D270" s="0" t="s">
        <v>45</v>
      </c>
      <c r="E270" s="0" t="n">
        <v>3</v>
      </c>
      <c r="F270" s="0" t="n">
        <v>7</v>
      </c>
      <c r="G270" s="0" t="n">
        <v>13.5</v>
      </c>
      <c r="H270" s="0" t="n">
        <v>42.5</v>
      </c>
      <c r="I270" s="0" t="n">
        <v>11</v>
      </c>
      <c r="J270" s="0" t="n">
        <v>10.6</v>
      </c>
      <c r="K270" s="0" t="n">
        <v>6.85805481166</v>
      </c>
      <c r="L270" s="0" t="n">
        <v>29.1737600585</v>
      </c>
      <c r="M270" s="0" t="n">
        <v>24.2548177615</v>
      </c>
      <c r="N270" s="0" t="n">
        <v>20.5191552758</v>
      </c>
      <c r="O270" s="0" t="n">
        <v>19.1942120925</v>
      </c>
      <c r="P270" s="0" t="n">
        <f aca="false">INDEX($F270:$J270,IF(1&lt;$E270,1,1+1))</f>
        <v>7</v>
      </c>
      <c r="Q270" s="0" t="n">
        <f aca="false">INDEX($F270:$J270,IF(2&lt;$E270,2,2+1))</f>
        <v>13.5</v>
      </c>
      <c r="R270" s="0" t="n">
        <f aca="false">INDEX($F270:$J270,IF(3&lt;$E270,3,3+1))</f>
        <v>11</v>
      </c>
      <c r="S270" s="0" t="n">
        <f aca="false">INDEX($F270:$J270,IF(4&lt;$E270,4,4+1))</f>
        <v>10.6</v>
      </c>
      <c r="T270" s="0" t="n">
        <f aca="false">INDEX($K270:$O270,IF(1&lt;$E270,1,1+1))</f>
        <v>6.85805481166</v>
      </c>
      <c r="U270" s="0" t="n">
        <f aca="false">INDEX($K270:$O270,IF(2&lt;$E270,2,2+1))</f>
        <v>29.1737600585</v>
      </c>
      <c r="V270" s="0" t="n">
        <f aca="false">INDEX($K270:$O270,IF(3&lt;$E270,3,3+1))</f>
        <v>20.5191552758</v>
      </c>
      <c r="W270" s="0" t="n">
        <f aca="false">INDEX($K270:$O270,IF(4&lt;$E270,4,4+1))</f>
        <v>19.1942120925</v>
      </c>
      <c r="X270" s="0" t="n">
        <f aca="false">1+COUNTIF($P270:$S270,"&gt;"&amp;$P270)+(COUNTIF($P270:$S270,$P270)-1)/2</f>
        <v>4</v>
      </c>
      <c r="Y270" s="0" t="n">
        <f aca="false">1+COUNTIF($P270:$S270,"&gt;"&amp;$Q270)+(COUNTIF($P270:$S270,$Q270)-1)/2</f>
        <v>1</v>
      </c>
      <c r="Z270" s="0" t="n">
        <f aca="false">1+COUNTIF($P270:$S270,"&gt;"&amp;$R270)+(COUNTIF($P270:$S270,$R270)-1)/2</f>
        <v>2</v>
      </c>
      <c r="AA270" s="0" t="n">
        <f aca="false">1+COUNTIF($P270:$S270,"&gt;"&amp;$S270)+(COUNTIF($P270:$S270,$S270)-1)/2</f>
        <v>3</v>
      </c>
      <c r="AB270" s="0" t="n">
        <f aca="false">1+COUNTIF($T270:$W270,"&gt;"&amp;$T270)+(COUNTIF($T270:$W270,$T270)-1)/2</f>
        <v>4</v>
      </c>
      <c r="AC270" s="0" t="n">
        <f aca="false">1+COUNTIF($T270:$W270,"&gt;"&amp;$U270)+(COUNTIF($T270:$W270,$U270)-1)/2</f>
        <v>1</v>
      </c>
      <c r="AD270" s="0" t="n">
        <f aca="false">1+COUNTIF($T270:$W270,"&gt;"&amp;$V270)+(COUNTIF($T270:$W270,$V270)-1)/2</f>
        <v>2</v>
      </c>
      <c r="AE270" s="0" t="n">
        <f aca="false">1+COUNTIF($T270:$W270,"&gt;"&amp;$W270)+(COUNTIF($T270:$W270,$W270)-1)/2</f>
        <v>3</v>
      </c>
      <c r="AF270" s="0" t="n">
        <f aca="false">IFERROR(CORREL($P270:$S270,$T270:$W270),"")</f>
        <v>0.999993361838942</v>
      </c>
      <c r="AG270" s="0" t="n">
        <f aca="false">IFERROR(CORREL($X270:$AA270,$AB270:$AE270),"")</f>
        <v>1</v>
      </c>
      <c r="AH270" s="0" t="n">
        <f aca="false">IFERROR((SIGN($P270-$Q270)*SIGN($T270-$U270)+SIGN($P270-$R270)*SIGN($T270-$V270)+SIGN($P270-$S270)*SIGN($T270-$W270)+SIGN($Q270-$R270)*SIGN($U270-$V270)+SIGN($Q270-$S270)*SIGN($U270-$W270)+SIGN($R270-$S270)*SIGN($V270-$W270))/SQRT((6-(($P270=$Q270)*1+($P270=$R270)*1+($P270=$S270)*1+($Q270=$R270)*1+($Q270=$S270)*1+($R270=$S270)*1))*(6-(($T270=$U270)*1+($T270=$V270)*1+($T270=$W270)*1+($U270=$V270)*1+($U270=$W270)*1+($V270=$W270)*1))),"")</f>
        <v>1</v>
      </c>
      <c r="AI270" s="0" t="n">
        <f aca="false">MATCH(MAX($K270:$O270),$K270:$O270,0)</f>
        <v>2</v>
      </c>
      <c r="AJ270" s="0" t="n">
        <f aca="false">IF(AI270&lt;&gt;$E270,1,0)</f>
        <v>1</v>
      </c>
      <c r="AK270" s="0" t="n">
        <f aca="false">IF(AJ270=1,INDEX($F270:$J270,AI270)/MAX($P270:$S270),"")</f>
        <v>1</v>
      </c>
      <c r="AL270" s="0" t="n">
        <f aca="false">IF(AJ270=1,1+COUNTIF($P270:$S270,"&gt;"&amp;INDEX($F270:$J270,AI270)),"")</f>
        <v>1</v>
      </c>
      <c r="AM270" s="0" t="n">
        <f aca="false">AVERAGE($P270:$S270)/MAX($P270:$S270)</f>
        <v>0.77962962962963</v>
      </c>
      <c r="AN270" s="0" t="n">
        <f aca="false">100-INDEX($F270:$J270,$E270)</f>
        <v>57.5</v>
      </c>
    </row>
    <row r="271" customFormat="false" ht="15" hidden="false" customHeight="false" outlineLevel="0" collapsed="false">
      <c r="A271" s="0" t="s">
        <v>40</v>
      </c>
      <c r="B271" s="0" t="n">
        <v>2016</v>
      </c>
      <c r="C271" s="0" t="s">
        <v>51</v>
      </c>
      <c r="D271" s="0" t="s">
        <v>43</v>
      </c>
      <c r="E271" s="0" t="n">
        <v>1</v>
      </c>
      <c r="F271" s="0" t="n">
        <v>27.2</v>
      </c>
      <c r="G271" s="0" t="n">
        <v>11.5</v>
      </c>
      <c r="H271" s="0" t="n">
        <v>25.9</v>
      </c>
      <c r="I271" s="0" t="n">
        <v>7.9</v>
      </c>
      <c r="J271" s="0" t="n">
        <v>13.6</v>
      </c>
      <c r="K271" s="0" t="n">
        <v>41.3310076172</v>
      </c>
      <c r="L271" s="0" t="n">
        <v>2.50889593412</v>
      </c>
      <c r="M271" s="0" t="n">
        <v>6.0668709796</v>
      </c>
      <c r="N271" s="0" t="n">
        <v>5.92145876462</v>
      </c>
      <c r="O271" s="0" t="n">
        <v>44.1717667044</v>
      </c>
      <c r="P271" s="0" t="n">
        <f aca="false">INDEX($F271:$J271,IF(1&lt;$E271,1,1+1))</f>
        <v>11.5</v>
      </c>
      <c r="Q271" s="0" t="n">
        <f aca="false">INDEX($F271:$J271,IF(2&lt;$E271,2,2+1))</f>
        <v>25.9</v>
      </c>
      <c r="R271" s="0" t="n">
        <f aca="false">INDEX($F271:$J271,IF(3&lt;$E271,3,3+1))</f>
        <v>7.9</v>
      </c>
      <c r="S271" s="0" t="n">
        <f aca="false">INDEX($F271:$J271,IF(4&lt;$E271,4,4+1))</f>
        <v>13.6</v>
      </c>
      <c r="T271" s="0" t="n">
        <f aca="false">INDEX($K271:$O271,IF(1&lt;$E271,1,1+1))</f>
        <v>2.50889593412</v>
      </c>
      <c r="U271" s="0" t="n">
        <f aca="false">INDEX($K271:$O271,IF(2&lt;$E271,2,2+1))</f>
        <v>6.0668709796</v>
      </c>
      <c r="V271" s="0" t="n">
        <f aca="false">INDEX($K271:$O271,IF(3&lt;$E271,3,3+1))</f>
        <v>5.92145876462</v>
      </c>
      <c r="W271" s="0" t="n">
        <f aca="false">INDEX($K271:$O271,IF(4&lt;$E271,4,4+1))</f>
        <v>44.1717667044</v>
      </c>
      <c r="X271" s="0" t="n">
        <f aca="false">1+COUNTIF($P271:$S271,"&gt;"&amp;$P271)+(COUNTIF($P271:$S271,$P271)-1)/2</f>
        <v>3</v>
      </c>
      <c r="Y271" s="0" t="n">
        <f aca="false">1+COUNTIF($P271:$S271,"&gt;"&amp;$Q271)+(COUNTIF($P271:$S271,$Q271)-1)/2</f>
        <v>1</v>
      </c>
      <c r="Z271" s="0" t="n">
        <f aca="false">1+COUNTIF($P271:$S271,"&gt;"&amp;$R271)+(COUNTIF($P271:$S271,$R271)-1)/2</f>
        <v>4</v>
      </c>
      <c r="AA271" s="0" t="n">
        <f aca="false">1+COUNTIF($P271:$S271,"&gt;"&amp;$S271)+(COUNTIF($P271:$S271,$S271)-1)/2</f>
        <v>2</v>
      </c>
      <c r="AB271" s="0" t="n">
        <f aca="false">1+COUNTIF($T271:$W271,"&gt;"&amp;$T271)+(COUNTIF($T271:$W271,$T271)-1)/2</f>
        <v>4</v>
      </c>
      <c r="AC271" s="0" t="n">
        <f aca="false">1+COUNTIF($T271:$W271,"&gt;"&amp;$U271)+(COUNTIF($T271:$W271,$U271)-1)/2</f>
        <v>2</v>
      </c>
      <c r="AD271" s="0" t="n">
        <f aca="false">1+COUNTIF($T271:$W271,"&gt;"&amp;$V271)+(COUNTIF($T271:$W271,$V271)-1)/2</f>
        <v>3</v>
      </c>
      <c r="AE271" s="0" t="n">
        <f aca="false">1+COUNTIF($T271:$W271,"&gt;"&amp;$W271)+(COUNTIF($T271:$W271,$W271)-1)/2</f>
        <v>1</v>
      </c>
      <c r="AF271" s="0" t="n">
        <f aca="false">IFERROR(CORREL($P271:$S271,$T271:$W271),"")</f>
        <v>-0.0657117270615815</v>
      </c>
      <c r="AG271" s="0" t="n">
        <f aca="false">IFERROR(CORREL($X271:$AA271,$AB271:$AE271),"")</f>
        <v>0.6</v>
      </c>
      <c r="AH271" s="0" t="n">
        <f aca="false">IFERROR((SIGN($P271-$Q271)*SIGN($T271-$U271)+SIGN($P271-$R271)*SIGN($T271-$V271)+SIGN($P271-$S271)*SIGN($T271-$W271)+SIGN($Q271-$R271)*SIGN($U271-$V271)+SIGN($Q271-$S271)*SIGN($U271-$W271)+SIGN($R271-$S271)*SIGN($V271-$W271))/SQRT((6-(($P271=$Q271)*1+($P271=$R271)*1+($P271=$S271)*1+($Q271=$R271)*1+($Q271=$S271)*1+($R271=$S271)*1))*(6-(($T271=$U271)*1+($T271=$V271)*1+($T271=$W271)*1+($U271=$V271)*1+($U271=$W271)*1+($V271=$W271)*1))),"")</f>
        <v>0.333333333333333</v>
      </c>
      <c r="AI271" s="0" t="n">
        <f aca="false">MATCH(MAX($K271:$O271),$K271:$O271,0)</f>
        <v>5</v>
      </c>
      <c r="AJ271" s="0" t="n">
        <f aca="false">IF(AI271&lt;&gt;$E271,1,0)</f>
        <v>1</v>
      </c>
      <c r="AK271" s="0" t="n">
        <f aca="false">IF(AJ271=1,INDEX($F271:$J271,AI271)/MAX($P271:$S271),"")</f>
        <v>0.525096525096525</v>
      </c>
      <c r="AL271" s="0" t="n">
        <f aca="false">IF(AJ271=1,1+COUNTIF($P271:$S271,"&gt;"&amp;INDEX($F271:$J271,AI271)),"")</f>
        <v>2</v>
      </c>
      <c r="AM271" s="0" t="n">
        <f aca="false">AVERAGE($P271:$S271)/MAX($P271:$S271)</f>
        <v>0.568532818532819</v>
      </c>
      <c r="AN271" s="0" t="n">
        <f aca="false">100-INDEX($F271:$J271,$E271)</f>
        <v>72.8</v>
      </c>
    </row>
    <row r="272" customFormat="false" ht="15" hidden="false" customHeight="false" outlineLevel="0" collapsed="false">
      <c r="A272" s="0" t="s">
        <v>40</v>
      </c>
      <c r="B272" s="0" t="n">
        <v>2016</v>
      </c>
      <c r="C272" s="0" t="s">
        <v>51</v>
      </c>
      <c r="D272" s="0" t="s">
        <v>44</v>
      </c>
      <c r="E272" s="0" t="n">
        <v>2</v>
      </c>
      <c r="F272" s="0" t="n">
        <v>9.6</v>
      </c>
      <c r="G272" s="0" t="n">
        <v>46.8</v>
      </c>
      <c r="H272" s="0" t="n">
        <v>11.6</v>
      </c>
      <c r="I272" s="0" t="n">
        <v>9.8</v>
      </c>
      <c r="J272" s="0" t="n">
        <v>8.1</v>
      </c>
      <c r="K272" s="0" t="n">
        <v>25.760716839</v>
      </c>
      <c r="L272" s="0" t="n">
        <v>21.2413099478</v>
      </c>
      <c r="M272" s="0" t="n">
        <v>25.2568153412</v>
      </c>
      <c r="N272" s="0" t="n">
        <v>1.03684542803</v>
      </c>
      <c r="O272" s="0" t="n">
        <v>26.704312444</v>
      </c>
      <c r="P272" s="0" t="n">
        <f aca="false">INDEX($F272:$J272,IF(1&lt;$E272,1,1+1))</f>
        <v>9.6</v>
      </c>
      <c r="Q272" s="0" t="n">
        <f aca="false">INDEX($F272:$J272,IF(2&lt;$E272,2,2+1))</f>
        <v>11.6</v>
      </c>
      <c r="R272" s="0" t="n">
        <f aca="false">INDEX($F272:$J272,IF(3&lt;$E272,3,3+1))</f>
        <v>9.8</v>
      </c>
      <c r="S272" s="0" t="n">
        <f aca="false">INDEX($F272:$J272,IF(4&lt;$E272,4,4+1))</f>
        <v>8.1</v>
      </c>
      <c r="T272" s="0" t="n">
        <f aca="false">INDEX($K272:$O272,IF(1&lt;$E272,1,1+1))</f>
        <v>25.760716839</v>
      </c>
      <c r="U272" s="0" t="n">
        <f aca="false">INDEX($K272:$O272,IF(2&lt;$E272,2,2+1))</f>
        <v>25.2568153412</v>
      </c>
      <c r="V272" s="0" t="n">
        <f aca="false">INDEX($K272:$O272,IF(3&lt;$E272,3,3+1))</f>
        <v>1.03684542803</v>
      </c>
      <c r="W272" s="0" t="n">
        <f aca="false">INDEX($K272:$O272,IF(4&lt;$E272,4,4+1))</f>
        <v>26.704312444</v>
      </c>
      <c r="X272" s="0" t="n">
        <f aca="false">1+COUNTIF($P272:$S272,"&gt;"&amp;$P272)+(COUNTIF($P272:$S272,$P272)-1)/2</f>
        <v>3</v>
      </c>
      <c r="Y272" s="0" t="n">
        <f aca="false">1+COUNTIF($P272:$S272,"&gt;"&amp;$Q272)+(COUNTIF($P272:$S272,$Q272)-1)/2</f>
        <v>1</v>
      </c>
      <c r="Z272" s="0" t="n">
        <f aca="false">1+COUNTIF($P272:$S272,"&gt;"&amp;$R272)+(COUNTIF($P272:$S272,$R272)-1)/2</f>
        <v>2</v>
      </c>
      <c r="AA272" s="0" t="n">
        <f aca="false">1+COUNTIF($P272:$S272,"&gt;"&amp;$S272)+(COUNTIF($P272:$S272,$S272)-1)/2</f>
        <v>4</v>
      </c>
      <c r="AB272" s="0" t="n">
        <f aca="false">1+COUNTIF($T272:$W272,"&gt;"&amp;$T272)+(COUNTIF($T272:$W272,$T272)-1)/2</f>
        <v>2</v>
      </c>
      <c r="AC272" s="0" t="n">
        <f aca="false">1+COUNTIF($T272:$W272,"&gt;"&amp;$U272)+(COUNTIF($T272:$W272,$U272)-1)/2</f>
        <v>3</v>
      </c>
      <c r="AD272" s="0" t="n">
        <f aca="false">1+COUNTIF($T272:$W272,"&gt;"&amp;$V272)+(COUNTIF($T272:$W272,$V272)-1)/2</f>
        <v>4</v>
      </c>
      <c r="AE272" s="0" t="n">
        <f aca="false">1+COUNTIF($T272:$W272,"&gt;"&amp;$W272)+(COUNTIF($T272:$W272,$W272)-1)/2</f>
        <v>1</v>
      </c>
      <c r="AF272" s="0" t="n">
        <f aca="false">IFERROR(CORREL($P272:$S272,$T272:$W272),"")</f>
        <v>-0.058228553938092</v>
      </c>
      <c r="AG272" s="0" t="n">
        <f aca="false">IFERROR(CORREL($X272:$AA272,$AB272:$AE272),"")</f>
        <v>-0.8</v>
      </c>
      <c r="AH272" s="0" t="n">
        <f aca="false">IFERROR((SIGN($P272-$Q272)*SIGN($T272-$U272)+SIGN($P272-$R272)*SIGN($T272-$V272)+SIGN($P272-$S272)*SIGN($T272-$W272)+SIGN($Q272-$R272)*SIGN($U272-$V272)+SIGN($Q272-$S272)*SIGN($U272-$W272)+SIGN($R272-$S272)*SIGN($V272-$W272))/SQRT((6-(($P272=$Q272)*1+($P272=$R272)*1+($P272=$S272)*1+($Q272=$R272)*1+($Q272=$S272)*1+($R272=$S272)*1))*(6-(($T272=$U272)*1+($T272=$V272)*1+($T272=$W272)*1+($U272=$V272)*1+($U272=$W272)*1+($V272=$W272)*1))),"")</f>
        <v>-0.666666666666667</v>
      </c>
      <c r="AI272" s="0" t="n">
        <f aca="false">MATCH(MAX($K272:$O272),$K272:$O272,0)</f>
        <v>5</v>
      </c>
      <c r="AJ272" s="0" t="n">
        <f aca="false">IF(AI272&lt;&gt;$E272,1,0)</f>
        <v>1</v>
      </c>
      <c r="AK272" s="0" t="n">
        <f aca="false">IF(AJ272=1,INDEX($F272:$J272,AI272)/MAX($P272:$S272),"")</f>
        <v>0.698275862068966</v>
      </c>
      <c r="AL272" s="0" t="n">
        <f aca="false">IF(AJ272=1,1+COUNTIF($P272:$S272,"&gt;"&amp;INDEX($F272:$J272,AI272)),"")</f>
        <v>4</v>
      </c>
      <c r="AM272" s="0" t="n">
        <f aca="false">AVERAGE($P272:$S272)/MAX($P272:$S272)</f>
        <v>0.842672413793104</v>
      </c>
      <c r="AN272" s="0" t="n">
        <f aca="false">100-INDEX($F272:$J272,$E272)</f>
        <v>53.2</v>
      </c>
    </row>
    <row r="273" customFormat="false" ht="15" hidden="false" customHeight="false" outlineLevel="0" collapsed="false">
      <c r="A273" s="0" t="s">
        <v>40</v>
      </c>
      <c r="B273" s="0" t="n">
        <v>2016</v>
      </c>
      <c r="C273" s="0" t="s">
        <v>51</v>
      </c>
      <c r="D273" s="0" t="s">
        <v>45</v>
      </c>
      <c r="E273" s="0" t="n">
        <v>4</v>
      </c>
      <c r="F273" s="0" t="n">
        <v>8.8</v>
      </c>
      <c r="G273" s="0" t="n">
        <v>11.5</v>
      </c>
      <c r="H273" s="0" t="n">
        <v>24.3</v>
      </c>
      <c r="I273" s="0" t="n">
        <v>30.2</v>
      </c>
      <c r="J273" s="0" t="n">
        <v>11</v>
      </c>
      <c r="K273" s="0" t="n">
        <v>10.1032829663</v>
      </c>
      <c r="L273" s="0" t="n">
        <v>8.78262529949</v>
      </c>
      <c r="M273" s="0" t="n">
        <v>15.0568936225</v>
      </c>
      <c r="N273" s="0" t="n">
        <v>40.6096940813</v>
      </c>
      <c r="O273" s="0" t="n">
        <v>25.4475040305</v>
      </c>
      <c r="P273" s="0" t="n">
        <f aca="false">INDEX($F273:$J273,IF(1&lt;$E273,1,1+1))</f>
        <v>8.8</v>
      </c>
      <c r="Q273" s="0" t="n">
        <f aca="false">INDEX($F273:$J273,IF(2&lt;$E273,2,2+1))</f>
        <v>11.5</v>
      </c>
      <c r="R273" s="0" t="n">
        <f aca="false">INDEX($F273:$J273,IF(3&lt;$E273,3,3+1))</f>
        <v>24.3</v>
      </c>
      <c r="S273" s="0" t="n">
        <f aca="false">INDEX($F273:$J273,IF(4&lt;$E273,4,4+1))</f>
        <v>11</v>
      </c>
      <c r="T273" s="0" t="n">
        <f aca="false">INDEX($K273:$O273,IF(1&lt;$E273,1,1+1))</f>
        <v>10.1032829663</v>
      </c>
      <c r="U273" s="0" t="n">
        <f aca="false">INDEX($K273:$O273,IF(2&lt;$E273,2,2+1))</f>
        <v>8.78262529949</v>
      </c>
      <c r="V273" s="0" t="n">
        <f aca="false">INDEX($K273:$O273,IF(3&lt;$E273,3,3+1))</f>
        <v>15.0568936225</v>
      </c>
      <c r="W273" s="0" t="n">
        <f aca="false">INDEX($K273:$O273,IF(4&lt;$E273,4,4+1))</f>
        <v>25.4475040305</v>
      </c>
      <c r="X273" s="0" t="n">
        <f aca="false">1+COUNTIF($P273:$S273,"&gt;"&amp;$P273)+(COUNTIF($P273:$S273,$P273)-1)/2</f>
        <v>4</v>
      </c>
      <c r="Y273" s="0" t="n">
        <f aca="false">1+COUNTIF($P273:$S273,"&gt;"&amp;$Q273)+(COUNTIF($P273:$S273,$Q273)-1)/2</f>
        <v>2</v>
      </c>
      <c r="Z273" s="0" t="n">
        <f aca="false">1+COUNTIF($P273:$S273,"&gt;"&amp;$R273)+(COUNTIF($P273:$S273,$R273)-1)/2</f>
        <v>1</v>
      </c>
      <c r="AA273" s="0" t="n">
        <f aca="false">1+COUNTIF($P273:$S273,"&gt;"&amp;$S273)+(COUNTIF($P273:$S273,$S273)-1)/2</f>
        <v>3</v>
      </c>
      <c r="AB273" s="0" t="n">
        <f aca="false">1+COUNTIF($T273:$W273,"&gt;"&amp;$T273)+(COUNTIF($T273:$W273,$T273)-1)/2</f>
        <v>3</v>
      </c>
      <c r="AC273" s="0" t="n">
        <f aca="false">1+COUNTIF($T273:$W273,"&gt;"&amp;$U273)+(COUNTIF($T273:$W273,$U273)-1)/2</f>
        <v>4</v>
      </c>
      <c r="AD273" s="0" t="n">
        <f aca="false">1+COUNTIF($T273:$W273,"&gt;"&amp;$V273)+(COUNTIF($T273:$W273,$V273)-1)/2</f>
        <v>2</v>
      </c>
      <c r="AE273" s="0" t="n">
        <f aca="false">1+COUNTIF($T273:$W273,"&gt;"&amp;$W273)+(COUNTIF($T273:$W273,$W273)-1)/2</f>
        <v>1</v>
      </c>
      <c r="AF273" s="0" t="n">
        <f aca="false">IFERROR(CORREL($P273:$S273,$T273:$W273),"")</f>
        <v>0.0638439582333708</v>
      </c>
      <c r="AG273" s="0" t="n">
        <f aca="false">IFERROR(CORREL($X273:$AA273,$AB273:$AE273),"")</f>
        <v>0</v>
      </c>
      <c r="AH273" s="0" t="n">
        <f aca="false">IFERROR((SIGN($P273-$Q273)*SIGN($T273-$U273)+SIGN($P273-$R273)*SIGN($T273-$V273)+SIGN($P273-$S273)*SIGN($T273-$W273)+SIGN($Q273-$R273)*SIGN($U273-$V273)+SIGN($Q273-$S273)*SIGN($U273-$W273)+SIGN($R273-$S273)*SIGN($V273-$W273))/SQRT((6-(($P273=$Q273)*1+($P273=$R273)*1+($P273=$S273)*1+($Q273=$R273)*1+($Q273=$S273)*1+($R273=$S273)*1))*(6-(($T273=$U273)*1+($T273=$V273)*1+($T273=$W273)*1+($U273=$V273)*1+($U273=$W273)*1+($V273=$W273)*1))),"")</f>
        <v>0</v>
      </c>
      <c r="AI273" s="0" t="n">
        <f aca="false">MATCH(MAX($K273:$O273),$K273:$O273,0)</f>
        <v>4</v>
      </c>
      <c r="AJ273" s="0" t="n">
        <f aca="false">IF(AI273&lt;&gt;$E273,1,0)</f>
        <v>0</v>
      </c>
      <c r="AK273" s="0" t="str">
        <f aca="false">IF(AJ273=1,INDEX($F273:$J273,AI273)/MAX($P273:$S273),"")</f>
        <v/>
      </c>
      <c r="AL273" s="0" t="str">
        <f aca="false">IF(AJ273=1,1+COUNTIF($P273:$S273,"&gt;"&amp;INDEX($F273:$J273,AI273)),"")</f>
        <v/>
      </c>
      <c r="AM273" s="0" t="n">
        <f aca="false">AVERAGE($P273:$S273)/MAX($P273:$S273)</f>
        <v>0.57201646090535</v>
      </c>
      <c r="AN273" s="0" t="n">
        <f aca="false">100-INDEX($F273:$J273,$E273)</f>
        <v>69.8</v>
      </c>
    </row>
    <row r="274" customFormat="false" ht="15" hidden="false" customHeight="false" outlineLevel="0" collapsed="false">
      <c r="A274" s="0" t="s">
        <v>40</v>
      </c>
      <c r="B274" s="0" t="n">
        <v>2016</v>
      </c>
      <c r="C274" s="0" t="s">
        <v>52</v>
      </c>
      <c r="D274" s="0" t="s">
        <v>42</v>
      </c>
      <c r="E274" s="0" t="n">
        <v>1</v>
      </c>
      <c r="F274" s="0" t="n">
        <v>47.8</v>
      </c>
      <c r="G274" s="0" t="n">
        <v>9.1</v>
      </c>
      <c r="H274" s="0" t="n">
        <v>7.2</v>
      </c>
      <c r="I274" s="0" t="n">
        <v>10.2</v>
      </c>
      <c r="J274" s="0" t="n">
        <v>11.7</v>
      </c>
      <c r="K274" s="0" t="n">
        <v>32.3059287115</v>
      </c>
      <c r="L274" s="0" t="n">
        <v>1.61074380295</v>
      </c>
      <c r="M274" s="0" t="n">
        <v>0.0222944287511</v>
      </c>
      <c r="N274" s="0" t="n">
        <v>0.927569343476</v>
      </c>
      <c r="O274" s="0" t="n">
        <v>65.1334637133</v>
      </c>
      <c r="P274" s="0" t="n">
        <f aca="false">INDEX($F274:$J274,IF(1&lt;$E274,1,1+1))</f>
        <v>9.1</v>
      </c>
      <c r="Q274" s="0" t="n">
        <f aca="false">INDEX($F274:$J274,IF(2&lt;$E274,2,2+1))</f>
        <v>7.2</v>
      </c>
      <c r="R274" s="0" t="n">
        <f aca="false">INDEX($F274:$J274,IF(3&lt;$E274,3,3+1))</f>
        <v>10.2</v>
      </c>
      <c r="S274" s="0" t="n">
        <f aca="false">INDEX($F274:$J274,IF(4&lt;$E274,4,4+1))</f>
        <v>11.7</v>
      </c>
      <c r="T274" s="0" t="n">
        <f aca="false">INDEX($K274:$O274,IF(1&lt;$E274,1,1+1))</f>
        <v>1.61074380295</v>
      </c>
      <c r="U274" s="0" t="n">
        <f aca="false">INDEX($K274:$O274,IF(2&lt;$E274,2,2+1))</f>
        <v>0.0222944287511</v>
      </c>
      <c r="V274" s="0" t="n">
        <f aca="false">INDEX($K274:$O274,IF(3&lt;$E274,3,3+1))</f>
        <v>0.927569343476</v>
      </c>
      <c r="W274" s="0" t="n">
        <f aca="false">INDEX($K274:$O274,IF(4&lt;$E274,4,4+1))</f>
        <v>65.1334637133</v>
      </c>
      <c r="X274" s="0" t="n">
        <f aca="false">1+COUNTIF($P274:$S274,"&gt;"&amp;$P274)+(COUNTIF($P274:$S274,$P274)-1)/2</f>
        <v>3</v>
      </c>
      <c r="Y274" s="0" t="n">
        <f aca="false">1+COUNTIF($P274:$S274,"&gt;"&amp;$Q274)+(COUNTIF($P274:$S274,$Q274)-1)/2</f>
        <v>4</v>
      </c>
      <c r="Z274" s="0" t="n">
        <f aca="false">1+COUNTIF($P274:$S274,"&gt;"&amp;$R274)+(COUNTIF($P274:$S274,$R274)-1)/2</f>
        <v>2</v>
      </c>
      <c r="AA274" s="0" t="n">
        <f aca="false">1+COUNTIF($P274:$S274,"&gt;"&amp;$S274)+(COUNTIF($P274:$S274,$S274)-1)/2</f>
        <v>1</v>
      </c>
      <c r="AB274" s="0" t="n">
        <f aca="false">1+COUNTIF($T274:$W274,"&gt;"&amp;$T274)+(COUNTIF($T274:$W274,$T274)-1)/2</f>
        <v>2</v>
      </c>
      <c r="AC274" s="0" t="n">
        <f aca="false">1+COUNTIF($T274:$W274,"&gt;"&amp;$U274)+(COUNTIF($T274:$W274,$U274)-1)/2</f>
        <v>4</v>
      </c>
      <c r="AD274" s="0" t="n">
        <f aca="false">1+COUNTIF($T274:$W274,"&gt;"&amp;$V274)+(COUNTIF($T274:$W274,$V274)-1)/2</f>
        <v>3</v>
      </c>
      <c r="AE274" s="0" t="n">
        <f aca="false">1+COUNTIF($T274:$W274,"&gt;"&amp;$W274)+(COUNTIF($T274:$W274,$W274)-1)/2</f>
        <v>1</v>
      </c>
      <c r="AF274" s="0" t="n">
        <f aca="false">IFERROR(CORREL($P274:$S274,$T274:$W274),"")</f>
        <v>0.765418402835975</v>
      </c>
      <c r="AG274" s="0" t="n">
        <f aca="false">IFERROR(CORREL($X274:$AA274,$AB274:$AE274),"")</f>
        <v>0.8</v>
      </c>
      <c r="AH274" s="0" t="n">
        <f aca="false">IFERROR((SIGN($P274-$Q274)*SIGN($T274-$U274)+SIGN($P274-$R274)*SIGN($T274-$V274)+SIGN($P274-$S274)*SIGN($T274-$W274)+SIGN($Q274-$R274)*SIGN($U274-$V274)+SIGN($Q274-$S274)*SIGN($U274-$W274)+SIGN($R274-$S274)*SIGN($V274-$W274))/SQRT((6-(($P274=$Q274)*1+($P274=$R274)*1+($P274=$S274)*1+($Q274=$R274)*1+($Q274=$S274)*1+($R274=$S274)*1))*(6-(($T274=$U274)*1+($T274=$V274)*1+($T274=$W274)*1+($U274=$V274)*1+($U274=$W274)*1+($V274=$W274)*1))),"")</f>
        <v>0.666666666666667</v>
      </c>
      <c r="AI274" s="0" t="n">
        <f aca="false">MATCH(MAX($K274:$O274),$K274:$O274,0)</f>
        <v>5</v>
      </c>
      <c r="AJ274" s="0" t="n">
        <f aca="false">IF(AI274&lt;&gt;$E274,1,0)</f>
        <v>1</v>
      </c>
      <c r="AK274" s="0" t="n">
        <f aca="false">IF(AJ274=1,INDEX($F274:$J274,AI274)/MAX($P274:$S274),"")</f>
        <v>1</v>
      </c>
      <c r="AL274" s="0" t="n">
        <f aca="false">IF(AJ274=1,1+COUNTIF($P274:$S274,"&gt;"&amp;INDEX($F274:$J274,AI274)),"")</f>
        <v>1</v>
      </c>
      <c r="AM274" s="0" t="n">
        <f aca="false">AVERAGE($P274:$S274)/MAX($P274:$S274)</f>
        <v>0.816239316239316</v>
      </c>
      <c r="AN274" s="0" t="n">
        <f aca="false">100-INDEX($F274:$J274,$E274)</f>
        <v>52.2</v>
      </c>
    </row>
    <row r="275" customFormat="false" ht="15" hidden="false" customHeight="false" outlineLevel="0" collapsed="false">
      <c r="A275" s="0" t="s">
        <v>40</v>
      </c>
      <c r="B275" s="0" t="n">
        <v>2016</v>
      </c>
      <c r="C275" s="0" t="s">
        <v>52</v>
      </c>
      <c r="D275" s="0" t="s">
        <v>43</v>
      </c>
      <c r="E275" s="0" t="n">
        <v>1</v>
      </c>
      <c r="F275" s="0" t="n">
        <v>39.3</v>
      </c>
      <c r="G275" s="0" t="n">
        <v>19</v>
      </c>
      <c r="H275" s="0" t="n">
        <v>14.7</v>
      </c>
      <c r="I275" s="0" t="n">
        <v>7.9</v>
      </c>
      <c r="J275" s="0" t="n">
        <v>4.7</v>
      </c>
      <c r="K275" s="0" t="n">
        <v>70.256910894</v>
      </c>
      <c r="L275" s="0" t="n">
        <v>8.93686133424</v>
      </c>
      <c r="M275" s="0" t="n">
        <v>15.3734413027</v>
      </c>
      <c r="N275" s="0" t="n">
        <v>3.72068496123</v>
      </c>
      <c r="O275" s="0" t="n">
        <v>1.71210150781</v>
      </c>
      <c r="P275" s="0" t="n">
        <f aca="false">INDEX($F275:$J275,IF(1&lt;$E275,1,1+1))</f>
        <v>19</v>
      </c>
      <c r="Q275" s="0" t="n">
        <f aca="false">INDEX($F275:$J275,IF(2&lt;$E275,2,2+1))</f>
        <v>14.7</v>
      </c>
      <c r="R275" s="0" t="n">
        <f aca="false">INDEX($F275:$J275,IF(3&lt;$E275,3,3+1))</f>
        <v>7.9</v>
      </c>
      <c r="S275" s="0" t="n">
        <f aca="false">INDEX($F275:$J275,IF(4&lt;$E275,4,4+1))</f>
        <v>4.7</v>
      </c>
      <c r="T275" s="0" t="n">
        <f aca="false">INDEX($K275:$O275,IF(1&lt;$E275,1,1+1))</f>
        <v>8.93686133424</v>
      </c>
      <c r="U275" s="0" t="n">
        <f aca="false">INDEX($K275:$O275,IF(2&lt;$E275,2,2+1))</f>
        <v>15.3734413027</v>
      </c>
      <c r="V275" s="0" t="n">
        <f aca="false">INDEX($K275:$O275,IF(3&lt;$E275,3,3+1))</f>
        <v>3.72068496123</v>
      </c>
      <c r="W275" s="0" t="n">
        <f aca="false">INDEX($K275:$O275,IF(4&lt;$E275,4,4+1))</f>
        <v>1.71210150781</v>
      </c>
      <c r="X275" s="0" t="n">
        <f aca="false">1+COUNTIF($P275:$S275,"&gt;"&amp;$P275)+(COUNTIF($P275:$S275,$P275)-1)/2</f>
        <v>1</v>
      </c>
      <c r="Y275" s="0" t="n">
        <f aca="false">1+COUNTIF($P275:$S275,"&gt;"&amp;$Q275)+(COUNTIF($P275:$S275,$Q275)-1)/2</f>
        <v>2</v>
      </c>
      <c r="Z275" s="0" t="n">
        <f aca="false">1+COUNTIF($P275:$S275,"&gt;"&amp;$R275)+(COUNTIF($P275:$S275,$R275)-1)/2</f>
        <v>3</v>
      </c>
      <c r="AA275" s="0" t="n">
        <f aca="false">1+COUNTIF($P275:$S275,"&gt;"&amp;$S275)+(COUNTIF($P275:$S275,$S275)-1)/2</f>
        <v>4</v>
      </c>
      <c r="AB275" s="0" t="n">
        <f aca="false">1+COUNTIF($T275:$W275,"&gt;"&amp;$T275)+(COUNTIF($T275:$W275,$T275)-1)/2</f>
        <v>2</v>
      </c>
      <c r="AC275" s="0" t="n">
        <f aca="false">1+COUNTIF($T275:$W275,"&gt;"&amp;$U275)+(COUNTIF($T275:$W275,$U275)-1)/2</f>
        <v>1</v>
      </c>
      <c r="AD275" s="0" t="n">
        <f aca="false">1+COUNTIF($T275:$W275,"&gt;"&amp;$V275)+(COUNTIF($T275:$W275,$V275)-1)/2</f>
        <v>3</v>
      </c>
      <c r="AE275" s="0" t="n">
        <f aca="false">1+COUNTIF($T275:$W275,"&gt;"&amp;$W275)+(COUNTIF($T275:$W275,$W275)-1)/2</f>
        <v>4</v>
      </c>
      <c r="AF275" s="0" t="n">
        <f aca="false">IFERROR(CORREL($P275:$S275,$T275:$W275),"")</f>
        <v>0.750395153735055</v>
      </c>
      <c r="AG275" s="0" t="n">
        <f aca="false">IFERROR(CORREL($X275:$AA275,$AB275:$AE275),"")</f>
        <v>0.8</v>
      </c>
      <c r="AH275" s="0" t="n">
        <f aca="false">IFERROR((SIGN($P275-$Q275)*SIGN($T275-$U275)+SIGN($P275-$R275)*SIGN($T275-$V275)+SIGN($P275-$S275)*SIGN($T275-$W275)+SIGN($Q275-$R275)*SIGN($U275-$V275)+SIGN($Q275-$S275)*SIGN($U275-$W275)+SIGN($R275-$S275)*SIGN($V275-$W275))/SQRT((6-(($P275=$Q275)*1+($P275=$R275)*1+($P275=$S275)*1+($Q275=$R275)*1+($Q275=$S275)*1+($R275=$S275)*1))*(6-(($T275=$U275)*1+($T275=$V275)*1+($T275=$W275)*1+($U275=$V275)*1+($U275=$W275)*1+($V275=$W275)*1))),"")</f>
        <v>0.666666666666667</v>
      </c>
      <c r="AI275" s="0" t="n">
        <f aca="false">MATCH(MAX($K275:$O275),$K275:$O275,0)</f>
        <v>1</v>
      </c>
      <c r="AJ275" s="0" t="n">
        <f aca="false">IF(AI275&lt;&gt;$E275,1,0)</f>
        <v>0</v>
      </c>
      <c r="AK275" s="0" t="str">
        <f aca="false">IF(AJ275=1,INDEX($F275:$J275,AI275)/MAX($P275:$S275),"")</f>
        <v/>
      </c>
      <c r="AL275" s="0" t="str">
        <f aca="false">IF(AJ275=1,1+COUNTIF($P275:$S275,"&gt;"&amp;INDEX($F275:$J275,AI275)),"")</f>
        <v/>
      </c>
      <c r="AM275" s="0" t="n">
        <f aca="false">AVERAGE($P275:$S275)/MAX($P275:$S275)</f>
        <v>0.609210526315789</v>
      </c>
      <c r="AN275" s="0" t="n">
        <f aca="false">100-INDEX($F275:$J275,$E275)</f>
        <v>60.7</v>
      </c>
    </row>
    <row r="276" customFormat="false" ht="15" hidden="false" customHeight="false" outlineLevel="0" collapsed="false">
      <c r="A276" s="0" t="s">
        <v>40</v>
      </c>
      <c r="B276" s="0" t="n">
        <v>2016</v>
      </c>
      <c r="C276" s="0" t="s">
        <v>52</v>
      </c>
      <c r="D276" s="0" t="s">
        <v>44</v>
      </c>
      <c r="E276" s="0" t="n">
        <v>3</v>
      </c>
      <c r="F276" s="0" t="n">
        <v>5.4</v>
      </c>
      <c r="G276" s="0" t="n">
        <v>8.7</v>
      </c>
      <c r="H276" s="0" t="n">
        <v>25.1</v>
      </c>
      <c r="I276" s="0" t="n">
        <v>29.2</v>
      </c>
      <c r="J276" s="0" t="n">
        <v>16.9</v>
      </c>
      <c r="K276" s="0" t="n">
        <v>39.1977638273</v>
      </c>
      <c r="L276" s="0" t="n">
        <v>33.3658290915</v>
      </c>
      <c r="M276" s="0" t="n">
        <v>8.91231020202</v>
      </c>
      <c r="N276" s="0" t="n">
        <v>10.4751532691</v>
      </c>
      <c r="O276" s="0" t="n">
        <v>8.04894361014</v>
      </c>
      <c r="P276" s="0" t="n">
        <f aca="false">INDEX($F276:$J276,IF(1&lt;$E276,1,1+1))</f>
        <v>5.4</v>
      </c>
      <c r="Q276" s="0" t="n">
        <f aca="false">INDEX($F276:$J276,IF(2&lt;$E276,2,2+1))</f>
        <v>8.7</v>
      </c>
      <c r="R276" s="0" t="n">
        <f aca="false">INDEX($F276:$J276,IF(3&lt;$E276,3,3+1))</f>
        <v>29.2</v>
      </c>
      <c r="S276" s="0" t="n">
        <f aca="false">INDEX($F276:$J276,IF(4&lt;$E276,4,4+1))</f>
        <v>16.9</v>
      </c>
      <c r="T276" s="0" t="n">
        <f aca="false">INDEX($K276:$O276,IF(1&lt;$E276,1,1+1))</f>
        <v>39.1977638273</v>
      </c>
      <c r="U276" s="0" t="n">
        <f aca="false">INDEX($K276:$O276,IF(2&lt;$E276,2,2+1))</f>
        <v>33.3658290915</v>
      </c>
      <c r="V276" s="0" t="n">
        <f aca="false">INDEX($K276:$O276,IF(3&lt;$E276,3,3+1))</f>
        <v>10.4751532691</v>
      </c>
      <c r="W276" s="0" t="n">
        <f aca="false">INDEX($K276:$O276,IF(4&lt;$E276,4,4+1))</f>
        <v>8.04894361014</v>
      </c>
      <c r="X276" s="0" t="n">
        <f aca="false">1+COUNTIF($P276:$S276,"&gt;"&amp;$P276)+(COUNTIF($P276:$S276,$P276)-1)/2</f>
        <v>4</v>
      </c>
      <c r="Y276" s="0" t="n">
        <f aca="false">1+COUNTIF($P276:$S276,"&gt;"&amp;$Q276)+(COUNTIF($P276:$S276,$Q276)-1)/2</f>
        <v>3</v>
      </c>
      <c r="Z276" s="0" t="n">
        <f aca="false">1+COUNTIF($P276:$S276,"&gt;"&amp;$R276)+(COUNTIF($P276:$S276,$R276)-1)/2</f>
        <v>1</v>
      </c>
      <c r="AA276" s="0" t="n">
        <f aca="false">1+COUNTIF($P276:$S276,"&gt;"&amp;$S276)+(COUNTIF($P276:$S276,$S276)-1)/2</f>
        <v>2</v>
      </c>
      <c r="AB276" s="0" t="n">
        <f aca="false">1+COUNTIF($T276:$W276,"&gt;"&amp;$T276)+(COUNTIF($T276:$W276,$T276)-1)/2</f>
        <v>1</v>
      </c>
      <c r="AC276" s="0" t="n">
        <f aca="false">1+COUNTIF($T276:$W276,"&gt;"&amp;$U276)+(COUNTIF($T276:$W276,$U276)-1)/2</f>
        <v>2</v>
      </c>
      <c r="AD276" s="0" t="n">
        <f aca="false">1+COUNTIF($T276:$W276,"&gt;"&amp;$V276)+(COUNTIF($T276:$W276,$V276)-1)/2</f>
        <v>3</v>
      </c>
      <c r="AE276" s="0" t="n">
        <f aca="false">1+COUNTIF($T276:$W276,"&gt;"&amp;$W276)+(COUNTIF($T276:$W276,$W276)-1)/2</f>
        <v>4</v>
      </c>
      <c r="AF276" s="0" t="n">
        <f aca="false">IFERROR(CORREL($P276:$S276,$T276:$W276),"")</f>
        <v>-0.849253831403981</v>
      </c>
      <c r="AG276" s="0" t="n">
        <f aca="false">IFERROR(CORREL($X276:$AA276,$AB276:$AE276),"")</f>
        <v>-0.8</v>
      </c>
      <c r="AH276" s="0" t="n">
        <f aca="false">IFERROR((SIGN($P276-$Q276)*SIGN($T276-$U276)+SIGN($P276-$R276)*SIGN($T276-$V276)+SIGN($P276-$S276)*SIGN($T276-$W276)+SIGN($Q276-$R276)*SIGN($U276-$V276)+SIGN($Q276-$S276)*SIGN($U276-$W276)+SIGN($R276-$S276)*SIGN($V276-$W276))/SQRT((6-(($P276=$Q276)*1+($P276=$R276)*1+($P276=$S276)*1+($Q276=$R276)*1+($Q276=$S276)*1+($R276=$S276)*1))*(6-(($T276=$U276)*1+($T276=$V276)*1+($T276=$W276)*1+($U276=$V276)*1+($U276=$W276)*1+($V276=$W276)*1))),"")</f>
        <v>-0.666666666666667</v>
      </c>
      <c r="AI276" s="0" t="n">
        <f aca="false">MATCH(MAX($K276:$O276),$K276:$O276,0)</f>
        <v>1</v>
      </c>
      <c r="AJ276" s="0" t="n">
        <f aca="false">IF(AI276&lt;&gt;$E276,1,0)</f>
        <v>1</v>
      </c>
      <c r="AK276" s="0" t="n">
        <f aca="false">IF(AJ276=1,INDEX($F276:$J276,AI276)/MAX($P276:$S276),"")</f>
        <v>0.184931506849315</v>
      </c>
      <c r="AL276" s="0" t="n">
        <f aca="false">IF(AJ276=1,1+COUNTIF($P276:$S276,"&gt;"&amp;INDEX($F276:$J276,AI276)),"")</f>
        <v>4</v>
      </c>
      <c r="AM276" s="0" t="n">
        <f aca="false">AVERAGE($P276:$S276)/MAX($P276:$S276)</f>
        <v>0.51541095890411</v>
      </c>
      <c r="AN276" s="0" t="n">
        <f aca="false">100-INDEX($F276:$J276,$E276)</f>
        <v>74.9</v>
      </c>
    </row>
    <row r="277" customFormat="false" ht="15" hidden="false" customHeight="false" outlineLevel="0" collapsed="false">
      <c r="A277" s="0" t="s">
        <v>40</v>
      </c>
      <c r="B277" s="0" t="n">
        <v>2016</v>
      </c>
      <c r="C277" s="0" t="s">
        <v>46</v>
      </c>
      <c r="D277" s="0" t="s">
        <v>42</v>
      </c>
      <c r="E277" s="0" t="n">
        <v>1</v>
      </c>
      <c r="F277" s="0" t="n">
        <v>50.4</v>
      </c>
      <c r="G277" s="0" t="n">
        <v>9.1</v>
      </c>
      <c r="H277" s="0" t="n">
        <v>6.6</v>
      </c>
      <c r="I277" s="0" t="n">
        <v>5.6</v>
      </c>
      <c r="J277" s="0" t="n">
        <v>13.8</v>
      </c>
      <c r="K277" s="0" t="n">
        <v>92.4107456515</v>
      </c>
      <c r="L277" s="0" t="n">
        <v>6.66862218633</v>
      </c>
      <c r="M277" s="0" t="n">
        <v>0.067732343107</v>
      </c>
      <c r="N277" s="0" t="n">
        <v>0.577578407912</v>
      </c>
      <c r="O277" s="0" t="n">
        <v>0.275321411191</v>
      </c>
      <c r="P277" s="0" t="n">
        <f aca="false">INDEX($F277:$J277,IF(1&lt;$E277,1,1+1))</f>
        <v>9.1</v>
      </c>
      <c r="Q277" s="0" t="n">
        <f aca="false">INDEX($F277:$J277,IF(2&lt;$E277,2,2+1))</f>
        <v>6.6</v>
      </c>
      <c r="R277" s="0" t="n">
        <f aca="false">INDEX($F277:$J277,IF(3&lt;$E277,3,3+1))</f>
        <v>5.6</v>
      </c>
      <c r="S277" s="0" t="n">
        <f aca="false">INDEX($F277:$J277,IF(4&lt;$E277,4,4+1))</f>
        <v>13.8</v>
      </c>
      <c r="T277" s="0" t="n">
        <f aca="false">INDEX($K277:$O277,IF(1&lt;$E277,1,1+1))</f>
        <v>6.66862218633</v>
      </c>
      <c r="U277" s="0" t="n">
        <f aca="false">INDEX($K277:$O277,IF(2&lt;$E277,2,2+1))</f>
        <v>0.067732343107</v>
      </c>
      <c r="V277" s="0" t="n">
        <f aca="false">INDEX($K277:$O277,IF(3&lt;$E277,3,3+1))</f>
        <v>0.577578407912</v>
      </c>
      <c r="W277" s="0" t="n">
        <f aca="false">INDEX($K277:$O277,IF(4&lt;$E277,4,4+1))</f>
        <v>0.275321411191</v>
      </c>
      <c r="X277" s="0" t="n">
        <f aca="false">1+COUNTIF($P277:$S277,"&gt;"&amp;$P277)+(COUNTIF($P277:$S277,$P277)-1)/2</f>
        <v>2</v>
      </c>
      <c r="Y277" s="0" t="n">
        <f aca="false">1+COUNTIF($P277:$S277,"&gt;"&amp;$Q277)+(COUNTIF($P277:$S277,$Q277)-1)/2</f>
        <v>3</v>
      </c>
      <c r="Z277" s="0" t="n">
        <f aca="false">1+COUNTIF($P277:$S277,"&gt;"&amp;$R277)+(COUNTIF($P277:$S277,$R277)-1)/2</f>
        <v>4</v>
      </c>
      <c r="AA277" s="0" t="n">
        <f aca="false">1+COUNTIF($P277:$S277,"&gt;"&amp;$S277)+(COUNTIF($P277:$S277,$S277)-1)/2</f>
        <v>1</v>
      </c>
      <c r="AB277" s="0" t="n">
        <f aca="false">1+COUNTIF($T277:$W277,"&gt;"&amp;$T277)+(COUNTIF($T277:$W277,$T277)-1)/2</f>
        <v>1</v>
      </c>
      <c r="AC277" s="0" t="n">
        <f aca="false">1+COUNTIF($T277:$W277,"&gt;"&amp;$U277)+(COUNTIF($T277:$W277,$U277)-1)/2</f>
        <v>4</v>
      </c>
      <c r="AD277" s="0" t="n">
        <f aca="false">1+COUNTIF($T277:$W277,"&gt;"&amp;$V277)+(COUNTIF($T277:$W277,$V277)-1)/2</f>
        <v>2</v>
      </c>
      <c r="AE277" s="0" t="n">
        <f aca="false">1+COUNTIF($T277:$W277,"&gt;"&amp;$W277)+(COUNTIF($T277:$W277,$W277)-1)/2</f>
        <v>3</v>
      </c>
      <c r="AF277" s="0" t="n">
        <f aca="false">IFERROR(CORREL($P277:$S277,$T277:$W277),"")</f>
        <v>0.0448563255334896</v>
      </c>
      <c r="AG277" s="0" t="n">
        <f aca="false">IFERROR(CORREL($X277:$AA277,$AB277:$AE277),"")</f>
        <v>0</v>
      </c>
      <c r="AH277" s="0" t="n">
        <f aca="false">IFERROR((SIGN($P277-$Q277)*SIGN($T277-$U277)+SIGN($P277-$R277)*SIGN($T277-$V277)+SIGN($P277-$S277)*SIGN($T277-$W277)+SIGN($Q277-$R277)*SIGN($U277-$V277)+SIGN($Q277-$S277)*SIGN($U277-$W277)+SIGN($R277-$S277)*SIGN($V277-$W277))/SQRT((6-(($P277=$Q277)*1+($P277=$R277)*1+($P277=$S277)*1+($Q277=$R277)*1+($Q277=$S277)*1+($R277=$S277)*1))*(6-(($T277=$U277)*1+($T277=$V277)*1+($T277=$W277)*1+($U277=$V277)*1+($U277=$W277)*1+($V277=$W277)*1))),"")</f>
        <v>0</v>
      </c>
      <c r="AI277" s="0" t="n">
        <f aca="false">MATCH(MAX($K277:$O277),$K277:$O277,0)</f>
        <v>1</v>
      </c>
      <c r="AJ277" s="0" t="n">
        <f aca="false">IF(AI277&lt;&gt;$E277,1,0)</f>
        <v>0</v>
      </c>
      <c r="AK277" s="0" t="str">
        <f aca="false">IF(AJ277=1,INDEX($F277:$J277,AI277)/MAX($P277:$S277),"")</f>
        <v/>
      </c>
      <c r="AL277" s="0" t="str">
        <f aca="false">IF(AJ277=1,1+COUNTIF($P277:$S277,"&gt;"&amp;INDEX($F277:$J277,AI277)),"")</f>
        <v/>
      </c>
      <c r="AM277" s="0" t="n">
        <f aca="false">AVERAGE($P277:$S277)/MAX($P277:$S277)</f>
        <v>0.635869565217391</v>
      </c>
      <c r="AN277" s="0" t="n">
        <f aca="false">100-INDEX($F277:$J277,$E277)</f>
        <v>49.6</v>
      </c>
    </row>
    <row r="278" customFormat="false" ht="15" hidden="false" customHeight="false" outlineLevel="0" collapsed="false">
      <c r="A278" s="0" t="s">
        <v>40</v>
      </c>
      <c r="B278" s="0" t="n">
        <v>2016</v>
      </c>
      <c r="C278" s="0" t="s">
        <v>46</v>
      </c>
      <c r="D278" s="0" t="s">
        <v>44</v>
      </c>
      <c r="E278" s="0" t="n">
        <v>1</v>
      </c>
      <c r="F278" s="0" t="n">
        <v>49.5</v>
      </c>
      <c r="G278" s="0" t="n">
        <v>6.9</v>
      </c>
      <c r="H278" s="0" t="n">
        <v>17.6</v>
      </c>
      <c r="I278" s="0" t="n">
        <v>6.2</v>
      </c>
      <c r="J278" s="0" t="n">
        <v>4.9</v>
      </c>
      <c r="K278" s="0" t="n">
        <v>16.8205469429</v>
      </c>
      <c r="L278" s="0" t="n">
        <v>3.787255393</v>
      </c>
      <c r="M278" s="0" t="n">
        <v>16.0505709479</v>
      </c>
      <c r="N278" s="0" t="n">
        <v>12.4360180653</v>
      </c>
      <c r="O278" s="0" t="n">
        <v>50.9056086509</v>
      </c>
      <c r="P278" s="0" t="n">
        <f aca="false">INDEX($F278:$J278,IF(1&lt;$E278,1,1+1))</f>
        <v>6.9</v>
      </c>
      <c r="Q278" s="0" t="n">
        <f aca="false">INDEX($F278:$J278,IF(2&lt;$E278,2,2+1))</f>
        <v>17.6</v>
      </c>
      <c r="R278" s="0" t="n">
        <f aca="false">INDEX($F278:$J278,IF(3&lt;$E278,3,3+1))</f>
        <v>6.2</v>
      </c>
      <c r="S278" s="0" t="n">
        <f aca="false">INDEX($F278:$J278,IF(4&lt;$E278,4,4+1))</f>
        <v>4.9</v>
      </c>
      <c r="T278" s="0" t="n">
        <f aca="false">INDEX($K278:$O278,IF(1&lt;$E278,1,1+1))</f>
        <v>3.787255393</v>
      </c>
      <c r="U278" s="0" t="n">
        <f aca="false">INDEX($K278:$O278,IF(2&lt;$E278,2,2+1))</f>
        <v>16.0505709479</v>
      </c>
      <c r="V278" s="0" t="n">
        <f aca="false">INDEX($K278:$O278,IF(3&lt;$E278,3,3+1))</f>
        <v>12.4360180653</v>
      </c>
      <c r="W278" s="0" t="n">
        <f aca="false">INDEX($K278:$O278,IF(4&lt;$E278,4,4+1))</f>
        <v>50.9056086509</v>
      </c>
      <c r="X278" s="0" t="n">
        <f aca="false">1+COUNTIF($P278:$S278,"&gt;"&amp;$P278)+(COUNTIF($P278:$S278,$P278)-1)/2</f>
        <v>2</v>
      </c>
      <c r="Y278" s="0" t="n">
        <f aca="false">1+COUNTIF($P278:$S278,"&gt;"&amp;$Q278)+(COUNTIF($P278:$S278,$Q278)-1)/2</f>
        <v>1</v>
      </c>
      <c r="Z278" s="0" t="n">
        <f aca="false">1+COUNTIF($P278:$S278,"&gt;"&amp;$R278)+(COUNTIF($P278:$S278,$R278)-1)/2</f>
        <v>3</v>
      </c>
      <c r="AA278" s="0" t="n">
        <f aca="false">1+COUNTIF($P278:$S278,"&gt;"&amp;$S278)+(COUNTIF($P278:$S278,$S278)-1)/2</f>
        <v>4</v>
      </c>
      <c r="AB278" s="0" t="n">
        <f aca="false">1+COUNTIF($T278:$W278,"&gt;"&amp;$T278)+(COUNTIF($T278:$W278,$T278)-1)/2</f>
        <v>4</v>
      </c>
      <c r="AC278" s="0" t="n">
        <f aca="false">1+COUNTIF($T278:$W278,"&gt;"&amp;$U278)+(COUNTIF($T278:$W278,$U278)-1)/2</f>
        <v>2</v>
      </c>
      <c r="AD278" s="0" t="n">
        <f aca="false">1+COUNTIF($T278:$W278,"&gt;"&amp;$V278)+(COUNTIF($T278:$W278,$V278)-1)/2</f>
        <v>3</v>
      </c>
      <c r="AE278" s="0" t="n">
        <f aca="false">1+COUNTIF($T278:$W278,"&gt;"&amp;$W278)+(COUNTIF($T278:$W278,$W278)-1)/2</f>
        <v>1</v>
      </c>
      <c r="AF278" s="0" t="n">
        <f aca="false">IFERROR(CORREL($P278:$S278,$T278:$W278),"")</f>
        <v>-0.288642406352827</v>
      </c>
      <c r="AG278" s="0" t="n">
        <f aca="false">IFERROR(CORREL($X278:$AA278,$AB278:$AE278),"")</f>
        <v>-0.4</v>
      </c>
      <c r="AH278" s="0" t="n">
        <f aca="false">IFERROR((SIGN($P278-$Q278)*SIGN($T278-$U278)+SIGN($P278-$R278)*SIGN($T278-$V278)+SIGN($P278-$S278)*SIGN($T278-$W278)+SIGN($Q278-$R278)*SIGN($U278-$V278)+SIGN($Q278-$S278)*SIGN($U278-$W278)+SIGN($R278-$S278)*SIGN($V278-$W278))/SQRT((6-(($P278=$Q278)*1+($P278=$R278)*1+($P278=$S278)*1+($Q278=$R278)*1+($Q278=$S278)*1+($R278=$S278)*1))*(6-(($T278=$U278)*1+($T278=$V278)*1+($T278=$W278)*1+($U278=$V278)*1+($U278=$W278)*1+($V278=$W278)*1))),"")</f>
        <v>-0.333333333333333</v>
      </c>
      <c r="AI278" s="0" t="n">
        <f aca="false">MATCH(MAX($K278:$O278),$K278:$O278,0)</f>
        <v>5</v>
      </c>
      <c r="AJ278" s="0" t="n">
        <f aca="false">IF(AI278&lt;&gt;$E278,1,0)</f>
        <v>1</v>
      </c>
      <c r="AK278" s="0" t="n">
        <f aca="false">IF(AJ278=1,INDEX($F278:$J278,AI278)/MAX($P278:$S278),"")</f>
        <v>0.278409090909091</v>
      </c>
      <c r="AL278" s="0" t="n">
        <f aca="false">IF(AJ278=1,1+COUNTIF($P278:$S278,"&gt;"&amp;INDEX($F278:$J278,AI278)),"")</f>
        <v>4</v>
      </c>
      <c r="AM278" s="0" t="n">
        <f aca="false">AVERAGE($P278:$S278)/MAX($P278:$S278)</f>
        <v>0.505681818181818</v>
      </c>
      <c r="AN278" s="0" t="n">
        <f aca="false">100-INDEX($F278:$J278,$E278)</f>
        <v>50.5</v>
      </c>
    </row>
    <row r="279" customFormat="false" ht="15" hidden="false" customHeight="false" outlineLevel="0" collapsed="false">
      <c r="A279" s="0" t="s">
        <v>40</v>
      </c>
      <c r="B279" s="0" t="n">
        <v>2016</v>
      </c>
      <c r="C279" s="0" t="s">
        <v>47</v>
      </c>
      <c r="D279" s="0" t="s">
        <v>42</v>
      </c>
      <c r="E279" s="0" t="n">
        <v>2</v>
      </c>
      <c r="F279" s="0" t="n">
        <v>18.9</v>
      </c>
      <c r="G279" s="0" t="n">
        <v>46.5</v>
      </c>
      <c r="H279" s="0" t="n">
        <v>9.9</v>
      </c>
      <c r="I279" s="0" t="n">
        <v>5.7</v>
      </c>
      <c r="J279" s="0" t="n">
        <v>12.9</v>
      </c>
      <c r="K279" s="0" t="n">
        <v>94.3754884045</v>
      </c>
      <c r="L279" s="0" t="n">
        <v>5.13028971895</v>
      </c>
      <c r="M279" s="0" t="n">
        <v>0.0534687700328</v>
      </c>
      <c r="N279" s="0" t="n">
        <v>0.220773711647</v>
      </c>
      <c r="O279" s="0" t="n">
        <v>0.219979394897</v>
      </c>
      <c r="P279" s="0" t="n">
        <f aca="false">INDEX($F279:$J279,IF(1&lt;$E279,1,1+1))</f>
        <v>18.9</v>
      </c>
      <c r="Q279" s="0" t="n">
        <f aca="false">INDEX($F279:$J279,IF(2&lt;$E279,2,2+1))</f>
        <v>9.9</v>
      </c>
      <c r="R279" s="0" t="n">
        <f aca="false">INDEX($F279:$J279,IF(3&lt;$E279,3,3+1))</f>
        <v>5.7</v>
      </c>
      <c r="S279" s="0" t="n">
        <f aca="false">INDEX($F279:$J279,IF(4&lt;$E279,4,4+1))</f>
        <v>12.9</v>
      </c>
      <c r="T279" s="0" t="n">
        <f aca="false">INDEX($K279:$O279,IF(1&lt;$E279,1,1+1))</f>
        <v>94.3754884045</v>
      </c>
      <c r="U279" s="0" t="n">
        <f aca="false">INDEX($K279:$O279,IF(2&lt;$E279,2,2+1))</f>
        <v>0.0534687700328</v>
      </c>
      <c r="V279" s="0" t="n">
        <f aca="false">INDEX($K279:$O279,IF(3&lt;$E279,3,3+1))</f>
        <v>0.220773711647</v>
      </c>
      <c r="W279" s="0" t="n">
        <f aca="false">INDEX($K279:$O279,IF(4&lt;$E279,4,4+1))</f>
        <v>0.219979394897</v>
      </c>
      <c r="X279" s="0" t="n">
        <f aca="false">1+COUNTIF($P279:$S279,"&gt;"&amp;$P279)+(COUNTIF($P279:$S279,$P279)-1)/2</f>
        <v>1</v>
      </c>
      <c r="Y279" s="0" t="n">
        <f aca="false">1+COUNTIF($P279:$S279,"&gt;"&amp;$Q279)+(COUNTIF($P279:$S279,$Q279)-1)/2</f>
        <v>3</v>
      </c>
      <c r="Z279" s="0" t="n">
        <f aca="false">1+COUNTIF($P279:$S279,"&gt;"&amp;$R279)+(COUNTIF($P279:$S279,$R279)-1)/2</f>
        <v>4</v>
      </c>
      <c r="AA279" s="0" t="n">
        <f aca="false">1+COUNTIF($P279:$S279,"&gt;"&amp;$S279)+(COUNTIF($P279:$S279,$S279)-1)/2</f>
        <v>2</v>
      </c>
      <c r="AB279" s="0" t="n">
        <f aca="false">1+COUNTIF($T279:$W279,"&gt;"&amp;$T279)+(COUNTIF($T279:$W279,$T279)-1)/2</f>
        <v>1</v>
      </c>
      <c r="AC279" s="0" t="n">
        <f aca="false">1+COUNTIF($T279:$W279,"&gt;"&amp;$U279)+(COUNTIF($T279:$W279,$U279)-1)/2</f>
        <v>4</v>
      </c>
      <c r="AD279" s="0" t="n">
        <f aca="false">1+COUNTIF($T279:$W279,"&gt;"&amp;$V279)+(COUNTIF($T279:$W279,$V279)-1)/2</f>
        <v>2</v>
      </c>
      <c r="AE279" s="0" t="n">
        <f aca="false">1+COUNTIF($T279:$W279,"&gt;"&amp;$W279)+(COUNTIF($T279:$W279,$W279)-1)/2</f>
        <v>3</v>
      </c>
      <c r="AF279" s="0" t="n">
        <f aca="false">IFERROR(CORREL($P279:$S279,$T279:$W279),"")</f>
        <v>0.846653827471166</v>
      </c>
      <c r="AG279" s="0" t="n">
        <f aca="false">IFERROR(CORREL($X279:$AA279,$AB279:$AE279),"")</f>
        <v>0.4</v>
      </c>
      <c r="AH279" s="0" t="n">
        <f aca="false">IFERROR((SIGN($P279-$Q279)*SIGN($T279-$U279)+SIGN($P279-$R279)*SIGN($T279-$V279)+SIGN($P279-$S279)*SIGN($T279-$W279)+SIGN($Q279-$R279)*SIGN($U279-$V279)+SIGN($Q279-$S279)*SIGN($U279-$W279)+SIGN($R279-$S279)*SIGN($V279-$W279))/SQRT((6-(($P279=$Q279)*1+($P279=$R279)*1+($P279=$S279)*1+($Q279=$R279)*1+($Q279=$S279)*1+($R279=$S279)*1))*(6-(($T279=$U279)*1+($T279=$V279)*1+($T279=$W279)*1+($U279=$V279)*1+($U279=$W279)*1+($V279=$W279)*1))),"")</f>
        <v>0.333333333333333</v>
      </c>
      <c r="AI279" s="0" t="n">
        <f aca="false">MATCH(MAX($K279:$O279),$K279:$O279,0)</f>
        <v>1</v>
      </c>
      <c r="AJ279" s="0" t="n">
        <f aca="false">IF(AI279&lt;&gt;$E279,1,0)</f>
        <v>1</v>
      </c>
      <c r="AK279" s="0" t="n">
        <f aca="false">IF(AJ279=1,INDEX($F279:$J279,AI279)/MAX($P279:$S279),"")</f>
        <v>1</v>
      </c>
      <c r="AL279" s="0" t="n">
        <f aca="false">IF(AJ279=1,1+COUNTIF($P279:$S279,"&gt;"&amp;INDEX($F279:$J279,AI279)),"")</f>
        <v>1</v>
      </c>
      <c r="AM279" s="0" t="n">
        <f aca="false">AVERAGE($P279:$S279)/MAX($P279:$S279)</f>
        <v>0.626984126984127</v>
      </c>
      <c r="AN279" s="0" t="n">
        <f aca="false">100-INDEX($F279:$J279,$E279)</f>
        <v>53.5</v>
      </c>
    </row>
    <row r="280" customFormat="false" ht="15" hidden="false" customHeight="false" outlineLevel="0" collapsed="false">
      <c r="A280" s="0" t="s">
        <v>40</v>
      </c>
      <c r="B280" s="0" t="n">
        <v>2016</v>
      </c>
      <c r="C280" s="0" t="s">
        <v>47</v>
      </c>
      <c r="D280" s="0" t="s">
        <v>43</v>
      </c>
      <c r="E280" s="0" t="n">
        <v>3</v>
      </c>
      <c r="F280" s="0" t="n">
        <v>15.2</v>
      </c>
      <c r="G280" s="0" t="n">
        <v>14.8</v>
      </c>
      <c r="H280" s="0" t="n">
        <v>39.4</v>
      </c>
      <c r="I280" s="0" t="n">
        <v>12.9</v>
      </c>
      <c r="J280" s="0" t="n">
        <v>11.6</v>
      </c>
      <c r="K280" s="0" t="n">
        <v>19.3725625094</v>
      </c>
      <c r="L280" s="0" t="n">
        <v>9.94618243919</v>
      </c>
      <c r="M280" s="0" t="n">
        <v>37.9083273037</v>
      </c>
      <c r="N280" s="0" t="n">
        <v>16.1207045676</v>
      </c>
      <c r="O280" s="0" t="n">
        <v>16.6522231801</v>
      </c>
      <c r="P280" s="0" t="n">
        <f aca="false">INDEX($F280:$J280,IF(1&lt;$E280,1,1+1))</f>
        <v>15.2</v>
      </c>
      <c r="Q280" s="0" t="n">
        <f aca="false">INDEX($F280:$J280,IF(2&lt;$E280,2,2+1))</f>
        <v>14.8</v>
      </c>
      <c r="R280" s="0" t="n">
        <f aca="false">INDEX($F280:$J280,IF(3&lt;$E280,3,3+1))</f>
        <v>12.9</v>
      </c>
      <c r="S280" s="0" t="n">
        <f aca="false">INDEX($F280:$J280,IF(4&lt;$E280,4,4+1))</f>
        <v>11.6</v>
      </c>
      <c r="T280" s="0" t="n">
        <f aca="false">INDEX($K280:$O280,IF(1&lt;$E280,1,1+1))</f>
        <v>19.3725625094</v>
      </c>
      <c r="U280" s="0" t="n">
        <f aca="false">INDEX($K280:$O280,IF(2&lt;$E280,2,2+1))</f>
        <v>9.94618243919</v>
      </c>
      <c r="V280" s="0" t="n">
        <f aca="false">INDEX($K280:$O280,IF(3&lt;$E280,3,3+1))</f>
        <v>16.1207045676</v>
      </c>
      <c r="W280" s="0" t="n">
        <f aca="false">INDEX($K280:$O280,IF(4&lt;$E280,4,4+1))</f>
        <v>16.6522231801</v>
      </c>
      <c r="X280" s="0" t="n">
        <f aca="false">1+COUNTIF($P280:$S280,"&gt;"&amp;$P280)+(COUNTIF($P280:$S280,$P280)-1)/2</f>
        <v>1</v>
      </c>
      <c r="Y280" s="0" t="n">
        <f aca="false">1+COUNTIF($P280:$S280,"&gt;"&amp;$Q280)+(COUNTIF($P280:$S280,$Q280)-1)/2</f>
        <v>2</v>
      </c>
      <c r="Z280" s="0" t="n">
        <f aca="false">1+COUNTIF($P280:$S280,"&gt;"&amp;$R280)+(COUNTIF($P280:$S280,$R280)-1)/2</f>
        <v>3</v>
      </c>
      <c r="AA280" s="0" t="n">
        <f aca="false">1+COUNTIF($P280:$S280,"&gt;"&amp;$S280)+(COUNTIF($P280:$S280,$S280)-1)/2</f>
        <v>4</v>
      </c>
      <c r="AB280" s="0" t="n">
        <f aca="false">1+COUNTIF($T280:$W280,"&gt;"&amp;$T280)+(COUNTIF($T280:$W280,$T280)-1)/2</f>
        <v>1</v>
      </c>
      <c r="AC280" s="0" t="n">
        <f aca="false">1+COUNTIF($T280:$W280,"&gt;"&amp;$U280)+(COUNTIF($T280:$W280,$U280)-1)/2</f>
        <v>4</v>
      </c>
      <c r="AD280" s="0" t="n">
        <f aca="false">1+COUNTIF($T280:$W280,"&gt;"&amp;$V280)+(COUNTIF($T280:$W280,$V280)-1)/2</f>
        <v>3</v>
      </c>
      <c r="AE280" s="0" t="n">
        <f aca="false">1+COUNTIF($T280:$W280,"&gt;"&amp;$W280)+(COUNTIF($T280:$W280,$W280)-1)/2</f>
        <v>2</v>
      </c>
      <c r="AF280" s="0" t="n">
        <f aca="false">IFERROR(CORREL($P280:$S280,$T280:$W280),"")</f>
        <v>-0.159768042042739</v>
      </c>
      <c r="AG280" s="0" t="n">
        <f aca="false">IFERROR(CORREL($X280:$AA280,$AB280:$AE280),"")</f>
        <v>0.2</v>
      </c>
      <c r="AH280" s="0" t="n">
        <f aca="false">IFERROR((SIGN($P280-$Q280)*SIGN($T280-$U280)+SIGN($P280-$R280)*SIGN($T280-$V280)+SIGN($P280-$S280)*SIGN($T280-$W280)+SIGN($Q280-$R280)*SIGN($U280-$V280)+SIGN($Q280-$S280)*SIGN($U280-$W280)+SIGN($R280-$S280)*SIGN($V280-$W280))/SQRT((6-(($P280=$Q280)*1+($P280=$R280)*1+($P280=$S280)*1+($Q280=$R280)*1+($Q280=$S280)*1+($R280=$S280)*1))*(6-(($T280=$U280)*1+($T280=$V280)*1+($T280=$W280)*1+($U280=$V280)*1+($U280=$W280)*1+($V280=$W280)*1))),"")</f>
        <v>0</v>
      </c>
      <c r="AI280" s="0" t="n">
        <f aca="false">MATCH(MAX($K280:$O280),$K280:$O280,0)</f>
        <v>3</v>
      </c>
      <c r="AJ280" s="0" t="n">
        <f aca="false">IF(AI280&lt;&gt;$E280,1,0)</f>
        <v>0</v>
      </c>
      <c r="AK280" s="0" t="str">
        <f aca="false">IF(AJ280=1,INDEX($F280:$J280,AI280)/MAX($P280:$S280),"")</f>
        <v/>
      </c>
      <c r="AL280" s="0" t="str">
        <f aca="false">IF(AJ280=1,1+COUNTIF($P280:$S280,"&gt;"&amp;INDEX($F280:$J280,AI280)),"")</f>
        <v/>
      </c>
      <c r="AM280" s="0" t="n">
        <f aca="false">AVERAGE($P280:$S280)/MAX($P280:$S280)</f>
        <v>0.896381578947369</v>
      </c>
      <c r="AN280" s="0" t="n">
        <f aca="false">100-INDEX($F280:$J280,$E280)</f>
        <v>60.6</v>
      </c>
    </row>
    <row r="281" customFormat="false" ht="15" hidden="false" customHeight="false" outlineLevel="0" collapsed="false">
      <c r="A281" s="0" t="s">
        <v>40</v>
      </c>
      <c r="B281" s="0" t="n">
        <v>2016</v>
      </c>
      <c r="C281" s="0" t="s">
        <v>47</v>
      </c>
      <c r="D281" s="0" t="s">
        <v>44</v>
      </c>
      <c r="E281" s="0" t="n">
        <v>1</v>
      </c>
      <c r="F281" s="0" t="n">
        <v>34.6</v>
      </c>
      <c r="G281" s="0" t="n">
        <v>10.9</v>
      </c>
      <c r="H281" s="0" t="n">
        <v>18.7</v>
      </c>
      <c r="I281" s="0" t="n">
        <v>22.6</v>
      </c>
      <c r="J281" s="0" t="n">
        <v>6.8</v>
      </c>
      <c r="K281" s="0" t="n">
        <v>48.4923345178</v>
      </c>
      <c r="L281" s="0" t="n">
        <v>13.988649712</v>
      </c>
      <c r="M281" s="0" t="n">
        <v>5.36205049171</v>
      </c>
      <c r="N281" s="0" t="n">
        <v>25.7640020108</v>
      </c>
      <c r="O281" s="0" t="n">
        <v>6.39296326769</v>
      </c>
      <c r="P281" s="0" t="n">
        <f aca="false">INDEX($F281:$J281,IF(1&lt;$E281,1,1+1))</f>
        <v>10.9</v>
      </c>
      <c r="Q281" s="0" t="n">
        <f aca="false">INDEX($F281:$J281,IF(2&lt;$E281,2,2+1))</f>
        <v>18.7</v>
      </c>
      <c r="R281" s="0" t="n">
        <f aca="false">INDEX($F281:$J281,IF(3&lt;$E281,3,3+1))</f>
        <v>22.6</v>
      </c>
      <c r="S281" s="0" t="n">
        <f aca="false">INDEX($F281:$J281,IF(4&lt;$E281,4,4+1))</f>
        <v>6.8</v>
      </c>
      <c r="T281" s="0" t="n">
        <f aca="false">INDEX($K281:$O281,IF(1&lt;$E281,1,1+1))</f>
        <v>13.988649712</v>
      </c>
      <c r="U281" s="0" t="n">
        <f aca="false">INDEX($K281:$O281,IF(2&lt;$E281,2,2+1))</f>
        <v>5.36205049171</v>
      </c>
      <c r="V281" s="0" t="n">
        <f aca="false">INDEX($K281:$O281,IF(3&lt;$E281,3,3+1))</f>
        <v>25.7640020108</v>
      </c>
      <c r="W281" s="0" t="n">
        <f aca="false">INDEX($K281:$O281,IF(4&lt;$E281,4,4+1))</f>
        <v>6.39296326769</v>
      </c>
      <c r="X281" s="0" t="n">
        <f aca="false">1+COUNTIF($P281:$S281,"&gt;"&amp;$P281)+(COUNTIF($P281:$S281,$P281)-1)/2</f>
        <v>3</v>
      </c>
      <c r="Y281" s="0" t="n">
        <f aca="false">1+COUNTIF($P281:$S281,"&gt;"&amp;$Q281)+(COUNTIF($P281:$S281,$Q281)-1)/2</f>
        <v>2</v>
      </c>
      <c r="Z281" s="0" t="n">
        <f aca="false">1+COUNTIF($P281:$S281,"&gt;"&amp;$R281)+(COUNTIF($P281:$S281,$R281)-1)/2</f>
        <v>1</v>
      </c>
      <c r="AA281" s="0" t="n">
        <f aca="false">1+COUNTIF($P281:$S281,"&gt;"&amp;$S281)+(COUNTIF($P281:$S281,$S281)-1)/2</f>
        <v>4</v>
      </c>
      <c r="AB281" s="0" t="n">
        <f aca="false">1+COUNTIF($T281:$W281,"&gt;"&amp;$T281)+(COUNTIF($T281:$W281,$T281)-1)/2</f>
        <v>2</v>
      </c>
      <c r="AC281" s="0" t="n">
        <f aca="false">1+COUNTIF($T281:$W281,"&gt;"&amp;$U281)+(COUNTIF($T281:$W281,$U281)-1)/2</f>
        <v>4</v>
      </c>
      <c r="AD281" s="0" t="n">
        <f aca="false">1+COUNTIF($T281:$W281,"&gt;"&amp;$V281)+(COUNTIF($T281:$W281,$V281)-1)/2</f>
        <v>1</v>
      </c>
      <c r="AE281" s="0" t="n">
        <f aca="false">1+COUNTIF($T281:$W281,"&gt;"&amp;$W281)+(COUNTIF($T281:$W281,$W281)-1)/2</f>
        <v>3</v>
      </c>
      <c r="AF281" s="0" t="n">
        <f aca="false">IFERROR(CORREL($P281:$S281,$T281:$W281),"")</f>
        <v>0.584530566474566</v>
      </c>
      <c r="AG281" s="0" t="n">
        <f aca="false">IFERROR(CORREL($X281:$AA281,$AB281:$AE281),"")</f>
        <v>0.4</v>
      </c>
      <c r="AH281" s="0" t="n">
        <f aca="false">IFERROR((SIGN($P281-$Q281)*SIGN($T281-$U281)+SIGN($P281-$R281)*SIGN($T281-$V281)+SIGN($P281-$S281)*SIGN($T281-$W281)+SIGN($Q281-$R281)*SIGN($U281-$V281)+SIGN($Q281-$S281)*SIGN($U281-$W281)+SIGN($R281-$S281)*SIGN($V281-$W281))/SQRT((6-(($P281=$Q281)*1+($P281=$R281)*1+($P281=$S281)*1+($Q281=$R281)*1+($Q281=$S281)*1+($R281=$S281)*1))*(6-(($T281=$U281)*1+($T281=$V281)*1+($T281=$W281)*1+($U281=$V281)*1+($U281=$W281)*1+($V281=$W281)*1))),"")</f>
        <v>0.333333333333333</v>
      </c>
      <c r="AI281" s="0" t="n">
        <f aca="false">MATCH(MAX($K281:$O281),$K281:$O281,0)</f>
        <v>1</v>
      </c>
      <c r="AJ281" s="0" t="n">
        <f aca="false">IF(AI281&lt;&gt;$E281,1,0)</f>
        <v>0</v>
      </c>
      <c r="AK281" s="0" t="str">
        <f aca="false">IF(AJ281=1,INDEX($F281:$J281,AI281)/MAX($P281:$S281),"")</f>
        <v/>
      </c>
      <c r="AL281" s="0" t="str">
        <f aca="false">IF(AJ281=1,1+COUNTIF($P281:$S281,"&gt;"&amp;INDEX($F281:$J281,AI281)),"")</f>
        <v/>
      </c>
      <c r="AM281" s="0" t="n">
        <f aca="false">AVERAGE($P281:$S281)/MAX($P281:$S281)</f>
        <v>0.652654867256637</v>
      </c>
      <c r="AN281" s="0" t="n">
        <f aca="false">100-INDEX($F281:$J281,$E281)</f>
        <v>65.4</v>
      </c>
    </row>
    <row r="282" customFormat="false" ht="15" hidden="false" customHeight="false" outlineLevel="0" collapsed="false">
      <c r="A282" s="0" t="s">
        <v>40</v>
      </c>
      <c r="B282" s="0" t="n">
        <v>2016</v>
      </c>
      <c r="C282" s="0" t="s">
        <v>47</v>
      </c>
      <c r="D282" s="0" t="s">
        <v>45</v>
      </c>
      <c r="E282" s="0" t="n">
        <v>4</v>
      </c>
      <c r="F282" s="0" t="n">
        <v>13</v>
      </c>
      <c r="G282" s="0" t="n">
        <v>20.7</v>
      </c>
      <c r="H282" s="0" t="n">
        <v>14.6</v>
      </c>
      <c r="I282" s="0" t="n">
        <v>18.6</v>
      </c>
      <c r="J282" s="0" t="n">
        <v>26.9</v>
      </c>
      <c r="K282" s="0" t="n">
        <v>12.4241955769</v>
      </c>
      <c r="L282" s="0" t="n">
        <v>2.844905124</v>
      </c>
      <c r="M282" s="0" t="n">
        <v>14.1544181521</v>
      </c>
      <c r="N282" s="0" t="n">
        <v>68.1990879336</v>
      </c>
      <c r="O282" s="0" t="n">
        <v>2.37739321339</v>
      </c>
      <c r="P282" s="0" t="n">
        <f aca="false">INDEX($F282:$J282,IF(1&lt;$E282,1,1+1))</f>
        <v>13</v>
      </c>
      <c r="Q282" s="0" t="n">
        <f aca="false">INDEX($F282:$J282,IF(2&lt;$E282,2,2+1))</f>
        <v>20.7</v>
      </c>
      <c r="R282" s="0" t="n">
        <f aca="false">INDEX($F282:$J282,IF(3&lt;$E282,3,3+1))</f>
        <v>14.6</v>
      </c>
      <c r="S282" s="0" t="n">
        <f aca="false">INDEX($F282:$J282,IF(4&lt;$E282,4,4+1))</f>
        <v>26.9</v>
      </c>
      <c r="T282" s="0" t="n">
        <f aca="false">INDEX($K282:$O282,IF(1&lt;$E282,1,1+1))</f>
        <v>12.4241955769</v>
      </c>
      <c r="U282" s="0" t="n">
        <f aca="false">INDEX($K282:$O282,IF(2&lt;$E282,2,2+1))</f>
        <v>2.844905124</v>
      </c>
      <c r="V282" s="0" t="n">
        <f aca="false">INDEX($K282:$O282,IF(3&lt;$E282,3,3+1))</f>
        <v>14.1544181521</v>
      </c>
      <c r="W282" s="0" t="n">
        <f aca="false">INDEX($K282:$O282,IF(4&lt;$E282,4,4+1))</f>
        <v>2.37739321339</v>
      </c>
      <c r="X282" s="0" t="n">
        <f aca="false">1+COUNTIF($P282:$S282,"&gt;"&amp;$P282)+(COUNTIF($P282:$S282,$P282)-1)/2</f>
        <v>4</v>
      </c>
      <c r="Y282" s="0" t="n">
        <f aca="false">1+COUNTIF($P282:$S282,"&gt;"&amp;$Q282)+(COUNTIF($P282:$S282,$Q282)-1)/2</f>
        <v>2</v>
      </c>
      <c r="Z282" s="0" t="n">
        <f aca="false">1+COUNTIF($P282:$S282,"&gt;"&amp;$R282)+(COUNTIF($P282:$S282,$R282)-1)/2</f>
        <v>3</v>
      </c>
      <c r="AA282" s="0" t="n">
        <f aca="false">1+COUNTIF($P282:$S282,"&gt;"&amp;$S282)+(COUNTIF($P282:$S282,$S282)-1)/2</f>
        <v>1</v>
      </c>
      <c r="AB282" s="0" t="n">
        <f aca="false">1+COUNTIF($T282:$W282,"&gt;"&amp;$T282)+(COUNTIF($T282:$W282,$T282)-1)/2</f>
        <v>2</v>
      </c>
      <c r="AC282" s="0" t="n">
        <f aca="false">1+COUNTIF($T282:$W282,"&gt;"&amp;$U282)+(COUNTIF($T282:$W282,$U282)-1)/2</f>
        <v>3</v>
      </c>
      <c r="AD282" s="0" t="n">
        <f aca="false">1+COUNTIF($T282:$W282,"&gt;"&amp;$V282)+(COUNTIF($T282:$W282,$V282)-1)/2</f>
        <v>1</v>
      </c>
      <c r="AE282" s="0" t="n">
        <f aca="false">1+COUNTIF($T282:$W282,"&gt;"&amp;$W282)+(COUNTIF($T282:$W282,$W282)-1)/2</f>
        <v>4</v>
      </c>
      <c r="AF282" s="0" t="n">
        <f aca="false">IFERROR(CORREL($P282:$S282,$T282:$W282),"")</f>
        <v>-0.90517766041197</v>
      </c>
      <c r="AG282" s="0" t="n">
        <f aca="false">IFERROR(CORREL($X282:$AA282,$AB282:$AE282),"")</f>
        <v>-0.8</v>
      </c>
      <c r="AH282" s="0" t="n">
        <f aca="false">IFERROR((SIGN($P282-$Q282)*SIGN($T282-$U282)+SIGN($P282-$R282)*SIGN($T282-$V282)+SIGN($P282-$S282)*SIGN($T282-$W282)+SIGN($Q282-$R282)*SIGN($U282-$V282)+SIGN($Q282-$S282)*SIGN($U282-$W282)+SIGN($R282-$S282)*SIGN($V282-$W282))/SQRT((6-(($P282=$Q282)*1+($P282=$R282)*1+($P282=$S282)*1+($Q282=$R282)*1+($Q282=$S282)*1+($R282=$S282)*1))*(6-(($T282=$U282)*1+($T282=$V282)*1+($T282=$W282)*1+($U282=$V282)*1+($U282=$W282)*1+($V282=$W282)*1))),"")</f>
        <v>-0.666666666666667</v>
      </c>
      <c r="AI282" s="0" t="n">
        <f aca="false">MATCH(MAX($K282:$O282),$K282:$O282,0)</f>
        <v>4</v>
      </c>
      <c r="AJ282" s="0" t="n">
        <f aca="false">IF(AI282&lt;&gt;$E282,1,0)</f>
        <v>0</v>
      </c>
      <c r="AK282" s="0" t="str">
        <f aca="false">IF(AJ282=1,INDEX($F282:$J282,AI282)/MAX($P282:$S282),"")</f>
        <v/>
      </c>
      <c r="AL282" s="0" t="str">
        <f aca="false">IF(AJ282=1,1+COUNTIF($P282:$S282,"&gt;"&amp;INDEX($F282:$J282,AI282)),"")</f>
        <v/>
      </c>
      <c r="AM282" s="0" t="n">
        <f aca="false">AVERAGE($P282:$S282)/MAX($P282:$S282)</f>
        <v>0.698884758364312</v>
      </c>
      <c r="AN282" s="0" t="n">
        <f aca="false">100-INDEX($F282:$J282,$E282)</f>
        <v>81.4</v>
      </c>
    </row>
    <row r="283" customFormat="false" ht="15" hidden="false" customHeight="false" outlineLevel="0" collapsed="false">
      <c r="A283" s="0" t="s">
        <v>40</v>
      </c>
      <c r="B283" s="0" t="n">
        <v>2015</v>
      </c>
      <c r="C283" s="0" t="s">
        <v>48</v>
      </c>
      <c r="D283" s="0" t="s">
        <v>54</v>
      </c>
      <c r="E283" s="0" t="n">
        <v>1</v>
      </c>
      <c r="F283" s="0" t="n">
        <v>57.3</v>
      </c>
      <c r="G283" s="0" t="n">
        <v>5</v>
      </c>
      <c r="H283" s="0" t="n">
        <v>23.8</v>
      </c>
      <c r="I283" s="0" t="n">
        <v>3.3</v>
      </c>
      <c r="J283" s="0" t="n">
        <v>3.2</v>
      </c>
      <c r="K283" s="0" t="n">
        <v>96.0365051483</v>
      </c>
      <c r="L283" s="0" t="n">
        <v>3.47427270255</v>
      </c>
      <c r="M283" s="0" t="n">
        <v>0.326263838138</v>
      </c>
      <c r="N283" s="0" t="n">
        <v>0.0298279987931</v>
      </c>
      <c r="O283" s="0" t="n">
        <v>0.133130312209</v>
      </c>
      <c r="P283" s="0" t="n">
        <f aca="false">INDEX($F283:$J283,IF(1&lt;$E283,1,1+1))</f>
        <v>5</v>
      </c>
      <c r="Q283" s="0" t="n">
        <f aca="false">INDEX($F283:$J283,IF(2&lt;$E283,2,2+1))</f>
        <v>23.8</v>
      </c>
      <c r="R283" s="0" t="n">
        <f aca="false">INDEX($F283:$J283,IF(3&lt;$E283,3,3+1))</f>
        <v>3.3</v>
      </c>
      <c r="S283" s="0" t="n">
        <f aca="false">INDEX($F283:$J283,IF(4&lt;$E283,4,4+1))</f>
        <v>3.2</v>
      </c>
      <c r="T283" s="0" t="n">
        <f aca="false">INDEX($K283:$O283,IF(1&lt;$E283,1,1+1))</f>
        <v>3.47427270255</v>
      </c>
      <c r="U283" s="0" t="n">
        <f aca="false">INDEX($K283:$O283,IF(2&lt;$E283,2,2+1))</f>
        <v>0.326263838138</v>
      </c>
      <c r="V283" s="0" t="n">
        <f aca="false">INDEX($K283:$O283,IF(3&lt;$E283,3,3+1))</f>
        <v>0.0298279987931</v>
      </c>
      <c r="W283" s="0" t="n">
        <f aca="false">INDEX($K283:$O283,IF(4&lt;$E283,4,4+1))</f>
        <v>0.133130312209</v>
      </c>
      <c r="X283" s="0" t="n">
        <f aca="false">1+COUNTIF($P283:$S283,"&gt;"&amp;$P283)+(COUNTIF($P283:$S283,$P283)-1)/2</f>
        <v>2</v>
      </c>
      <c r="Y283" s="0" t="n">
        <f aca="false">1+COUNTIF($P283:$S283,"&gt;"&amp;$Q283)+(COUNTIF($P283:$S283,$Q283)-1)/2</f>
        <v>1</v>
      </c>
      <c r="Z283" s="0" t="n">
        <f aca="false">1+COUNTIF($P283:$S283,"&gt;"&amp;$R283)+(COUNTIF($P283:$S283,$R283)-1)/2</f>
        <v>3</v>
      </c>
      <c r="AA283" s="0" t="n">
        <f aca="false">1+COUNTIF($P283:$S283,"&gt;"&amp;$S283)+(COUNTIF($P283:$S283,$S283)-1)/2</f>
        <v>4</v>
      </c>
      <c r="AB283" s="0" t="n">
        <f aca="false">1+COUNTIF($T283:$W283,"&gt;"&amp;$T283)+(COUNTIF($T283:$W283,$T283)-1)/2</f>
        <v>1</v>
      </c>
      <c r="AC283" s="0" t="n">
        <f aca="false">1+COUNTIF($T283:$W283,"&gt;"&amp;$U283)+(COUNTIF($T283:$W283,$U283)-1)/2</f>
        <v>2</v>
      </c>
      <c r="AD283" s="0" t="n">
        <f aca="false">1+COUNTIF($T283:$W283,"&gt;"&amp;$V283)+(COUNTIF($T283:$W283,$V283)-1)/2</f>
        <v>4</v>
      </c>
      <c r="AE283" s="0" t="n">
        <f aca="false">1+COUNTIF($T283:$W283,"&gt;"&amp;$W283)+(COUNTIF($T283:$W283,$W283)-1)/2</f>
        <v>3</v>
      </c>
      <c r="AF283" s="0" t="n">
        <f aca="false">IFERROR(CORREL($P283:$S283,$T283:$W283),"")</f>
        <v>-0.1867445270888</v>
      </c>
      <c r="AG283" s="0" t="n">
        <f aca="false">IFERROR(CORREL($X283:$AA283,$AB283:$AE283),"")</f>
        <v>0.6</v>
      </c>
      <c r="AH283" s="0" t="n">
        <f aca="false">IFERROR((SIGN($P283-$Q283)*SIGN($T283-$U283)+SIGN($P283-$R283)*SIGN($T283-$V283)+SIGN($P283-$S283)*SIGN($T283-$W283)+SIGN($Q283-$R283)*SIGN($U283-$V283)+SIGN($Q283-$S283)*SIGN($U283-$W283)+SIGN($R283-$S283)*SIGN($V283-$W283))/SQRT((6-(($P283=$Q283)*1+($P283=$R283)*1+($P283=$S283)*1+($Q283=$R283)*1+($Q283=$S283)*1+($R283=$S283)*1))*(6-(($T283=$U283)*1+($T283=$V283)*1+($T283=$W283)*1+($U283=$V283)*1+($U283=$W283)*1+($V283=$W283)*1))),"")</f>
        <v>0.333333333333333</v>
      </c>
      <c r="AI283" s="0" t="n">
        <f aca="false">MATCH(MAX($K283:$O283),$K283:$O283,0)</f>
        <v>1</v>
      </c>
      <c r="AJ283" s="0" t="n">
        <f aca="false">IF(AI283&lt;&gt;$E283,1,0)</f>
        <v>0</v>
      </c>
      <c r="AK283" s="0" t="str">
        <f aca="false">IF(AJ283=1,INDEX($F283:$J283,AI283)/MAX($P283:$S283),"")</f>
        <v/>
      </c>
      <c r="AL283" s="0" t="str">
        <f aca="false">IF(AJ283=1,1+COUNTIF($P283:$S283,"&gt;"&amp;INDEX($F283:$J283,AI283)),"")</f>
        <v/>
      </c>
      <c r="AM283" s="0" t="n">
        <f aca="false">AVERAGE($P283:$S283)/MAX($P283:$S283)</f>
        <v>0.370798319327731</v>
      </c>
      <c r="AN283" s="0" t="n">
        <f aca="false">100-INDEX($F283:$J283,$E283)</f>
        <v>42.7</v>
      </c>
    </row>
    <row r="284" customFormat="false" ht="15" hidden="false" customHeight="false" outlineLevel="0" collapsed="false">
      <c r="A284" s="0" t="s">
        <v>40</v>
      </c>
      <c r="B284" s="0" t="n">
        <v>2015</v>
      </c>
      <c r="C284" s="0" t="s">
        <v>48</v>
      </c>
      <c r="D284" s="0" t="s">
        <v>42</v>
      </c>
      <c r="E284" s="0" t="n">
        <v>2</v>
      </c>
      <c r="F284" s="0" t="n">
        <v>5.9</v>
      </c>
      <c r="G284" s="0" t="n">
        <v>65.5</v>
      </c>
      <c r="H284" s="0" t="n">
        <v>7.8</v>
      </c>
      <c r="I284" s="0" t="n">
        <v>4.1</v>
      </c>
      <c r="J284" s="0" t="n">
        <v>9.1</v>
      </c>
      <c r="K284" s="0" t="n">
        <v>4.96526954356</v>
      </c>
      <c r="L284" s="0" t="n">
        <v>73.3066431251</v>
      </c>
      <c r="M284" s="0" t="n">
        <v>16.4940300698</v>
      </c>
      <c r="N284" s="0" t="n">
        <v>0.739833246038</v>
      </c>
      <c r="O284" s="0" t="n">
        <v>4.49422401543</v>
      </c>
      <c r="P284" s="0" t="n">
        <f aca="false">INDEX($F284:$J284,IF(1&lt;$E284,1,1+1))</f>
        <v>5.9</v>
      </c>
      <c r="Q284" s="0" t="n">
        <f aca="false">INDEX($F284:$J284,IF(2&lt;$E284,2,2+1))</f>
        <v>7.8</v>
      </c>
      <c r="R284" s="0" t="n">
        <f aca="false">INDEX($F284:$J284,IF(3&lt;$E284,3,3+1))</f>
        <v>4.1</v>
      </c>
      <c r="S284" s="0" t="n">
        <f aca="false">INDEX($F284:$J284,IF(4&lt;$E284,4,4+1))</f>
        <v>9.1</v>
      </c>
      <c r="T284" s="0" t="n">
        <f aca="false">INDEX($K284:$O284,IF(1&lt;$E284,1,1+1))</f>
        <v>4.96526954356</v>
      </c>
      <c r="U284" s="0" t="n">
        <f aca="false">INDEX($K284:$O284,IF(2&lt;$E284,2,2+1))</f>
        <v>16.4940300698</v>
      </c>
      <c r="V284" s="0" t="n">
        <f aca="false">INDEX($K284:$O284,IF(3&lt;$E284,3,3+1))</f>
        <v>0.739833246038</v>
      </c>
      <c r="W284" s="0" t="n">
        <f aca="false">INDEX($K284:$O284,IF(4&lt;$E284,4,4+1))</f>
        <v>4.49422401543</v>
      </c>
      <c r="X284" s="0" t="n">
        <f aca="false">1+COUNTIF($P284:$S284,"&gt;"&amp;$P284)+(COUNTIF($P284:$S284,$P284)-1)/2</f>
        <v>3</v>
      </c>
      <c r="Y284" s="0" t="n">
        <f aca="false">1+COUNTIF($P284:$S284,"&gt;"&amp;$Q284)+(COUNTIF($P284:$S284,$Q284)-1)/2</f>
        <v>2</v>
      </c>
      <c r="Z284" s="0" t="n">
        <f aca="false">1+COUNTIF($P284:$S284,"&gt;"&amp;$R284)+(COUNTIF($P284:$S284,$R284)-1)/2</f>
        <v>4</v>
      </c>
      <c r="AA284" s="0" t="n">
        <f aca="false">1+COUNTIF($P284:$S284,"&gt;"&amp;$S284)+(COUNTIF($P284:$S284,$S284)-1)/2</f>
        <v>1</v>
      </c>
      <c r="AB284" s="0" t="n">
        <f aca="false">1+COUNTIF($T284:$W284,"&gt;"&amp;$T284)+(COUNTIF($T284:$W284,$T284)-1)/2</f>
        <v>2</v>
      </c>
      <c r="AC284" s="0" t="n">
        <f aca="false">1+COUNTIF($T284:$W284,"&gt;"&amp;$U284)+(COUNTIF($T284:$W284,$U284)-1)/2</f>
        <v>1</v>
      </c>
      <c r="AD284" s="0" t="n">
        <f aca="false">1+COUNTIF($T284:$W284,"&gt;"&amp;$V284)+(COUNTIF($T284:$W284,$V284)-1)/2</f>
        <v>4</v>
      </c>
      <c r="AE284" s="0" t="n">
        <f aca="false">1+COUNTIF($T284:$W284,"&gt;"&amp;$W284)+(COUNTIF($T284:$W284,$W284)-1)/2</f>
        <v>3</v>
      </c>
      <c r="AF284" s="0" t="n">
        <f aca="false">IFERROR(CORREL($P284:$S284,$T284:$W284),"")</f>
        <v>0.499921875820648</v>
      </c>
      <c r="AG284" s="0" t="n">
        <f aca="false">IFERROR(CORREL($X284:$AA284,$AB284:$AE284),"")</f>
        <v>0.4</v>
      </c>
      <c r="AH284" s="0" t="n">
        <f aca="false">IFERROR((SIGN($P284-$Q284)*SIGN($T284-$U284)+SIGN($P284-$R284)*SIGN($T284-$V284)+SIGN($P284-$S284)*SIGN($T284-$W284)+SIGN($Q284-$R284)*SIGN($U284-$V284)+SIGN($Q284-$S284)*SIGN($U284-$W284)+SIGN($R284-$S284)*SIGN($V284-$W284))/SQRT((6-(($P284=$Q284)*1+($P284=$R284)*1+($P284=$S284)*1+($Q284=$R284)*1+($Q284=$S284)*1+($R284=$S284)*1))*(6-(($T284=$U284)*1+($T284=$V284)*1+($T284=$W284)*1+($U284=$V284)*1+($U284=$W284)*1+($V284=$W284)*1))),"")</f>
        <v>0.333333333333333</v>
      </c>
      <c r="AI284" s="0" t="n">
        <f aca="false">MATCH(MAX($K284:$O284),$K284:$O284,0)</f>
        <v>2</v>
      </c>
      <c r="AJ284" s="0" t="n">
        <f aca="false">IF(AI284&lt;&gt;$E284,1,0)</f>
        <v>0</v>
      </c>
      <c r="AK284" s="0" t="str">
        <f aca="false">IF(AJ284=1,INDEX($F284:$J284,AI284)/MAX($P284:$S284),"")</f>
        <v/>
      </c>
      <c r="AL284" s="0" t="str">
        <f aca="false">IF(AJ284=1,1+COUNTIF($P284:$S284,"&gt;"&amp;INDEX($F284:$J284,AI284)),"")</f>
        <v/>
      </c>
      <c r="AM284" s="0" t="n">
        <f aca="false">AVERAGE($P284:$S284)/MAX($P284:$S284)</f>
        <v>0.739010989010989</v>
      </c>
      <c r="AN284" s="0" t="n">
        <f aca="false">100-INDEX($F284:$J284,$E284)</f>
        <v>34.5</v>
      </c>
    </row>
    <row r="285" customFormat="false" ht="15" hidden="false" customHeight="false" outlineLevel="0" collapsed="false">
      <c r="A285" s="0" t="s">
        <v>40</v>
      </c>
      <c r="B285" s="0" t="n">
        <v>2015</v>
      </c>
      <c r="C285" s="0" t="s">
        <v>48</v>
      </c>
      <c r="D285" s="0" t="s">
        <v>43</v>
      </c>
      <c r="E285" s="0" t="n">
        <v>4</v>
      </c>
      <c r="F285" s="0" t="n">
        <v>6.2</v>
      </c>
      <c r="G285" s="0" t="n">
        <v>8.2</v>
      </c>
      <c r="H285" s="0" t="n">
        <v>13.4</v>
      </c>
      <c r="I285" s="0" t="n">
        <v>58.4</v>
      </c>
      <c r="J285" s="0" t="n">
        <v>6.2</v>
      </c>
      <c r="K285" s="0" t="n">
        <v>17.9248286823</v>
      </c>
      <c r="L285" s="0" t="n">
        <v>24.5319060388</v>
      </c>
      <c r="M285" s="0" t="n">
        <v>4.37744006353</v>
      </c>
      <c r="N285" s="0" t="n">
        <v>3.97261070891</v>
      </c>
      <c r="O285" s="0" t="n">
        <v>49.1932145065</v>
      </c>
      <c r="P285" s="0" t="n">
        <f aca="false">INDEX($F285:$J285,IF(1&lt;$E285,1,1+1))</f>
        <v>6.2</v>
      </c>
      <c r="Q285" s="0" t="n">
        <f aca="false">INDEX($F285:$J285,IF(2&lt;$E285,2,2+1))</f>
        <v>8.2</v>
      </c>
      <c r="R285" s="0" t="n">
        <f aca="false">INDEX($F285:$J285,IF(3&lt;$E285,3,3+1))</f>
        <v>13.4</v>
      </c>
      <c r="S285" s="0" t="n">
        <f aca="false">INDEX($F285:$J285,IF(4&lt;$E285,4,4+1))</f>
        <v>6.2</v>
      </c>
      <c r="T285" s="0" t="n">
        <f aca="false">INDEX($K285:$O285,IF(1&lt;$E285,1,1+1))</f>
        <v>17.9248286823</v>
      </c>
      <c r="U285" s="0" t="n">
        <f aca="false">INDEX($K285:$O285,IF(2&lt;$E285,2,2+1))</f>
        <v>24.5319060388</v>
      </c>
      <c r="V285" s="0" t="n">
        <f aca="false">INDEX($K285:$O285,IF(3&lt;$E285,3,3+1))</f>
        <v>4.37744006353</v>
      </c>
      <c r="W285" s="0" t="n">
        <f aca="false">INDEX($K285:$O285,IF(4&lt;$E285,4,4+1))</f>
        <v>49.1932145065</v>
      </c>
      <c r="X285" s="0" t="n">
        <f aca="false">1+COUNTIF($P285:$S285,"&gt;"&amp;$P285)+(COUNTIF($P285:$S285,$P285)-1)/2</f>
        <v>3.5</v>
      </c>
      <c r="Y285" s="0" t="n">
        <f aca="false">1+COUNTIF($P285:$S285,"&gt;"&amp;$Q285)+(COUNTIF($P285:$S285,$Q285)-1)/2</f>
        <v>2</v>
      </c>
      <c r="Z285" s="0" t="n">
        <f aca="false">1+COUNTIF($P285:$S285,"&gt;"&amp;$R285)+(COUNTIF($P285:$S285,$R285)-1)/2</f>
        <v>1</v>
      </c>
      <c r="AA285" s="0" t="n">
        <f aca="false">1+COUNTIF($P285:$S285,"&gt;"&amp;$S285)+(COUNTIF($P285:$S285,$S285)-1)/2</f>
        <v>3.5</v>
      </c>
      <c r="AB285" s="0" t="n">
        <f aca="false">1+COUNTIF($T285:$W285,"&gt;"&amp;$T285)+(COUNTIF($T285:$W285,$T285)-1)/2</f>
        <v>3</v>
      </c>
      <c r="AC285" s="0" t="n">
        <f aca="false">1+COUNTIF($T285:$W285,"&gt;"&amp;$U285)+(COUNTIF($T285:$W285,$U285)-1)/2</f>
        <v>2</v>
      </c>
      <c r="AD285" s="0" t="n">
        <f aca="false">1+COUNTIF($T285:$W285,"&gt;"&amp;$V285)+(COUNTIF($T285:$W285,$V285)-1)/2</f>
        <v>4</v>
      </c>
      <c r="AE285" s="0" t="n">
        <f aca="false">1+COUNTIF($T285:$W285,"&gt;"&amp;$W285)+(COUNTIF($T285:$W285,$W285)-1)/2</f>
        <v>1</v>
      </c>
      <c r="AF285" s="0" t="n">
        <f aca="false">IFERROR(CORREL($P285:$S285,$T285:$W285),"")</f>
        <v>-0.732718926212458</v>
      </c>
      <c r="AG285" s="0" t="n">
        <f aca="false">IFERROR(CORREL($X285:$AA285,$AB285:$AE285),"")</f>
        <v>-0.632455532033676</v>
      </c>
      <c r="AH285" s="0" t="n">
        <f aca="false">IFERROR((SIGN($P285-$Q285)*SIGN($T285-$U285)+SIGN($P285-$R285)*SIGN($T285-$V285)+SIGN($P285-$S285)*SIGN($T285-$W285)+SIGN($Q285-$R285)*SIGN($U285-$V285)+SIGN($Q285-$S285)*SIGN($U285-$W285)+SIGN($R285-$S285)*SIGN($V285-$W285))/SQRT((6-(($P285=$Q285)*1+($P285=$R285)*1+($P285=$S285)*1+($Q285=$R285)*1+($Q285=$S285)*1+($R285=$S285)*1))*(6-(($T285=$U285)*1+($T285=$V285)*1+($T285=$W285)*1+($U285=$V285)*1+($U285=$W285)*1+($V285=$W285)*1))),"")</f>
        <v>-0.547722557505166</v>
      </c>
      <c r="AI285" s="0" t="n">
        <f aca="false">MATCH(MAX($K285:$O285),$K285:$O285,0)</f>
        <v>5</v>
      </c>
      <c r="AJ285" s="0" t="n">
        <f aca="false">IF(AI285&lt;&gt;$E285,1,0)</f>
        <v>1</v>
      </c>
      <c r="AK285" s="0" t="n">
        <f aca="false">IF(AJ285=1,INDEX($F285:$J285,AI285)/MAX($P285:$S285),"")</f>
        <v>0.462686567164179</v>
      </c>
      <c r="AL285" s="0" t="n">
        <f aca="false">IF(AJ285=1,1+COUNTIF($P285:$S285,"&gt;"&amp;INDEX($F285:$J285,AI285)),"")</f>
        <v>3</v>
      </c>
      <c r="AM285" s="0" t="n">
        <f aca="false">AVERAGE($P285:$S285)/MAX($P285:$S285)</f>
        <v>0.634328358208955</v>
      </c>
      <c r="AN285" s="0" t="n">
        <f aca="false">100-INDEX($F285:$J285,$E285)</f>
        <v>41.6</v>
      </c>
    </row>
    <row r="286" customFormat="false" ht="15" hidden="false" customHeight="false" outlineLevel="0" collapsed="false">
      <c r="A286" s="0" t="s">
        <v>40</v>
      </c>
      <c r="B286" s="0" t="n">
        <v>2015</v>
      </c>
      <c r="C286" s="0" t="s">
        <v>49</v>
      </c>
      <c r="D286" s="0" t="s">
        <v>42</v>
      </c>
      <c r="E286" s="0" t="n">
        <v>2</v>
      </c>
      <c r="F286" s="0" t="n">
        <v>6.4</v>
      </c>
      <c r="G286" s="0" t="n">
        <v>54.1</v>
      </c>
      <c r="H286" s="0" t="n">
        <v>9</v>
      </c>
      <c r="I286" s="0" t="n">
        <v>14.5</v>
      </c>
      <c r="J286" s="0" t="n">
        <v>10</v>
      </c>
      <c r="K286" s="0" t="n">
        <v>0.0344645760214</v>
      </c>
      <c r="L286" s="0" t="n">
        <v>94.2328438177</v>
      </c>
      <c r="M286" s="0" t="n">
        <v>0.480449957993</v>
      </c>
      <c r="N286" s="0" t="n">
        <v>2.14214787996</v>
      </c>
      <c r="O286" s="0" t="n">
        <v>3.11009376834</v>
      </c>
      <c r="P286" s="0" t="n">
        <f aca="false">INDEX($F286:$J286,IF(1&lt;$E286,1,1+1))</f>
        <v>6.4</v>
      </c>
      <c r="Q286" s="0" t="n">
        <f aca="false">INDEX($F286:$J286,IF(2&lt;$E286,2,2+1))</f>
        <v>9</v>
      </c>
      <c r="R286" s="0" t="n">
        <f aca="false">INDEX($F286:$J286,IF(3&lt;$E286,3,3+1))</f>
        <v>14.5</v>
      </c>
      <c r="S286" s="0" t="n">
        <f aca="false">INDEX($F286:$J286,IF(4&lt;$E286,4,4+1))</f>
        <v>10</v>
      </c>
      <c r="T286" s="0" t="n">
        <f aca="false">INDEX($K286:$O286,IF(1&lt;$E286,1,1+1))</f>
        <v>0.0344645760214</v>
      </c>
      <c r="U286" s="0" t="n">
        <f aca="false">INDEX($K286:$O286,IF(2&lt;$E286,2,2+1))</f>
        <v>0.480449957993</v>
      </c>
      <c r="V286" s="0" t="n">
        <f aca="false">INDEX($K286:$O286,IF(3&lt;$E286,3,3+1))</f>
        <v>2.14214787996</v>
      </c>
      <c r="W286" s="0" t="n">
        <f aca="false">INDEX($K286:$O286,IF(4&lt;$E286,4,4+1))</f>
        <v>3.11009376834</v>
      </c>
      <c r="X286" s="0" t="n">
        <f aca="false">1+COUNTIF($P286:$S286,"&gt;"&amp;$P286)+(COUNTIF($P286:$S286,$P286)-1)/2</f>
        <v>4</v>
      </c>
      <c r="Y286" s="0" t="n">
        <f aca="false">1+COUNTIF($P286:$S286,"&gt;"&amp;$Q286)+(COUNTIF($P286:$S286,$Q286)-1)/2</f>
        <v>3</v>
      </c>
      <c r="Z286" s="0" t="n">
        <f aca="false">1+COUNTIF($P286:$S286,"&gt;"&amp;$R286)+(COUNTIF($P286:$S286,$R286)-1)/2</f>
        <v>1</v>
      </c>
      <c r="AA286" s="0" t="n">
        <f aca="false">1+COUNTIF($P286:$S286,"&gt;"&amp;$S286)+(COUNTIF($P286:$S286,$S286)-1)/2</f>
        <v>2</v>
      </c>
      <c r="AB286" s="0" t="n">
        <f aca="false">1+COUNTIF($T286:$W286,"&gt;"&amp;$T286)+(COUNTIF($T286:$W286,$T286)-1)/2</f>
        <v>4</v>
      </c>
      <c r="AC286" s="0" t="n">
        <f aca="false">1+COUNTIF($T286:$W286,"&gt;"&amp;$U286)+(COUNTIF($T286:$W286,$U286)-1)/2</f>
        <v>3</v>
      </c>
      <c r="AD286" s="0" t="n">
        <f aca="false">1+COUNTIF($T286:$W286,"&gt;"&amp;$V286)+(COUNTIF($T286:$W286,$V286)-1)/2</f>
        <v>2</v>
      </c>
      <c r="AE286" s="0" t="n">
        <f aca="false">1+COUNTIF($T286:$W286,"&gt;"&amp;$W286)+(COUNTIF($T286:$W286,$W286)-1)/2</f>
        <v>1</v>
      </c>
      <c r="AF286" s="0" t="n">
        <f aca="false">IFERROR(CORREL($P286:$S286,$T286:$W286),"")</f>
        <v>0.631406685698562</v>
      </c>
      <c r="AG286" s="0" t="n">
        <f aca="false">IFERROR(CORREL($X286:$AA286,$AB286:$AE286),"")</f>
        <v>0.8</v>
      </c>
      <c r="AH286" s="0" t="n">
        <f aca="false">IFERROR((SIGN($P286-$Q286)*SIGN($T286-$U286)+SIGN($P286-$R286)*SIGN($T286-$V286)+SIGN($P286-$S286)*SIGN($T286-$W286)+SIGN($Q286-$R286)*SIGN($U286-$V286)+SIGN($Q286-$S286)*SIGN($U286-$W286)+SIGN($R286-$S286)*SIGN($V286-$W286))/SQRT((6-(($P286=$Q286)*1+($P286=$R286)*1+($P286=$S286)*1+($Q286=$R286)*1+($Q286=$S286)*1+($R286=$S286)*1))*(6-(($T286=$U286)*1+($T286=$V286)*1+($T286=$W286)*1+($U286=$V286)*1+($U286=$W286)*1+($V286=$W286)*1))),"")</f>
        <v>0.666666666666667</v>
      </c>
      <c r="AI286" s="0" t="n">
        <f aca="false">MATCH(MAX($K286:$O286),$K286:$O286,0)</f>
        <v>2</v>
      </c>
      <c r="AJ286" s="0" t="n">
        <f aca="false">IF(AI286&lt;&gt;$E286,1,0)</f>
        <v>0</v>
      </c>
      <c r="AK286" s="0" t="str">
        <f aca="false">IF(AJ286=1,INDEX($F286:$J286,AI286)/MAX($P286:$S286),"")</f>
        <v/>
      </c>
      <c r="AL286" s="0" t="str">
        <f aca="false">IF(AJ286=1,1+COUNTIF($P286:$S286,"&gt;"&amp;INDEX($F286:$J286,AI286)),"")</f>
        <v/>
      </c>
      <c r="AM286" s="0" t="n">
        <f aca="false">AVERAGE($P286:$S286)/MAX($P286:$S286)</f>
        <v>0.687931034482759</v>
      </c>
      <c r="AN286" s="0" t="n">
        <f aca="false">100-INDEX($F286:$J286,$E286)</f>
        <v>45.9</v>
      </c>
    </row>
    <row r="287" customFormat="false" ht="15" hidden="false" customHeight="false" outlineLevel="0" collapsed="false">
      <c r="A287" s="0" t="s">
        <v>40</v>
      </c>
      <c r="B287" s="0" t="n">
        <v>2015</v>
      </c>
      <c r="C287" s="0" t="s">
        <v>49</v>
      </c>
      <c r="D287" s="0" t="s">
        <v>43</v>
      </c>
      <c r="E287" s="0" t="n">
        <v>2</v>
      </c>
      <c r="F287" s="0" t="n">
        <v>9.4</v>
      </c>
      <c r="G287" s="0" t="n">
        <v>55.8</v>
      </c>
      <c r="H287" s="0" t="n">
        <v>9.5</v>
      </c>
      <c r="I287" s="0" t="n">
        <v>8.5</v>
      </c>
      <c r="J287" s="0" t="n">
        <v>10.9</v>
      </c>
      <c r="K287" s="0" t="n">
        <v>28.1875913527</v>
      </c>
      <c r="L287" s="0" t="n">
        <v>19.1581758885</v>
      </c>
      <c r="M287" s="0" t="n">
        <v>17.8047256297</v>
      </c>
      <c r="N287" s="0" t="n">
        <v>22.7499000032</v>
      </c>
      <c r="O287" s="0" t="n">
        <v>12.099607126</v>
      </c>
      <c r="P287" s="0" t="n">
        <f aca="false">INDEX($F287:$J287,IF(1&lt;$E287,1,1+1))</f>
        <v>9.4</v>
      </c>
      <c r="Q287" s="0" t="n">
        <f aca="false">INDEX($F287:$J287,IF(2&lt;$E287,2,2+1))</f>
        <v>9.5</v>
      </c>
      <c r="R287" s="0" t="n">
        <f aca="false">INDEX($F287:$J287,IF(3&lt;$E287,3,3+1))</f>
        <v>8.5</v>
      </c>
      <c r="S287" s="0" t="n">
        <f aca="false">INDEX($F287:$J287,IF(4&lt;$E287,4,4+1))</f>
        <v>10.9</v>
      </c>
      <c r="T287" s="0" t="n">
        <f aca="false">INDEX($K287:$O287,IF(1&lt;$E287,1,1+1))</f>
        <v>28.1875913527</v>
      </c>
      <c r="U287" s="0" t="n">
        <f aca="false">INDEX($K287:$O287,IF(2&lt;$E287,2,2+1))</f>
        <v>17.8047256297</v>
      </c>
      <c r="V287" s="0" t="n">
        <f aca="false">INDEX($K287:$O287,IF(3&lt;$E287,3,3+1))</f>
        <v>22.7499000032</v>
      </c>
      <c r="W287" s="0" t="n">
        <f aca="false">INDEX($K287:$O287,IF(4&lt;$E287,4,4+1))</f>
        <v>12.099607126</v>
      </c>
      <c r="X287" s="0" t="n">
        <f aca="false">1+COUNTIF($P287:$S287,"&gt;"&amp;$P287)+(COUNTIF($P287:$S287,$P287)-1)/2</f>
        <v>3</v>
      </c>
      <c r="Y287" s="0" t="n">
        <f aca="false">1+COUNTIF($P287:$S287,"&gt;"&amp;$Q287)+(COUNTIF($P287:$S287,$Q287)-1)/2</f>
        <v>2</v>
      </c>
      <c r="Z287" s="0" t="n">
        <f aca="false">1+COUNTIF($P287:$S287,"&gt;"&amp;$R287)+(COUNTIF($P287:$S287,$R287)-1)/2</f>
        <v>4</v>
      </c>
      <c r="AA287" s="0" t="n">
        <f aca="false">1+COUNTIF($P287:$S287,"&gt;"&amp;$S287)+(COUNTIF($P287:$S287,$S287)-1)/2</f>
        <v>1</v>
      </c>
      <c r="AB287" s="0" t="n">
        <f aca="false">1+COUNTIF($T287:$W287,"&gt;"&amp;$T287)+(COUNTIF($T287:$W287,$T287)-1)/2</f>
        <v>1</v>
      </c>
      <c r="AC287" s="0" t="n">
        <f aca="false">1+COUNTIF($T287:$W287,"&gt;"&amp;$U287)+(COUNTIF($T287:$W287,$U287)-1)/2</f>
        <v>3</v>
      </c>
      <c r="AD287" s="0" t="n">
        <f aca="false">1+COUNTIF($T287:$W287,"&gt;"&amp;$V287)+(COUNTIF($T287:$W287,$V287)-1)/2</f>
        <v>2</v>
      </c>
      <c r="AE287" s="0" t="n">
        <f aca="false">1+COUNTIF($T287:$W287,"&gt;"&amp;$W287)+(COUNTIF($T287:$W287,$W287)-1)/2</f>
        <v>4</v>
      </c>
      <c r="AF287" s="0" t="n">
        <f aca="false">IFERROR(CORREL($P287:$S287,$T287:$W287),"")</f>
        <v>-0.719027358241693</v>
      </c>
      <c r="AG287" s="0" t="n">
        <f aca="false">IFERROR(CORREL($X287:$AA287,$AB287:$AE287),"")</f>
        <v>-0.8</v>
      </c>
      <c r="AH287" s="0" t="n">
        <f aca="false">IFERROR((SIGN($P287-$Q287)*SIGN($T287-$U287)+SIGN($P287-$R287)*SIGN($T287-$V287)+SIGN($P287-$S287)*SIGN($T287-$W287)+SIGN($Q287-$R287)*SIGN($U287-$V287)+SIGN($Q287-$S287)*SIGN($U287-$W287)+SIGN($R287-$S287)*SIGN($V287-$W287))/SQRT((6-(($P287=$Q287)*1+($P287=$R287)*1+($P287=$S287)*1+($Q287=$R287)*1+($Q287=$S287)*1+($R287=$S287)*1))*(6-(($T287=$U287)*1+($T287=$V287)*1+($T287=$W287)*1+($U287=$V287)*1+($U287=$W287)*1+($V287=$W287)*1))),"")</f>
        <v>-0.666666666666667</v>
      </c>
      <c r="AI287" s="0" t="n">
        <f aca="false">MATCH(MAX($K287:$O287),$K287:$O287,0)</f>
        <v>1</v>
      </c>
      <c r="AJ287" s="0" t="n">
        <f aca="false">IF(AI287&lt;&gt;$E287,1,0)</f>
        <v>1</v>
      </c>
      <c r="AK287" s="0" t="n">
        <f aca="false">IF(AJ287=1,INDEX($F287:$J287,AI287)/MAX($P287:$S287),"")</f>
        <v>0.862385321100918</v>
      </c>
      <c r="AL287" s="0" t="n">
        <f aca="false">IF(AJ287=1,1+COUNTIF($P287:$S287,"&gt;"&amp;INDEX($F287:$J287,AI287)),"")</f>
        <v>3</v>
      </c>
      <c r="AM287" s="0" t="n">
        <f aca="false">AVERAGE($P287:$S287)/MAX($P287:$S287)</f>
        <v>0.878440366972477</v>
      </c>
      <c r="AN287" s="0" t="n">
        <f aca="false">100-INDEX($F287:$J287,$E287)</f>
        <v>44.2</v>
      </c>
    </row>
    <row r="288" customFormat="false" ht="15" hidden="false" customHeight="false" outlineLevel="0" collapsed="false">
      <c r="A288" s="0" t="s">
        <v>40</v>
      </c>
      <c r="B288" s="0" t="n">
        <v>2015</v>
      </c>
      <c r="C288" s="0" t="s">
        <v>49</v>
      </c>
      <c r="D288" s="0" t="s">
        <v>44</v>
      </c>
      <c r="E288" s="0" t="n">
        <v>5</v>
      </c>
      <c r="F288" s="0" t="n">
        <v>9</v>
      </c>
      <c r="G288" s="0" t="n">
        <v>12</v>
      </c>
      <c r="H288" s="0" t="n">
        <v>18</v>
      </c>
      <c r="I288" s="0" t="n">
        <v>7.7</v>
      </c>
      <c r="J288" s="0" t="n">
        <v>47.4</v>
      </c>
      <c r="K288" s="0" t="n">
        <v>45.5229147416</v>
      </c>
      <c r="L288" s="0" t="n">
        <v>1.81405855978</v>
      </c>
      <c r="M288" s="0" t="n">
        <v>11.5371983951</v>
      </c>
      <c r="N288" s="0" t="n">
        <v>6.66415071328</v>
      </c>
      <c r="O288" s="0" t="n">
        <v>34.4616775903</v>
      </c>
      <c r="P288" s="0" t="n">
        <f aca="false">INDEX($F288:$J288,IF(1&lt;$E288,1,1+1))</f>
        <v>9</v>
      </c>
      <c r="Q288" s="0" t="n">
        <f aca="false">INDEX($F288:$J288,IF(2&lt;$E288,2,2+1))</f>
        <v>12</v>
      </c>
      <c r="R288" s="0" t="n">
        <f aca="false">INDEX($F288:$J288,IF(3&lt;$E288,3,3+1))</f>
        <v>18</v>
      </c>
      <c r="S288" s="0" t="n">
        <f aca="false">INDEX($F288:$J288,IF(4&lt;$E288,4,4+1))</f>
        <v>7.7</v>
      </c>
      <c r="T288" s="0" t="n">
        <f aca="false">INDEX($K288:$O288,IF(1&lt;$E288,1,1+1))</f>
        <v>45.5229147416</v>
      </c>
      <c r="U288" s="0" t="n">
        <f aca="false">INDEX($K288:$O288,IF(2&lt;$E288,2,2+1))</f>
        <v>1.81405855978</v>
      </c>
      <c r="V288" s="0" t="n">
        <f aca="false">INDEX($K288:$O288,IF(3&lt;$E288,3,3+1))</f>
        <v>11.5371983951</v>
      </c>
      <c r="W288" s="0" t="n">
        <f aca="false">INDEX($K288:$O288,IF(4&lt;$E288,4,4+1))</f>
        <v>6.66415071328</v>
      </c>
      <c r="X288" s="0" t="n">
        <f aca="false">1+COUNTIF($P288:$S288,"&gt;"&amp;$P288)+(COUNTIF($P288:$S288,$P288)-1)/2</f>
        <v>3</v>
      </c>
      <c r="Y288" s="0" t="n">
        <f aca="false">1+COUNTIF($P288:$S288,"&gt;"&amp;$Q288)+(COUNTIF($P288:$S288,$Q288)-1)/2</f>
        <v>2</v>
      </c>
      <c r="Z288" s="0" t="n">
        <f aca="false">1+COUNTIF($P288:$S288,"&gt;"&amp;$R288)+(COUNTIF($P288:$S288,$R288)-1)/2</f>
        <v>1</v>
      </c>
      <c r="AA288" s="0" t="n">
        <f aca="false">1+COUNTIF($P288:$S288,"&gt;"&amp;$S288)+(COUNTIF($P288:$S288,$S288)-1)/2</f>
        <v>4</v>
      </c>
      <c r="AB288" s="0" t="n">
        <f aca="false">1+COUNTIF($T288:$W288,"&gt;"&amp;$T288)+(COUNTIF($T288:$W288,$T288)-1)/2</f>
        <v>1</v>
      </c>
      <c r="AC288" s="0" t="n">
        <f aca="false">1+COUNTIF($T288:$W288,"&gt;"&amp;$U288)+(COUNTIF($T288:$W288,$U288)-1)/2</f>
        <v>4</v>
      </c>
      <c r="AD288" s="0" t="n">
        <f aca="false">1+COUNTIF($T288:$W288,"&gt;"&amp;$V288)+(COUNTIF($T288:$W288,$V288)-1)/2</f>
        <v>2</v>
      </c>
      <c r="AE288" s="0" t="n">
        <f aca="false">1+COUNTIF($T288:$W288,"&gt;"&amp;$W288)+(COUNTIF($T288:$W288,$W288)-1)/2</f>
        <v>3</v>
      </c>
      <c r="AF288" s="0" t="n">
        <f aca="false">IFERROR(CORREL($P288:$S288,$T288:$W288),"")</f>
        <v>-0.273910813928764</v>
      </c>
      <c r="AG288" s="0" t="n">
        <f aca="false">IFERROR(CORREL($X288:$AA288,$AB288:$AE288),"")</f>
        <v>0</v>
      </c>
      <c r="AH288" s="0" t="n">
        <f aca="false">IFERROR((SIGN($P288-$Q288)*SIGN($T288-$U288)+SIGN($P288-$R288)*SIGN($T288-$V288)+SIGN($P288-$S288)*SIGN($T288-$W288)+SIGN($Q288-$R288)*SIGN($U288-$V288)+SIGN($Q288-$S288)*SIGN($U288-$W288)+SIGN($R288-$S288)*SIGN($V288-$W288))/SQRT((6-(($P288=$Q288)*1+($P288=$R288)*1+($P288=$S288)*1+($Q288=$R288)*1+($Q288=$S288)*1+($R288=$S288)*1))*(6-(($T288=$U288)*1+($T288=$V288)*1+($T288=$W288)*1+($U288=$V288)*1+($U288=$W288)*1+($V288=$W288)*1))),"")</f>
        <v>0</v>
      </c>
      <c r="AI288" s="0" t="n">
        <f aca="false">MATCH(MAX($K288:$O288),$K288:$O288,0)</f>
        <v>1</v>
      </c>
      <c r="AJ288" s="0" t="n">
        <f aca="false">IF(AI288&lt;&gt;$E288,1,0)</f>
        <v>1</v>
      </c>
      <c r="AK288" s="0" t="n">
        <f aca="false">IF(AJ288=1,INDEX($F288:$J288,AI288)/MAX($P288:$S288),"")</f>
        <v>0.5</v>
      </c>
      <c r="AL288" s="0" t="n">
        <f aca="false">IF(AJ288=1,1+COUNTIF($P288:$S288,"&gt;"&amp;INDEX($F288:$J288,AI288)),"")</f>
        <v>3</v>
      </c>
      <c r="AM288" s="0" t="n">
        <f aca="false">AVERAGE($P288:$S288)/MAX($P288:$S288)</f>
        <v>0.648611111111111</v>
      </c>
      <c r="AN288" s="0" t="n">
        <f aca="false">100-INDEX($F288:$J288,$E288)</f>
        <v>52.6</v>
      </c>
    </row>
    <row r="289" customFormat="false" ht="15" hidden="false" customHeight="false" outlineLevel="0" collapsed="false">
      <c r="A289" s="0" t="s">
        <v>40</v>
      </c>
      <c r="B289" s="0" t="n">
        <v>2015</v>
      </c>
      <c r="C289" s="0" t="s">
        <v>50</v>
      </c>
      <c r="D289" s="0" t="s">
        <v>42</v>
      </c>
      <c r="E289" s="0" t="n">
        <v>5</v>
      </c>
      <c r="F289" s="0" t="n">
        <v>5.7</v>
      </c>
      <c r="G289" s="0" t="n">
        <v>12.5</v>
      </c>
      <c r="H289" s="0" t="n">
        <v>15.9</v>
      </c>
      <c r="I289" s="0" t="n">
        <v>16.1</v>
      </c>
      <c r="J289" s="0" t="n">
        <v>43.6</v>
      </c>
      <c r="K289" s="0" t="n">
        <v>24.3417036496</v>
      </c>
      <c r="L289" s="0" t="n">
        <v>10.8487599281</v>
      </c>
      <c r="M289" s="0" t="n">
        <v>0.943084037464</v>
      </c>
      <c r="N289" s="0" t="n">
        <v>27.3782483081</v>
      </c>
      <c r="O289" s="0" t="n">
        <v>36.4882040768</v>
      </c>
      <c r="P289" s="0" t="n">
        <f aca="false">INDEX($F289:$J289,IF(1&lt;$E289,1,1+1))</f>
        <v>5.7</v>
      </c>
      <c r="Q289" s="0" t="n">
        <f aca="false">INDEX($F289:$J289,IF(2&lt;$E289,2,2+1))</f>
        <v>12.5</v>
      </c>
      <c r="R289" s="0" t="n">
        <f aca="false">INDEX($F289:$J289,IF(3&lt;$E289,3,3+1))</f>
        <v>15.9</v>
      </c>
      <c r="S289" s="0" t="n">
        <f aca="false">INDEX($F289:$J289,IF(4&lt;$E289,4,4+1))</f>
        <v>16.1</v>
      </c>
      <c r="T289" s="0" t="n">
        <f aca="false">INDEX($K289:$O289,IF(1&lt;$E289,1,1+1))</f>
        <v>24.3417036496</v>
      </c>
      <c r="U289" s="0" t="n">
        <f aca="false">INDEX($K289:$O289,IF(2&lt;$E289,2,2+1))</f>
        <v>10.8487599281</v>
      </c>
      <c r="V289" s="0" t="n">
        <f aca="false">INDEX($K289:$O289,IF(3&lt;$E289,3,3+1))</f>
        <v>0.943084037464</v>
      </c>
      <c r="W289" s="0" t="n">
        <f aca="false">INDEX($K289:$O289,IF(4&lt;$E289,4,4+1))</f>
        <v>27.3782483081</v>
      </c>
      <c r="X289" s="0" t="n">
        <f aca="false">1+COUNTIF($P289:$S289,"&gt;"&amp;$P289)+(COUNTIF($P289:$S289,$P289)-1)/2</f>
        <v>4</v>
      </c>
      <c r="Y289" s="0" t="n">
        <f aca="false">1+COUNTIF($P289:$S289,"&gt;"&amp;$Q289)+(COUNTIF($P289:$S289,$Q289)-1)/2</f>
        <v>3</v>
      </c>
      <c r="Z289" s="0" t="n">
        <f aca="false">1+COUNTIF($P289:$S289,"&gt;"&amp;$R289)+(COUNTIF($P289:$S289,$R289)-1)/2</f>
        <v>2</v>
      </c>
      <c r="AA289" s="0" t="n">
        <f aca="false">1+COUNTIF($P289:$S289,"&gt;"&amp;$S289)+(COUNTIF($P289:$S289,$S289)-1)/2</f>
        <v>1</v>
      </c>
      <c r="AB289" s="0" t="n">
        <f aca="false">1+COUNTIF($T289:$W289,"&gt;"&amp;$T289)+(COUNTIF($T289:$W289,$T289)-1)/2</f>
        <v>2</v>
      </c>
      <c r="AC289" s="0" t="n">
        <f aca="false">1+COUNTIF($T289:$W289,"&gt;"&amp;$U289)+(COUNTIF($T289:$W289,$U289)-1)/2</f>
        <v>3</v>
      </c>
      <c r="AD289" s="0" t="n">
        <f aca="false">1+COUNTIF($T289:$W289,"&gt;"&amp;$V289)+(COUNTIF($T289:$W289,$V289)-1)/2</f>
        <v>4</v>
      </c>
      <c r="AE289" s="0" t="n">
        <f aca="false">1+COUNTIF($T289:$W289,"&gt;"&amp;$W289)+(COUNTIF($T289:$W289,$W289)-1)/2</f>
        <v>1</v>
      </c>
      <c r="AF289" s="0" t="n">
        <f aca="false">IFERROR(CORREL($P289:$S289,$T289:$W289),"")</f>
        <v>-0.374181224871292</v>
      </c>
      <c r="AG289" s="0" t="n">
        <f aca="false">IFERROR(CORREL($X289:$AA289,$AB289:$AE289),"")</f>
        <v>0.2</v>
      </c>
      <c r="AH289" s="0" t="n">
        <f aca="false">IFERROR((SIGN($P289-$Q289)*SIGN($T289-$U289)+SIGN($P289-$R289)*SIGN($T289-$V289)+SIGN($P289-$S289)*SIGN($T289-$W289)+SIGN($Q289-$R289)*SIGN($U289-$V289)+SIGN($Q289-$S289)*SIGN($U289-$W289)+SIGN($R289-$S289)*SIGN($V289-$W289))/SQRT((6-(($P289=$Q289)*1+($P289=$R289)*1+($P289=$S289)*1+($Q289=$R289)*1+($Q289=$S289)*1+($R289=$S289)*1))*(6-(($T289=$U289)*1+($T289=$V289)*1+($T289=$W289)*1+($U289=$V289)*1+($U289=$W289)*1+($V289=$W289)*1))),"")</f>
        <v>0</v>
      </c>
      <c r="AI289" s="0" t="n">
        <f aca="false">MATCH(MAX($K289:$O289),$K289:$O289,0)</f>
        <v>5</v>
      </c>
      <c r="AJ289" s="0" t="n">
        <f aca="false">IF(AI289&lt;&gt;$E289,1,0)</f>
        <v>0</v>
      </c>
      <c r="AK289" s="0" t="str">
        <f aca="false">IF(AJ289=1,INDEX($F289:$J289,AI289)/MAX($P289:$S289),"")</f>
        <v/>
      </c>
      <c r="AL289" s="0" t="str">
        <f aca="false">IF(AJ289=1,1+COUNTIF($P289:$S289,"&gt;"&amp;INDEX($F289:$J289,AI289)),"")</f>
        <v/>
      </c>
      <c r="AM289" s="0" t="n">
        <f aca="false">AVERAGE($P289:$S289)/MAX($P289:$S289)</f>
        <v>0.779503105590062</v>
      </c>
      <c r="AN289" s="0" t="n">
        <f aca="false">100-INDEX($F289:$J289,$E289)</f>
        <v>56.4</v>
      </c>
    </row>
    <row r="290" customFormat="false" ht="15" hidden="false" customHeight="false" outlineLevel="0" collapsed="false">
      <c r="A290" s="0" t="s">
        <v>40</v>
      </c>
      <c r="B290" s="0" t="n">
        <v>2015</v>
      </c>
      <c r="C290" s="0" t="s">
        <v>50</v>
      </c>
      <c r="D290" s="0" t="s">
        <v>44</v>
      </c>
      <c r="E290" s="0" t="n">
        <v>5</v>
      </c>
      <c r="F290" s="0" t="n">
        <v>7.5</v>
      </c>
      <c r="G290" s="0" t="n">
        <v>22.2</v>
      </c>
      <c r="H290" s="0" t="n">
        <v>35.2</v>
      </c>
      <c r="I290" s="0" t="n">
        <v>10.8</v>
      </c>
      <c r="J290" s="0" t="n">
        <v>18.1</v>
      </c>
      <c r="K290" s="0" t="n">
        <v>2.48119550915</v>
      </c>
      <c r="L290" s="0" t="n">
        <v>7.56130588686</v>
      </c>
      <c r="M290" s="0" t="n">
        <v>2.83556341005</v>
      </c>
      <c r="N290" s="0" t="n">
        <v>18.255198092</v>
      </c>
      <c r="O290" s="0" t="n">
        <v>68.8667371019</v>
      </c>
      <c r="P290" s="0" t="n">
        <f aca="false">INDEX($F290:$J290,IF(1&lt;$E290,1,1+1))</f>
        <v>7.5</v>
      </c>
      <c r="Q290" s="0" t="n">
        <f aca="false">INDEX($F290:$J290,IF(2&lt;$E290,2,2+1))</f>
        <v>22.2</v>
      </c>
      <c r="R290" s="0" t="n">
        <f aca="false">INDEX($F290:$J290,IF(3&lt;$E290,3,3+1))</f>
        <v>35.2</v>
      </c>
      <c r="S290" s="0" t="n">
        <f aca="false">INDEX($F290:$J290,IF(4&lt;$E290,4,4+1))</f>
        <v>10.8</v>
      </c>
      <c r="T290" s="0" t="n">
        <f aca="false">INDEX($K290:$O290,IF(1&lt;$E290,1,1+1))</f>
        <v>2.48119550915</v>
      </c>
      <c r="U290" s="0" t="n">
        <f aca="false">INDEX($K290:$O290,IF(2&lt;$E290,2,2+1))</f>
        <v>7.56130588686</v>
      </c>
      <c r="V290" s="0" t="n">
        <f aca="false">INDEX($K290:$O290,IF(3&lt;$E290,3,3+1))</f>
        <v>2.83556341005</v>
      </c>
      <c r="W290" s="0" t="n">
        <f aca="false">INDEX($K290:$O290,IF(4&lt;$E290,4,4+1))</f>
        <v>18.255198092</v>
      </c>
      <c r="X290" s="0" t="n">
        <f aca="false">1+COUNTIF($P290:$S290,"&gt;"&amp;$P290)+(COUNTIF($P290:$S290,$P290)-1)/2</f>
        <v>4</v>
      </c>
      <c r="Y290" s="0" t="n">
        <f aca="false">1+COUNTIF($P290:$S290,"&gt;"&amp;$Q290)+(COUNTIF($P290:$S290,$Q290)-1)/2</f>
        <v>2</v>
      </c>
      <c r="Z290" s="0" t="n">
        <f aca="false">1+COUNTIF($P290:$S290,"&gt;"&amp;$R290)+(COUNTIF($P290:$S290,$R290)-1)/2</f>
        <v>1</v>
      </c>
      <c r="AA290" s="0" t="n">
        <f aca="false">1+COUNTIF($P290:$S290,"&gt;"&amp;$S290)+(COUNTIF($P290:$S290,$S290)-1)/2</f>
        <v>3</v>
      </c>
      <c r="AB290" s="0" t="n">
        <f aca="false">1+COUNTIF($T290:$W290,"&gt;"&amp;$T290)+(COUNTIF($T290:$W290,$T290)-1)/2</f>
        <v>4</v>
      </c>
      <c r="AC290" s="0" t="n">
        <f aca="false">1+COUNTIF($T290:$W290,"&gt;"&amp;$U290)+(COUNTIF($T290:$W290,$U290)-1)/2</f>
        <v>2</v>
      </c>
      <c r="AD290" s="0" t="n">
        <f aca="false">1+COUNTIF($T290:$W290,"&gt;"&amp;$V290)+(COUNTIF($T290:$W290,$V290)-1)/2</f>
        <v>3</v>
      </c>
      <c r="AE290" s="0" t="n">
        <f aca="false">1+COUNTIF($T290:$W290,"&gt;"&amp;$W290)+(COUNTIF($T290:$W290,$W290)-1)/2</f>
        <v>1</v>
      </c>
      <c r="AF290" s="0" t="n">
        <f aca="false">IFERROR(CORREL($P290:$S290,$T290:$W290),"")</f>
        <v>-0.382046647045993</v>
      </c>
      <c r="AG290" s="0" t="n">
        <f aca="false">IFERROR(CORREL($X290:$AA290,$AB290:$AE290),"")</f>
        <v>0.2</v>
      </c>
      <c r="AH290" s="0" t="n">
        <f aca="false">IFERROR((SIGN($P290-$Q290)*SIGN($T290-$U290)+SIGN($P290-$R290)*SIGN($T290-$V290)+SIGN($P290-$S290)*SIGN($T290-$W290)+SIGN($Q290-$R290)*SIGN($U290-$V290)+SIGN($Q290-$S290)*SIGN($U290-$W290)+SIGN($R290-$S290)*SIGN($V290-$W290))/SQRT((6-(($P290=$Q290)*1+($P290=$R290)*1+($P290=$S290)*1+($Q290=$R290)*1+($Q290=$S290)*1+($R290=$S290)*1))*(6-(($T290=$U290)*1+($T290=$V290)*1+($T290=$W290)*1+($U290=$V290)*1+($U290=$W290)*1+($V290=$W290)*1))),"")</f>
        <v>0</v>
      </c>
      <c r="AI290" s="0" t="n">
        <f aca="false">MATCH(MAX($K290:$O290),$K290:$O290,0)</f>
        <v>5</v>
      </c>
      <c r="AJ290" s="0" t="n">
        <f aca="false">IF(AI290&lt;&gt;$E290,1,0)</f>
        <v>0</v>
      </c>
      <c r="AK290" s="0" t="str">
        <f aca="false">IF(AJ290=1,INDEX($F290:$J290,AI290)/MAX($P290:$S290),"")</f>
        <v/>
      </c>
      <c r="AL290" s="0" t="str">
        <f aca="false">IF(AJ290=1,1+COUNTIF($P290:$S290,"&gt;"&amp;INDEX($F290:$J290,AI290)),"")</f>
        <v/>
      </c>
      <c r="AM290" s="0" t="n">
        <f aca="false">AVERAGE($P290:$S290)/MAX($P290:$S290)</f>
        <v>0.537642045454545</v>
      </c>
      <c r="AN290" s="0" t="n">
        <f aca="false">100-INDEX($F290:$J290,$E290)</f>
        <v>81.9</v>
      </c>
    </row>
    <row r="291" customFormat="false" ht="15" hidden="false" customHeight="false" outlineLevel="0" collapsed="false">
      <c r="A291" s="0" t="s">
        <v>40</v>
      </c>
      <c r="B291" s="0" t="n">
        <v>2015</v>
      </c>
      <c r="C291" s="0" t="s">
        <v>51</v>
      </c>
      <c r="D291" s="0" t="s">
        <v>42</v>
      </c>
      <c r="E291" s="0" t="n">
        <v>4</v>
      </c>
      <c r="F291" s="0" t="n">
        <v>8.8</v>
      </c>
      <c r="G291" s="0" t="n">
        <v>13.7</v>
      </c>
      <c r="H291" s="0" t="n">
        <v>10.9</v>
      </c>
      <c r="I291" s="0" t="n">
        <v>57.8</v>
      </c>
      <c r="J291" s="0" t="n">
        <v>3.2</v>
      </c>
      <c r="K291" s="0" t="n">
        <v>1.69263621603</v>
      </c>
      <c r="L291" s="0" t="n">
        <v>52.6978405886</v>
      </c>
      <c r="M291" s="0" t="n">
        <v>6.05728771816</v>
      </c>
      <c r="N291" s="0" t="n">
        <v>28.6104828432</v>
      </c>
      <c r="O291" s="0" t="n">
        <v>10.941752634</v>
      </c>
      <c r="P291" s="0" t="n">
        <f aca="false">INDEX($F291:$J291,IF(1&lt;$E291,1,1+1))</f>
        <v>8.8</v>
      </c>
      <c r="Q291" s="0" t="n">
        <f aca="false">INDEX($F291:$J291,IF(2&lt;$E291,2,2+1))</f>
        <v>13.7</v>
      </c>
      <c r="R291" s="0" t="n">
        <f aca="false">INDEX($F291:$J291,IF(3&lt;$E291,3,3+1))</f>
        <v>10.9</v>
      </c>
      <c r="S291" s="0" t="n">
        <f aca="false">INDEX($F291:$J291,IF(4&lt;$E291,4,4+1))</f>
        <v>3.2</v>
      </c>
      <c r="T291" s="0" t="n">
        <f aca="false">INDEX($K291:$O291,IF(1&lt;$E291,1,1+1))</f>
        <v>1.69263621603</v>
      </c>
      <c r="U291" s="0" t="n">
        <f aca="false">INDEX($K291:$O291,IF(2&lt;$E291,2,2+1))</f>
        <v>52.6978405886</v>
      </c>
      <c r="V291" s="0" t="n">
        <f aca="false">INDEX($K291:$O291,IF(3&lt;$E291,3,3+1))</f>
        <v>6.05728771816</v>
      </c>
      <c r="W291" s="0" t="n">
        <f aca="false">INDEX($K291:$O291,IF(4&lt;$E291,4,4+1))</f>
        <v>10.941752634</v>
      </c>
      <c r="X291" s="0" t="n">
        <f aca="false">1+COUNTIF($P291:$S291,"&gt;"&amp;$P291)+(COUNTIF($P291:$S291,$P291)-1)/2</f>
        <v>3</v>
      </c>
      <c r="Y291" s="0" t="n">
        <f aca="false">1+COUNTIF($P291:$S291,"&gt;"&amp;$Q291)+(COUNTIF($P291:$S291,$Q291)-1)/2</f>
        <v>1</v>
      </c>
      <c r="Z291" s="0" t="n">
        <f aca="false">1+COUNTIF($P291:$S291,"&gt;"&amp;$R291)+(COUNTIF($P291:$S291,$R291)-1)/2</f>
        <v>2</v>
      </c>
      <c r="AA291" s="0" t="n">
        <f aca="false">1+COUNTIF($P291:$S291,"&gt;"&amp;$S291)+(COUNTIF($P291:$S291,$S291)-1)/2</f>
        <v>4</v>
      </c>
      <c r="AB291" s="0" t="n">
        <f aca="false">1+COUNTIF($T291:$W291,"&gt;"&amp;$T291)+(COUNTIF($T291:$W291,$T291)-1)/2</f>
        <v>4</v>
      </c>
      <c r="AC291" s="0" t="n">
        <f aca="false">1+COUNTIF($T291:$W291,"&gt;"&amp;$U291)+(COUNTIF($T291:$W291,$U291)-1)/2</f>
        <v>1</v>
      </c>
      <c r="AD291" s="0" t="n">
        <f aca="false">1+COUNTIF($T291:$W291,"&gt;"&amp;$V291)+(COUNTIF($T291:$W291,$V291)-1)/2</f>
        <v>3</v>
      </c>
      <c r="AE291" s="0" t="n">
        <f aca="false">1+COUNTIF($T291:$W291,"&gt;"&amp;$W291)+(COUNTIF($T291:$W291,$W291)-1)/2</f>
        <v>2</v>
      </c>
      <c r="AF291" s="0" t="n">
        <f aca="false">IFERROR(CORREL($P291:$S291,$T291:$W291),"")</f>
        <v>0.588278980750662</v>
      </c>
      <c r="AG291" s="0" t="n">
        <f aca="false">IFERROR(CORREL($X291:$AA291,$AB291:$AE291),"")</f>
        <v>0.4</v>
      </c>
      <c r="AH291" s="0" t="n">
        <f aca="false">IFERROR((SIGN($P291-$Q291)*SIGN($T291-$U291)+SIGN($P291-$R291)*SIGN($T291-$V291)+SIGN($P291-$S291)*SIGN($T291-$W291)+SIGN($Q291-$R291)*SIGN($U291-$V291)+SIGN($Q291-$S291)*SIGN($U291-$W291)+SIGN($R291-$S291)*SIGN($V291-$W291))/SQRT((6-(($P291=$Q291)*1+($P291=$R291)*1+($P291=$S291)*1+($Q291=$R291)*1+($Q291=$S291)*1+($R291=$S291)*1))*(6-(($T291=$U291)*1+($T291=$V291)*1+($T291=$W291)*1+($U291=$V291)*1+($U291=$W291)*1+($V291=$W291)*1))),"")</f>
        <v>0.333333333333333</v>
      </c>
      <c r="AI291" s="0" t="n">
        <f aca="false">MATCH(MAX($K291:$O291),$K291:$O291,0)</f>
        <v>2</v>
      </c>
      <c r="AJ291" s="0" t="n">
        <f aca="false">IF(AI291&lt;&gt;$E291,1,0)</f>
        <v>1</v>
      </c>
      <c r="AK291" s="0" t="n">
        <f aca="false">IF(AJ291=1,INDEX($F291:$J291,AI291)/MAX($P291:$S291),"")</f>
        <v>1</v>
      </c>
      <c r="AL291" s="0" t="n">
        <f aca="false">IF(AJ291=1,1+COUNTIF($P291:$S291,"&gt;"&amp;INDEX($F291:$J291,AI291)),"")</f>
        <v>1</v>
      </c>
      <c r="AM291" s="0" t="n">
        <f aca="false">AVERAGE($P291:$S291)/MAX($P291:$S291)</f>
        <v>0.667883211678832</v>
      </c>
      <c r="AN291" s="0" t="n">
        <f aca="false">100-INDEX($F291:$J291,$E291)</f>
        <v>42.2</v>
      </c>
    </row>
    <row r="292" customFormat="false" ht="15" hidden="false" customHeight="false" outlineLevel="0" collapsed="false">
      <c r="A292" s="0" t="s">
        <v>40</v>
      </c>
      <c r="B292" s="0" t="n">
        <v>2015</v>
      </c>
      <c r="C292" s="0" t="s">
        <v>51</v>
      </c>
      <c r="D292" s="0" t="s">
        <v>43</v>
      </c>
      <c r="E292" s="0" t="n">
        <v>3</v>
      </c>
      <c r="F292" s="0" t="n">
        <v>8.2</v>
      </c>
      <c r="G292" s="0" t="n">
        <v>7</v>
      </c>
      <c r="H292" s="0" t="n">
        <v>53.1</v>
      </c>
      <c r="I292" s="0" t="n">
        <v>13.2</v>
      </c>
      <c r="J292" s="0" t="n">
        <v>12.8</v>
      </c>
      <c r="K292" s="0" t="n">
        <v>12.4115928712</v>
      </c>
      <c r="L292" s="0" t="n">
        <v>1.56549225817</v>
      </c>
      <c r="M292" s="0" t="n">
        <v>59.1791214516</v>
      </c>
      <c r="N292" s="0" t="n">
        <v>13.4135236957</v>
      </c>
      <c r="O292" s="0" t="n">
        <v>13.4302697233</v>
      </c>
      <c r="P292" s="0" t="n">
        <f aca="false">INDEX($F292:$J292,IF(1&lt;$E292,1,1+1))</f>
        <v>8.2</v>
      </c>
      <c r="Q292" s="0" t="n">
        <f aca="false">INDEX($F292:$J292,IF(2&lt;$E292,2,2+1))</f>
        <v>7</v>
      </c>
      <c r="R292" s="0" t="n">
        <f aca="false">INDEX($F292:$J292,IF(3&lt;$E292,3,3+1))</f>
        <v>13.2</v>
      </c>
      <c r="S292" s="0" t="n">
        <f aca="false">INDEX($F292:$J292,IF(4&lt;$E292,4,4+1))</f>
        <v>12.8</v>
      </c>
      <c r="T292" s="0" t="n">
        <f aca="false">INDEX($K292:$O292,IF(1&lt;$E292,1,1+1))</f>
        <v>12.4115928712</v>
      </c>
      <c r="U292" s="0" t="n">
        <f aca="false">INDEX($K292:$O292,IF(2&lt;$E292,2,2+1))</f>
        <v>1.56549225817</v>
      </c>
      <c r="V292" s="0" t="n">
        <f aca="false">INDEX($K292:$O292,IF(3&lt;$E292,3,3+1))</f>
        <v>13.4135236957</v>
      </c>
      <c r="W292" s="0" t="n">
        <f aca="false">INDEX($K292:$O292,IF(4&lt;$E292,4,4+1))</f>
        <v>13.4302697233</v>
      </c>
      <c r="X292" s="0" t="n">
        <f aca="false">1+COUNTIF($P292:$S292,"&gt;"&amp;$P292)+(COUNTIF($P292:$S292,$P292)-1)/2</f>
        <v>3</v>
      </c>
      <c r="Y292" s="0" t="n">
        <f aca="false">1+COUNTIF($P292:$S292,"&gt;"&amp;$Q292)+(COUNTIF($P292:$S292,$Q292)-1)/2</f>
        <v>4</v>
      </c>
      <c r="Z292" s="0" t="n">
        <f aca="false">1+COUNTIF($P292:$S292,"&gt;"&amp;$R292)+(COUNTIF($P292:$S292,$R292)-1)/2</f>
        <v>1</v>
      </c>
      <c r="AA292" s="0" t="n">
        <f aca="false">1+COUNTIF($P292:$S292,"&gt;"&amp;$S292)+(COUNTIF($P292:$S292,$S292)-1)/2</f>
        <v>2</v>
      </c>
      <c r="AB292" s="0" t="n">
        <f aca="false">1+COUNTIF($T292:$W292,"&gt;"&amp;$T292)+(COUNTIF($T292:$W292,$T292)-1)/2</f>
        <v>3</v>
      </c>
      <c r="AC292" s="0" t="n">
        <f aca="false">1+COUNTIF($T292:$W292,"&gt;"&amp;$U292)+(COUNTIF($T292:$W292,$U292)-1)/2</f>
        <v>4</v>
      </c>
      <c r="AD292" s="0" t="n">
        <f aca="false">1+COUNTIF($T292:$W292,"&gt;"&amp;$V292)+(COUNTIF($T292:$W292,$V292)-1)/2</f>
        <v>2</v>
      </c>
      <c r="AE292" s="0" t="n">
        <f aca="false">1+COUNTIF($T292:$W292,"&gt;"&amp;$W292)+(COUNTIF($T292:$W292,$W292)-1)/2</f>
        <v>1</v>
      </c>
      <c r="AF292" s="0" t="n">
        <f aca="false">IFERROR(CORREL($P292:$S292,$T292:$W292),"")</f>
        <v>0.752740027766892</v>
      </c>
      <c r="AG292" s="0" t="n">
        <f aca="false">IFERROR(CORREL($X292:$AA292,$AB292:$AE292),"")</f>
        <v>0.8</v>
      </c>
      <c r="AH292" s="0" t="n">
        <f aca="false">IFERROR((SIGN($P292-$Q292)*SIGN($T292-$U292)+SIGN($P292-$R292)*SIGN($T292-$V292)+SIGN($P292-$S292)*SIGN($T292-$W292)+SIGN($Q292-$R292)*SIGN($U292-$V292)+SIGN($Q292-$S292)*SIGN($U292-$W292)+SIGN($R292-$S292)*SIGN($V292-$W292))/SQRT((6-(($P292=$Q292)*1+($P292=$R292)*1+($P292=$S292)*1+($Q292=$R292)*1+($Q292=$S292)*1+($R292=$S292)*1))*(6-(($T292=$U292)*1+($T292=$V292)*1+($T292=$W292)*1+($U292=$V292)*1+($U292=$W292)*1+($V292=$W292)*1))),"")</f>
        <v>0.666666666666667</v>
      </c>
      <c r="AI292" s="0" t="n">
        <f aca="false">MATCH(MAX($K292:$O292),$K292:$O292,0)</f>
        <v>3</v>
      </c>
      <c r="AJ292" s="0" t="n">
        <f aca="false">IF(AI292&lt;&gt;$E292,1,0)</f>
        <v>0</v>
      </c>
      <c r="AK292" s="0" t="str">
        <f aca="false">IF(AJ292=1,INDEX($F292:$J292,AI292)/MAX($P292:$S292),"")</f>
        <v/>
      </c>
      <c r="AL292" s="0" t="str">
        <f aca="false">IF(AJ292=1,1+COUNTIF($P292:$S292,"&gt;"&amp;INDEX($F292:$J292,AI292)),"")</f>
        <v/>
      </c>
      <c r="AM292" s="0" t="n">
        <f aca="false">AVERAGE($P292:$S292)/MAX($P292:$S292)</f>
        <v>0.78030303030303</v>
      </c>
      <c r="AN292" s="0" t="n">
        <f aca="false">100-INDEX($F292:$J292,$E292)</f>
        <v>46.9</v>
      </c>
    </row>
    <row r="293" customFormat="false" ht="15" hidden="false" customHeight="false" outlineLevel="0" collapsed="false">
      <c r="A293" s="0" t="s">
        <v>40</v>
      </c>
      <c r="B293" s="0" t="n">
        <v>2015</v>
      </c>
      <c r="C293" s="0" t="s">
        <v>51</v>
      </c>
      <c r="D293" s="0" t="s">
        <v>44</v>
      </c>
      <c r="E293" s="0" t="n">
        <v>4</v>
      </c>
      <c r="F293" s="0" t="n">
        <v>7.6</v>
      </c>
      <c r="G293" s="0" t="n">
        <v>12.5</v>
      </c>
      <c r="H293" s="0" t="n">
        <v>12.2</v>
      </c>
      <c r="I293" s="0" t="n">
        <v>53.2</v>
      </c>
      <c r="J293" s="0" t="n">
        <v>8.6</v>
      </c>
      <c r="K293" s="0" t="n">
        <v>12.5020501695</v>
      </c>
      <c r="L293" s="0" t="n">
        <v>7.43634029948</v>
      </c>
      <c r="M293" s="0" t="n">
        <v>27.0488019811</v>
      </c>
      <c r="N293" s="0" t="n">
        <v>10.3445056116</v>
      </c>
      <c r="O293" s="0" t="n">
        <v>42.6683019382</v>
      </c>
      <c r="P293" s="0" t="n">
        <f aca="false">INDEX($F293:$J293,IF(1&lt;$E293,1,1+1))</f>
        <v>7.6</v>
      </c>
      <c r="Q293" s="0" t="n">
        <f aca="false">INDEX($F293:$J293,IF(2&lt;$E293,2,2+1))</f>
        <v>12.5</v>
      </c>
      <c r="R293" s="0" t="n">
        <f aca="false">INDEX($F293:$J293,IF(3&lt;$E293,3,3+1))</f>
        <v>12.2</v>
      </c>
      <c r="S293" s="0" t="n">
        <f aca="false">INDEX($F293:$J293,IF(4&lt;$E293,4,4+1))</f>
        <v>8.6</v>
      </c>
      <c r="T293" s="0" t="n">
        <f aca="false">INDEX($K293:$O293,IF(1&lt;$E293,1,1+1))</f>
        <v>12.5020501695</v>
      </c>
      <c r="U293" s="0" t="n">
        <f aca="false">INDEX($K293:$O293,IF(2&lt;$E293,2,2+1))</f>
        <v>7.43634029948</v>
      </c>
      <c r="V293" s="0" t="n">
        <f aca="false">INDEX($K293:$O293,IF(3&lt;$E293,3,3+1))</f>
        <v>27.0488019811</v>
      </c>
      <c r="W293" s="0" t="n">
        <f aca="false">INDEX($K293:$O293,IF(4&lt;$E293,4,4+1))</f>
        <v>42.6683019382</v>
      </c>
      <c r="X293" s="0" t="n">
        <f aca="false">1+COUNTIF($P293:$S293,"&gt;"&amp;$P293)+(COUNTIF($P293:$S293,$P293)-1)/2</f>
        <v>4</v>
      </c>
      <c r="Y293" s="0" t="n">
        <f aca="false">1+COUNTIF($P293:$S293,"&gt;"&amp;$Q293)+(COUNTIF($P293:$S293,$Q293)-1)/2</f>
        <v>1</v>
      </c>
      <c r="Z293" s="0" t="n">
        <f aca="false">1+COUNTIF($P293:$S293,"&gt;"&amp;$R293)+(COUNTIF($P293:$S293,$R293)-1)/2</f>
        <v>2</v>
      </c>
      <c r="AA293" s="0" t="n">
        <f aca="false">1+COUNTIF($P293:$S293,"&gt;"&amp;$S293)+(COUNTIF($P293:$S293,$S293)-1)/2</f>
        <v>3</v>
      </c>
      <c r="AB293" s="0" t="n">
        <f aca="false">1+COUNTIF($T293:$W293,"&gt;"&amp;$T293)+(COUNTIF($T293:$W293,$T293)-1)/2</f>
        <v>3</v>
      </c>
      <c r="AC293" s="0" t="n">
        <f aca="false">1+COUNTIF($T293:$W293,"&gt;"&amp;$U293)+(COUNTIF($T293:$W293,$U293)-1)/2</f>
        <v>4</v>
      </c>
      <c r="AD293" s="0" t="n">
        <f aca="false">1+COUNTIF($T293:$W293,"&gt;"&amp;$V293)+(COUNTIF($T293:$W293,$V293)-1)/2</f>
        <v>2</v>
      </c>
      <c r="AE293" s="0" t="n">
        <f aca="false">1+COUNTIF($T293:$W293,"&gt;"&amp;$W293)+(COUNTIF($T293:$W293,$W293)-1)/2</f>
        <v>1</v>
      </c>
      <c r="AF293" s="0" t="n">
        <f aca="false">IFERROR(CORREL($P293:$S293,$T293:$W293),"")</f>
        <v>-0.268543542139622</v>
      </c>
      <c r="AG293" s="0" t="n">
        <f aca="false">IFERROR(CORREL($X293:$AA293,$AB293:$AE293),"")</f>
        <v>-0.4</v>
      </c>
      <c r="AH293" s="0" t="n">
        <f aca="false">IFERROR((SIGN($P293-$Q293)*SIGN($T293-$U293)+SIGN($P293-$R293)*SIGN($T293-$V293)+SIGN($P293-$S293)*SIGN($T293-$W293)+SIGN($Q293-$R293)*SIGN($U293-$V293)+SIGN($Q293-$S293)*SIGN($U293-$W293)+SIGN($R293-$S293)*SIGN($V293-$W293))/SQRT((6-(($P293=$Q293)*1+($P293=$R293)*1+($P293=$S293)*1+($Q293=$R293)*1+($Q293=$S293)*1+($R293=$S293)*1))*(6-(($T293=$U293)*1+($T293=$V293)*1+($T293=$W293)*1+($U293=$V293)*1+($U293=$W293)*1+($V293=$W293)*1))),"")</f>
        <v>-0.333333333333333</v>
      </c>
      <c r="AI293" s="0" t="n">
        <f aca="false">MATCH(MAX($K293:$O293),$K293:$O293,0)</f>
        <v>5</v>
      </c>
      <c r="AJ293" s="0" t="n">
        <f aca="false">IF(AI293&lt;&gt;$E293,1,0)</f>
        <v>1</v>
      </c>
      <c r="AK293" s="0" t="n">
        <f aca="false">IF(AJ293=1,INDEX($F293:$J293,AI293)/MAX($P293:$S293),"")</f>
        <v>0.688</v>
      </c>
      <c r="AL293" s="0" t="n">
        <f aca="false">IF(AJ293=1,1+COUNTIF($P293:$S293,"&gt;"&amp;INDEX($F293:$J293,AI293)),"")</f>
        <v>3</v>
      </c>
      <c r="AM293" s="0" t="n">
        <f aca="false">AVERAGE($P293:$S293)/MAX($P293:$S293)</f>
        <v>0.818</v>
      </c>
      <c r="AN293" s="0" t="n">
        <f aca="false">100-INDEX($F293:$J293,$E293)</f>
        <v>46.8</v>
      </c>
    </row>
    <row r="294" customFormat="false" ht="15" hidden="false" customHeight="false" outlineLevel="0" collapsed="false">
      <c r="A294" s="0" t="s">
        <v>40</v>
      </c>
      <c r="B294" s="0" t="n">
        <v>2015</v>
      </c>
      <c r="C294" s="0" t="s">
        <v>52</v>
      </c>
      <c r="D294" s="0" t="s">
        <v>42</v>
      </c>
      <c r="E294" s="0" t="n">
        <v>3</v>
      </c>
      <c r="F294" s="0" t="n">
        <v>4.9</v>
      </c>
      <c r="G294" s="0" t="n">
        <v>5.3</v>
      </c>
      <c r="H294" s="0" t="n">
        <v>56</v>
      </c>
      <c r="I294" s="0" t="n">
        <v>13.7</v>
      </c>
      <c r="J294" s="0" t="n">
        <v>15.9</v>
      </c>
      <c r="K294" s="0" t="n">
        <v>16.3957786174</v>
      </c>
      <c r="L294" s="0" t="n">
        <v>21.2023534983</v>
      </c>
      <c r="M294" s="0" t="n">
        <v>13.8897864185</v>
      </c>
      <c r="N294" s="0" t="n">
        <v>48.2866512963</v>
      </c>
      <c r="O294" s="0" t="n">
        <v>0.225430169447</v>
      </c>
      <c r="P294" s="0" t="n">
        <f aca="false">INDEX($F294:$J294,IF(1&lt;$E294,1,1+1))</f>
        <v>4.9</v>
      </c>
      <c r="Q294" s="0" t="n">
        <f aca="false">INDEX($F294:$J294,IF(2&lt;$E294,2,2+1))</f>
        <v>5.3</v>
      </c>
      <c r="R294" s="0" t="n">
        <f aca="false">INDEX($F294:$J294,IF(3&lt;$E294,3,3+1))</f>
        <v>13.7</v>
      </c>
      <c r="S294" s="0" t="n">
        <f aca="false">INDEX($F294:$J294,IF(4&lt;$E294,4,4+1))</f>
        <v>15.9</v>
      </c>
      <c r="T294" s="0" t="n">
        <f aca="false">INDEX($K294:$O294,IF(1&lt;$E294,1,1+1))</f>
        <v>16.3957786174</v>
      </c>
      <c r="U294" s="0" t="n">
        <f aca="false">INDEX($K294:$O294,IF(2&lt;$E294,2,2+1))</f>
        <v>21.2023534983</v>
      </c>
      <c r="V294" s="0" t="n">
        <f aca="false">INDEX($K294:$O294,IF(3&lt;$E294,3,3+1))</f>
        <v>48.2866512963</v>
      </c>
      <c r="W294" s="0" t="n">
        <f aca="false">INDEX($K294:$O294,IF(4&lt;$E294,4,4+1))</f>
        <v>0.225430169447</v>
      </c>
      <c r="X294" s="0" t="n">
        <f aca="false">1+COUNTIF($P294:$S294,"&gt;"&amp;$P294)+(COUNTIF($P294:$S294,$P294)-1)/2</f>
        <v>4</v>
      </c>
      <c r="Y294" s="0" t="n">
        <f aca="false">1+COUNTIF($P294:$S294,"&gt;"&amp;$Q294)+(COUNTIF($P294:$S294,$Q294)-1)/2</f>
        <v>3</v>
      </c>
      <c r="Z294" s="0" t="n">
        <f aca="false">1+COUNTIF($P294:$S294,"&gt;"&amp;$R294)+(COUNTIF($P294:$S294,$R294)-1)/2</f>
        <v>2</v>
      </c>
      <c r="AA294" s="0" t="n">
        <f aca="false">1+COUNTIF($P294:$S294,"&gt;"&amp;$S294)+(COUNTIF($P294:$S294,$S294)-1)/2</f>
        <v>1</v>
      </c>
      <c r="AB294" s="0" t="n">
        <f aca="false">1+COUNTIF($T294:$W294,"&gt;"&amp;$T294)+(COUNTIF($T294:$W294,$T294)-1)/2</f>
        <v>3</v>
      </c>
      <c r="AC294" s="0" t="n">
        <f aca="false">1+COUNTIF($T294:$W294,"&gt;"&amp;$U294)+(COUNTIF($T294:$W294,$U294)-1)/2</f>
        <v>2</v>
      </c>
      <c r="AD294" s="0" t="n">
        <f aca="false">1+COUNTIF($T294:$W294,"&gt;"&amp;$V294)+(COUNTIF($T294:$W294,$V294)-1)/2</f>
        <v>1</v>
      </c>
      <c r="AE294" s="0" t="n">
        <f aca="false">1+COUNTIF($T294:$W294,"&gt;"&amp;$W294)+(COUNTIF($T294:$W294,$W294)-1)/2</f>
        <v>4</v>
      </c>
      <c r="AF294" s="0" t="n">
        <f aca="false">IFERROR(CORREL($P294:$S294,$T294:$W294),"")</f>
        <v>0.00302017069469564</v>
      </c>
      <c r="AG294" s="0" t="n">
        <f aca="false">IFERROR(CORREL($X294:$AA294,$AB294:$AE294),"")</f>
        <v>-0.2</v>
      </c>
      <c r="AH294" s="0" t="n">
        <f aca="false">IFERROR((SIGN($P294-$Q294)*SIGN($T294-$U294)+SIGN($P294-$R294)*SIGN($T294-$V294)+SIGN($P294-$S294)*SIGN($T294-$W294)+SIGN($Q294-$R294)*SIGN($U294-$V294)+SIGN($Q294-$S294)*SIGN($U294-$W294)+SIGN($R294-$S294)*SIGN($V294-$W294))/SQRT((6-(($P294=$Q294)*1+($P294=$R294)*1+($P294=$S294)*1+($Q294=$R294)*1+($Q294=$S294)*1+($R294=$S294)*1))*(6-(($T294=$U294)*1+($T294=$V294)*1+($T294=$W294)*1+($U294=$V294)*1+($U294=$W294)*1+($V294=$W294)*1))),"")</f>
        <v>0</v>
      </c>
      <c r="AI294" s="0" t="n">
        <f aca="false">MATCH(MAX($K294:$O294),$K294:$O294,0)</f>
        <v>4</v>
      </c>
      <c r="AJ294" s="0" t="n">
        <f aca="false">IF(AI294&lt;&gt;$E294,1,0)</f>
        <v>1</v>
      </c>
      <c r="AK294" s="0" t="n">
        <f aca="false">IF(AJ294=1,INDEX($F294:$J294,AI294)/MAX($P294:$S294),"")</f>
        <v>0.861635220125786</v>
      </c>
      <c r="AL294" s="0" t="n">
        <f aca="false">IF(AJ294=1,1+COUNTIF($P294:$S294,"&gt;"&amp;INDEX($F294:$J294,AI294)),"")</f>
        <v>2</v>
      </c>
      <c r="AM294" s="0" t="n">
        <f aca="false">AVERAGE($P294:$S294)/MAX($P294:$S294)</f>
        <v>0.625786163522013</v>
      </c>
      <c r="AN294" s="0" t="n">
        <f aca="false">100-INDEX($F294:$J294,$E294)</f>
        <v>44</v>
      </c>
    </row>
    <row r="295" customFormat="false" ht="15" hidden="false" customHeight="false" outlineLevel="0" collapsed="false">
      <c r="A295" s="0" t="s">
        <v>40</v>
      </c>
      <c r="B295" s="0" t="n">
        <v>2015</v>
      </c>
      <c r="C295" s="0" t="s">
        <v>52</v>
      </c>
      <c r="D295" s="0" t="s">
        <v>43</v>
      </c>
      <c r="E295" s="0" t="n">
        <v>3</v>
      </c>
      <c r="F295" s="0" t="n">
        <v>8.1</v>
      </c>
      <c r="G295" s="0" t="n">
        <v>10.8</v>
      </c>
      <c r="H295" s="0" t="n">
        <v>50.1</v>
      </c>
      <c r="I295" s="0" t="n">
        <v>20.9</v>
      </c>
      <c r="J295" s="0" t="n">
        <v>5.7</v>
      </c>
      <c r="K295" s="0" t="n">
        <v>1.11146506799</v>
      </c>
      <c r="L295" s="0" t="n">
        <v>18.5759309171</v>
      </c>
      <c r="M295" s="0" t="n">
        <v>32.8145241405</v>
      </c>
      <c r="N295" s="0" t="n">
        <v>37.2756758911</v>
      </c>
      <c r="O295" s="0" t="n">
        <v>10.2224039833</v>
      </c>
      <c r="P295" s="0" t="n">
        <f aca="false">INDEX($F295:$J295,IF(1&lt;$E295,1,1+1))</f>
        <v>8.1</v>
      </c>
      <c r="Q295" s="0" t="n">
        <f aca="false">INDEX($F295:$J295,IF(2&lt;$E295,2,2+1))</f>
        <v>10.8</v>
      </c>
      <c r="R295" s="0" t="n">
        <f aca="false">INDEX($F295:$J295,IF(3&lt;$E295,3,3+1))</f>
        <v>20.9</v>
      </c>
      <c r="S295" s="0" t="n">
        <f aca="false">INDEX($F295:$J295,IF(4&lt;$E295,4,4+1))</f>
        <v>5.7</v>
      </c>
      <c r="T295" s="0" t="n">
        <f aca="false">INDEX($K295:$O295,IF(1&lt;$E295,1,1+1))</f>
        <v>1.11146506799</v>
      </c>
      <c r="U295" s="0" t="n">
        <f aca="false">INDEX($K295:$O295,IF(2&lt;$E295,2,2+1))</f>
        <v>18.5759309171</v>
      </c>
      <c r="V295" s="0" t="n">
        <f aca="false">INDEX($K295:$O295,IF(3&lt;$E295,3,3+1))</f>
        <v>37.2756758911</v>
      </c>
      <c r="W295" s="0" t="n">
        <f aca="false">INDEX($K295:$O295,IF(4&lt;$E295,4,4+1))</f>
        <v>10.2224039833</v>
      </c>
      <c r="X295" s="0" t="n">
        <f aca="false">1+COUNTIF($P295:$S295,"&gt;"&amp;$P295)+(COUNTIF($P295:$S295,$P295)-1)/2</f>
        <v>3</v>
      </c>
      <c r="Y295" s="0" t="n">
        <f aca="false">1+COUNTIF($P295:$S295,"&gt;"&amp;$Q295)+(COUNTIF($P295:$S295,$Q295)-1)/2</f>
        <v>2</v>
      </c>
      <c r="Z295" s="0" t="n">
        <f aca="false">1+COUNTIF($P295:$S295,"&gt;"&amp;$R295)+(COUNTIF($P295:$S295,$R295)-1)/2</f>
        <v>1</v>
      </c>
      <c r="AA295" s="0" t="n">
        <f aca="false">1+COUNTIF($P295:$S295,"&gt;"&amp;$S295)+(COUNTIF($P295:$S295,$S295)-1)/2</f>
        <v>4</v>
      </c>
      <c r="AB295" s="0" t="n">
        <f aca="false">1+COUNTIF($T295:$W295,"&gt;"&amp;$T295)+(COUNTIF($T295:$W295,$T295)-1)/2</f>
        <v>4</v>
      </c>
      <c r="AC295" s="0" t="n">
        <f aca="false">1+COUNTIF($T295:$W295,"&gt;"&amp;$U295)+(COUNTIF($T295:$W295,$U295)-1)/2</f>
        <v>2</v>
      </c>
      <c r="AD295" s="0" t="n">
        <f aca="false">1+COUNTIF($T295:$W295,"&gt;"&amp;$V295)+(COUNTIF($T295:$W295,$V295)-1)/2</f>
        <v>1</v>
      </c>
      <c r="AE295" s="0" t="n">
        <f aca="false">1+COUNTIF($T295:$W295,"&gt;"&amp;$W295)+(COUNTIF($T295:$W295,$W295)-1)/2</f>
        <v>3</v>
      </c>
      <c r="AF295" s="0" t="n">
        <f aca="false">IFERROR(CORREL($P295:$S295,$T295:$W295),"")</f>
        <v>0.915463145595028</v>
      </c>
      <c r="AG295" s="0" t="n">
        <f aca="false">IFERROR(CORREL($X295:$AA295,$AB295:$AE295),"")</f>
        <v>0.8</v>
      </c>
      <c r="AH295" s="0" t="n">
        <f aca="false">IFERROR((SIGN($P295-$Q295)*SIGN($T295-$U295)+SIGN($P295-$R295)*SIGN($T295-$V295)+SIGN($P295-$S295)*SIGN($T295-$W295)+SIGN($Q295-$R295)*SIGN($U295-$V295)+SIGN($Q295-$S295)*SIGN($U295-$W295)+SIGN($R295-$S295)*SIGN($V295-$W295))/SQRT((6-(($P295=$Q295)*1+($P295=$R295)*1+($P295=$S295)*1+($Q295=$R295)*1+($Q295=$S295)*1+($R295=$S295)*1))*(6-(($T295=$U295)*1+($T295=$V295)*1+($T295=$W295)*1+($U295=$V295)*1+($U295=$W295)*1+($V295=$W295)*1))),"")</f>
        <v>0.666666666666667</v>
      </c>
      <c r="AI295" s="0" t="n">
        <f aca="false">MATCH(MAX($K295:$O295),$K295:$O295,0)</f>
        <v>4</v>
      </c>
      <c r="AJ295" s="0" t="n">
        <f aca="false">IF(AI295&lt;&gt;$E295,1,0)</f>
        <v>1</v>
      </c>
      <c r="AK295" s="0" t="n">
        <f aca="false">IF(AJ295=1,INDEX($F295:$J295,AI295)/MAX($P295:$S295),"")</f>
        <v>1</v>
      </c>
      <c r="AL295" s="0" t="n">
        <f aca="false">IF(AJ295=1,1+COUNTIF($P295:$S295,"&gt;"&amp;INDEX($F295:$J295,AI295)),"")</f>
        <v>1</v>
      </c>
      <c r="AM295" s="0" t="n">
        <f aca="false">AVERAGE($P295:$S295)/MAX($P295:$S295)</f>
        <v>0.544258373205742</v>
      </c>
      <c r="AN295" s="0" t="n">
        <f aca="false">100-INDEX($F295:$J295,$E295)</f>
        <v>49.9</v>
      </c>
    </row>
    <row r="296" customFormat="false" ht="15" hidden="false" customHeight="false" outlineLevel="0" collapsed="false">
      <c r="A296" s="0" t="s">
        <v>40</v>
      </c>
      <c r="B296" s="0" t="n">
        <v>2015</v>
      </c>
      <c r="C296" s="0" t="s">
        <v>52</v>
      </c>
      <c r="D296" s="0" t="s">
        <v>44</v>
      </c>
      <c r="E296" s="0" t="n">
        <v>4</v>
      </c>
      <c r="F296" s="0" t="n">
        <v>18.7</v>
      </c>
      <c r="G296" s="0" t="n">
        <v>8.8</v>
      </c>
      <c r="H296" s="0" t="n">
        <v>15</v>
      </c>
      <c r="I296" s="0" t="n">
        <v>36</v>
      </c>
      <c r="J296" s="0" t="n">
        <v>17.2</v>
      </c>
      <c r="K296" s="0" t="n">
        <v>12.4495463661</v>
      </c>
      <c r="L296" s="0" t="n">
        <v>14.7979073855</v>
      </c>
      <c r="M296" s="0" t="n">
        <v>35.3839025641</v>
      </c>
      <c r="N296" s="0" t="n">
        <v>4.26492765465</v>
      </c>
      <c r="O296" s="0" t="n">
        <v>33.1037160297</v>
      </c>
      <c r="P296" s="0" t="n">
        <f aca="false">INDEX($F296:$J296,IF(1&lt;$E296,1,1+1))</f>
        <v>18.7</v>
      </c>
      <c r="Q296" s="0" t="n">
        <f aca="false">INDEX($F296:$J296,IF(2&lt;$E296,2,2+1))</f>
        <v>8.8</v>
      </c>
      <c r="R296" s="0" t="n">
        <f aca="false">INDEX($F296:$J296,IF(3&lt;$E296,3,3+1))</f>
        <v>15</v>
      </c>
      <c r="S296" s="0" t="n">
        <f aca="false">INDEX($F296:$J296,IF(4&lt;$E296,4,4+1))</f>
        <v>17.2</v>
      </c>
      <c r="T296" s="0" t="n">
        <f aca="false">INDEX($K296:$O296,IF(1&lt;$E296,1,1+1))</f>
        <v>12.4495463661</v>
      </c>
      <c r="U296" s="0" t="n">
        <f aca="false">INDEX($K296:$O296,IF(2&lt;$E296,2,2+1))</f>
        <v>14.7979073855</v>
      </c>
      <c r="V296" s="0" t="n">
        <f aca="false">INDEX($K296:$O296,IF(3&lt;$E296,3,3+1))</f>
        <v>35.3839025641</v>
      </c>
      <c r="W296" s="0" t="n">
        <f aca="false">INDEX($K296:$O296,IF(4&lt;$E296,4,4+1))</f>
        <v>33.1037160297</v>
      </c>
      <c r="X296" s="0" t="n">
        <f aca="false">1+COUNTIF($P296:$S296,"&gt;"&amp;$P296)+(COUNTIF($P296:$S296,$P296)-1)/2</f>
        <v>1</v>
      </c>
      <c r="Y296" s="0" t="n">
        <f aca="false">1+COUNTIF($P296:$S296,"&gt;"&amp;$Q296)+(COUNTIF($P296:$S296,$Q296)-1)/2</f>
        <v>4</v>
      </c>
      <c r="Z296" s="0" t="n">
        <f aca="false">1+COUNTIF($P296:$S296,"&gt;"&amp;$R296)+(COUNTIF($P296:$S296,$R296)-1)/2</f>
        <v>3</v>
      </c>
      <c r="AA296" s="0" t="n">
        <f aca="false">1+COUNTIF($P296:$S296,"&gt;"&amp;$S296)+(COUNTIF($P296:$S296,$S296)-1)/2</f>
        <v>2</v>
      </c>
      <c r="AB296" s="0" t="n">
        <f aca="false">1+COUNTIF($T296:$W296,"&gt;"&amp;$T296)+(COUNTIF($T296:$W296,$T296)-1)/2</f>
        <v>4</v>
      </c>
      <c r="AC296" s="0" t="n">
        <f aca="false">1+COUNTIF($T296:$W296,"&gt;"&amp;$U296)+(COUNTIF($T296:$W296,$U296)-1)/2</f>
        <v>3</v>
      </c>
      <c r="AD296" s="0" t="n">
        <f aca="false">1+COUNTIF($T296:$W296,"&gt;"&amp;$V296)+(COUNTIF($T296:$W296,$V296)-1)/2</f>
        <v>1</v>
      </c>
      <c r="AE296" s="0" t="n">
        <f aca="false">1+COUNTIF($T296:$W296,"&gt;"&amp;$W296)+(COUNTIF($T296:$W296,$W296)-1)/2</f>
        <v>2</v>
      </c>
      <c r="AF296" s="0" t="n">
        <f aca="false">IFERROR(CORREL($P296:$S296,$T296:$W296),"")</f>
        <v>0.219209305119247</v>
      </c>
      <c r="AG296" s="0" t="n">
        <f aca="false">IFERROR(CORREL($X296:$AA296,$AB296:$AE296),"")</f>
        <v>-0.4</v>
      </c>
      <c r="AH296" s="0" t="n">
        <f aca="false">IFERROR((SIGN($P296-$Q296)*SIGN($T296-$U296)+SIGN($P296-$R296)*SIGN($T296-$V296)+SIGN($P296-$S296)*SIGN($T296-$W296)+SIGN($Q296-$R296)*SIGN($U296-$V296)+SIGN($Q296-$S296)*SIGN($U296-$W296)+SIGN($R296-$S296)*SIGN($V296-$W296))/SQRT((6-(($P296=$Q296)*1+($P296=$R296)*1+($P296=$S296)*1+($Q296=$R296)*1+($Q296=$S296)*1+($R296=$S296)*1))*(6-(($T296=$U296)*1+($T296=$V296)*1+($T296=$W296)*1+($U296=$V296)*1+($U296=$W296)*1+($V296=$W296)*1))),"")</f>
        <v>-0.333333333333333</v>
      </c>
      <c r="AI296" s="0" t="n">
        <f aca="false">MATCH(MAX($K296:$O296),$K296:$O296,0)</f>
        <v>3</v>
      </c>
      <c r="AJ296" s="0" t="n">
        <f aca="false">IF(AI296&lt;&gt;$E296,1,0)</f>
        <v>1</v>
      </c>
      <c r="AK296" s="0" t="n">
        <f aca="false">IF(AJ296=1,INDEX($F296:$J296,AI296)/MAX($P296:$S296),"")</f>
        <v>0.802139037433155</v>
      </c>
      <c r="AL296" s="0" t="n">
        <f aca="false">IF(AJ296=1,1+COUNTIF($P296:$S296,"&gt;"&amp;INDEX($F296:$J296,AI296)),"")</f>
        <v>3</v>
      </c>
      <c r="AM296" s="0" t="n">
        <f aca="false">AVERAGE($P296:$S296)/MAX($P296:$S296)</f>
        <v>0.798128342245989</v>
      </c>
      <c r="AN296" s="0" t="n">
        <f aca="false">100-INDEX($F296:$J296,$E296)</f>
        <v>64</v>
      </c>
    </row>
    <row r="297" customFormat="false" ht="15" hidden="false" customHeight="false" outlineLevel="0" collapsed="false">
      <c r="A297" s="0" t="s">
        <v>40</v>
      </c>
      <c r="B297" s="0" t="n">
        <v>2015</v>
      </c>
      <c r="C297" s="0" t="s">
        <v>46</v>
      </c>
      <c r="D297" s="0" t="s">
        <v>43</v>
      </c>
      <c r="E297" s="0" t="n">
        <v>2</v>
      </c>
      <c r="F297" s="0" t="n">
        <v>7.5</v>
      </c>
      <c r="G297" s="0" t="n">
        <v>55.2</v>
      </c>
      <c r="H297" s="0" t="n">
        <v>10.1</v>
      </c>
      <c r="I297" s="0" t="n">
        <v>9.6</v>
      </c>
      <c r="J297" s="0" t="n">
        <v>12.7</v>
      </c>
      <c r="K297" s="0" t="n">
        <v>1.83946976507</v>
      </c>
      <c r="L297" s="0" t="n">
        <v>78.7544731161</v>
      </c>
      <c r="M297" s="0" t="n">
        <v>7.17953278963</v>
      </c>
      <c r="N297" s="0" t="n">
        <v>5.91586841472</v>
      </c>
      <c r="O297" s="0" t="n">
        <v>6.31065591445</v>
      </c>
      <c r="P297" s="0" t="n">
        <f aca="false">INDEX($F297:$J297,IF(1&lt;$E297,1,1+1))</f>
        <v>7.5</v>
      </c>
      <c r="Q297" s="0" t="n">
        <f aca="false">INDEX($F297:$J297,IF(2&lt;$E297,2,2+1))</f>
        <v>10.1</v>
      </c>
      <c r="R297" s="0" t="n">
        <f aca="false">INDEX($F297:$J297,IF(3&lt;$E297,3,3+1))</f>
        <v>9.6</v>
      </c>
      <c r="S297" s="0" t="n">
        <f aca="false">INDEX($F297:$J297,IF(4&lt;$E297,4,4+1))</f>
        <v>12.7</v>
      </c>
      <c r="T297" s="0" t="n">
        <f aca="false">INDEX($K297:$O297,IF(1&lt;$E297,1,1+1))</f>
        <v>1.83946976507</v>
      </c>
      <c r="U297" s="0" t="n">
        <f aca="false">INDEX($K297:$O297,IF(2&lt;$E297,2,2+1))</f>
        <v>7.17953278963</v>
      </c>
      <c r="V297" s="0" t="n">
        <f aca="false">INDEX($K297:$O297,IF(3&lt;$E297,3,3+1))</f>
        <v>5.91586841472</v>
      </c>
      <c r="W297" s="0" t="n">
        <f aca="false">INDEX($K297:$O297,IF(4&lt;$E297,4,4+1))</f>
        <v>6.31065591445</v>
      </c>
      <c r="X297" s="0" t="n">
        <f aca="false">1+COUNTIF($P297:$S297,"&gt;"&amp;$P297)+(COUNTIF($P297:$S297,$P297)-1)/2</f>
        <v>4</v>
      </c>
      <c r="Y297" s="0" t="n">
        <f aca="false">1+COUNTIF($P297:$S297,"&gt;"&amp;$Q297)+(COUNTIF($P297:$S297,$Q297)-1)/2</f>
        <v>2</v>
      </c>
      <c r="Z297" s="0" t="n">
        <f aca="false">1+COUNTIF($P297:$S297,"&gt;"&amp;$R297)+(COUNTIF($P297:$S297,$R297)-1)/2</f>
        <v>3</v>
      </c>
      <c r="AA297" s="0" t="n">
        <f aca="false">1+COUNTIF($P297:$S297,"&gt;"&amp;$S297)+(COUNTIF($P297:$S297,$S297)-1)/2</f>
        <v>1</v>
      </c>
      <c r="AB297" s="0" t="n">
        <f aca="false">1+COUNTIF($T297:$W297,"&gt;"&amp;$T297)+(COUNTIF($T297:$W297,$T297)-1)/2</f>
        <v>4</v>
      </c>
      <c r="AC297" s="0" t="n">
        <f aca="false">1+COUNTIF($T297:$W297,"&gt;"&amp;$U297)+(COUNTIF($T297:$W297,$U297)-1)/2</f>
        <v>1</v>
      </c>
      <c r="AD297" s="0" t="n">
        <f aca="false">1+COUNTIF($T297:$W297,"&gt;"&amp;$V297)+(COUNTIF($T297:$W297,$V297)-1)/2</f>
        <v>3</v>
      </c>
      <c r="AE297" s="0" t="n">
        <f aca="false">1+COUNTIF($T297:$W297,"&gt;"&amp;$W297)+(COUNTIF($T297:$W297,$W297)-1)/2</f>
        <v>2</v>
      </c>
      <c r="AF297" s="0" t="n">
        <f aca="false">IFERROR(CORREL($P297:$S297,$T297:$W297),"")</f>
        <v>0.743752917894591</v>
      </c>
      <c r="AG297" s="0" t="n">
        <f aca="false">IFERROR(CORREL($X297:$AA297,$AB297:$AE297),"")</f>
        <v>0.8</v>
      </c>
      <c r="AH297" s="0" t="n">
        <f aca="false">IFERROR((SIGN($P297-$Q297)*SIGN($T297-$U297)+SIGN($P297-$R297)*SIGN($T297-$V297)+SIGN($P297-$S297)*SIGN($T297-$W297)+SIGN($Q297-$R297)*SIGN($U297-$V297)+SIGN($Q297-$S297)*SIGN($U297-$W297)+SIGN($R297-$S297)*SIGN($V297-$W297))/SQRT((6-(($P297=$Q297)*1+($P297=$R297)*1+($P297=$S297)*1+($Q297=$R297)*1+($Q297=$S297)*1+($R297=$S297)*1))*(6-(($T297=$U297)*1+($T297=$V297)*1+($T297=$W297)*1+($U297=$V297)*1+($U297=$W297)*1+($V297=$W297)*1))),"")</f>
        <v>0.666666666666667</v>
      </c>
      <c r="AI297" s="0" t="n">
        <f aca="false">MATCH(MAX($K297:$O297),$K297:$O297,0)</f>
        <v>2</v>
      </c>
      <c r="AJ297" s="0" t="n">
        <f aca="false">IF(AI297&lt;&gt;$E297,1,0)</f>
        <v>0</v>
      </c>
      <c r="AK297" s="0" t="str">
        <f aca="false">IF(AJ297=1,INDEX($F297:$J297,AI297)/MAX($P297:$S297),"")</f>
        <v/>
      </c>
      <c r="AL297" s="0" t="str">
        <f aca="false">IF(AJ297=1,1+COUNTIF($P297:$S297,"&gt;"&amp;INDEX($F297:$J297,AI297)),"")</f>
        <v/>
      </c>
      <c r="AM297" s="0" t="n">
        <f aca="false">AVERAGE($P297:$S297)/MAX($P297:$S297)</f>
        <v>0.785433070866142</v>
      </c>
      <c r="AN297" s="0" t="n">
        <f aca="false">100-INDEX($F297:$J297,$E297)</f>
        <v>44.8</v>
      </c>
    </row>
    <row r="298" customFormat="false" ht="15" hidden="false" customHeight="false" outlineLevel="0" collapsed="false">
      <c r="A298" s="0" t="s">
        <v>40</v>
      </c>
      <c r="B298" s="0" t="n">
        <v>2015</v>
      </c>
      <c r="C298" s="0" t="s">
        <v>46</v>
      </c>
      <c r="D298" s="0" t="s">
        <v>44</v>
      </c>
      <c r="E298" s="0" t="n">
        <v>1</v>
      </c>
      <c r="F298" s="0" t="n">
        <v>57.2</v>
      </c>
      <c r="G298" s="0" t="n">
        <v>8.5</v>
      </c>
      <c r="H298" s="0" t="n">
        <v>14.9</v>
      </c>
      <c r="I298" s="0" t="n">
        <v>10.3</v>
      </c>
      <c r="J298" s="0" t="n">
        <v>3.9</v>
      </c>
      <c r="K298" s="0" t="n">
        <v>61.1895275087</v>
      </c>
      <c r="L298" s="0" t="n">
        <v>13.0629864195</v>
      </c>
      <c r="M298" s="0" t="n">
        <v>11.0809744724</v>
      </c>
      <c r="N298" s="0" t="n">
        <v>14.0180410979</v>
      </c>
      <c r="O298" s="0" t="n">
        <v>0.648470501555</v>
      </c>
      <c r="P298" s="0" t="n">
        <f aca="false">INDEX($F298:$J298,IF(1&lt;$E298,1,1+1))</f>
        <v>8.5</v>
      </c>
      <c r="Q298" s="0" t="n">
        <f aca="false">INDEX($F298:$J298,IF(2&lt;$E298,2,2+1))</f>
        <v>14.9</v>
      </c>
      <c r="R298" s="0" t="n">
        <f aca="false">INDEX($F298:$J298,IF(3&lt;$E298,3,3+1))</f>
        <v>10.3</v>
      </c>
      <c r="S298" s="0" t="n">
        <f aca="false">INDEX($F298:$J298,IF(4&lt;$E298,4,4+1))</f>
        <v>3.9</v>
      </c>
      <c r="T298" s="0" t="n">
        <f aca="false">INDEX($K298:$O298,IF(1&lt;$E298,1,1+1))</f>
        <v>13.0629864195</v>
      </c>
      <c r="U298" s="0" t="n">
        <f aca="false">INDEX($K298:$O298,IF(2&lt;$E298,2,2+1))</f>
        <v>11.0809744724</v>
      </c>
      <c r="V298" s="0" t="n">
        <f aca="false">INDEX($K298:$O298,IF(3&lt;$E298,3,3+1))</f>
        <v>14.0180410979</v>
      </c>
      <c r="W298" s="0" t="n">
        <f aca="false">INDEX($K298:$O298,IF(4&lt;$E298,4,4+1))</f>
        <v>0.648470501555</v>
      </c>
      <c r="X298" s="0" t="n">
        <f aca="false">1+COUNTIF($P298:$S298,"&gt;"&amp;$P298)+(COUNTIF($P298:$S298,$P298)-1)/2</f>
        <v>3</v>
      </c>
      <c r="Y298" s="0" t="n">
        <f aca="false">1+COUNTIF($P298:$S298,"&gt;"&amp;$Q298)+(COUNTIF($P298:$S298,$Q298)-1)/2</f>
        <v>1</v>
      </c>
      <c r="Z298" s="0" t="n">
        <f aca="false">1+COUNTIF($P298:$S298,"&gt;"&amp;$R298)+(COUNTIF($P298:$S298,$R298)-1)/2</f>
        <v>2</v>
      </c>
      <c r="AA298" s="0" t="n">
        <f aca="false">1+COUNTIF($P298:$S298,"&gt;"&amp;$S298)+(COUNTIF($P298:$S298,$S298)-1)/2</f>
        <v>4</v>
      </c>
      <c r="AB298" s="0" t="n">
        <f aca="false">1+COUNTIF($T298:$W298,"&gt;"&amp;$T298)+(COUNTIF($T298:$W298,$T298)-1)/2</f>
        <v>2</v>
      </c>
      <c r="AC298" s="0" t="n">
        <f aca="false">1+COUNTIF($T298:$W298,"&gt;"&amp;$U298)+(COUNTIF($T298:$W298,$U298)-1)/2</f>
        <v>3</v>
      </c>
      <c r="AD298" s="0" t="n">
        <f aca="false">1+COUNTIF($T298:$W298,"&gt;"&amp;$V298)+(COUNTIF($T298:$W298,$V298)-1)/2</f>
        <v>1</v>
      </c>
      <c r="AE298" s="0" t="n">
        <f aca="false">1+COUNTIF($T298:$W298,"&gt;"&amp;$W298)+(COUNTIF($T298:$W298,$W298)-1)/2</f>
        <v>4</v>
      </c>
      <c r="AF298" s="0" t="n">
        <f aca="false">IFERROR(CORREL($P298:$S298,$T298:$W298),"")</f>
        <v>0.692686115902176</v>
      </c>
      <c r="AG298" s="0" t="n">
        <f aca="false">IFERROR(CORREL($X298:$AA298,$AB298:$AE298),"")</f>
        <v>0.4</v>
      </c>
      <c r="AH298" s="0" t="n">
        <f aca="false">IFERROR((SIGN($P298-$Q298)*SIGN($T298-$U298)+SIGN($P298-$R298)*SIGN($T298-$V298)+SIGN($P298-$S298)*SIGN($T298-$W298)+SIGN($Q298-$R298)*SIGN($U298-$V298)+SIGN($Q298-$S298)*SIGN($U298-$W298)+SIGN($R298-$S298)*SIGN($V298-$W298))/SQRT((6-(($P298=$Q298)*1+($P298=$R298)*1+($P298=$S298)*1+($Q298=$R298)*1+($Q298=$S298)*1+($R298=$S298)*1))*(6-(($T298=$U298)*1+($T298=$V298)*1+($T298=$W298)*1+($U298=$V298)*1+($U298=$W298)*1+($V298=$W298)*1))),"")</f>
        <v>0.333333333333333</v>
      </c>
      <c r="AI298" s="0" t="n">
        <f aca="false">MATCH(MAX($K298:$O298),$K298:$O298,0)</f>
        <v>1</v>
      </c>
      <c r="AJ298" s="0" t="n">
        <f aca="false">IF(AI298&lt;&gt;$E298,1,0)</f>
        <v>0</v>
      </c>
      <c r="AK298" s="0" t="str">
        <f aca="false">IF(AJ298=1,INDEX($F298:$J298,AI298)/MAX($P298:$S298),"")</f>
        <v/>
      </c>
      <c r="AL298" s="0" t="str">
        <f aca="false">IF(AJ298=1,1+COUNTIF($P298:$S298,"&gt;"&amp;INDEX($F298:$J298,AI298)),"")</f>
        <v/>
      </c>
      <c r="AM298" s="0" t="n">
        <f aca="false">AVERAGE($P298:$S298)/MAX($P298:$S298)</f>
        <v>0.630872483221477</v>
      </c>
      <c r="AN298" s="0" t="n">
        <f aca="false">100-INDEX($F298:$J298,$E298)</f>
        <v>42.8</v>
      </c>
    </row>
    <row r="299" customFormat="false" ht="15" hidden="false" customHeight="false" outlineLevel="0" collapsed="false">
      <c r="A299" s="0" t="s">
        <v>40</v>
      </c>
      <c r="B299" s="0" t="n">
        <v>2015</v>
      </c>
      <c r="C299" s="0" t="s">
        <v>47</v>
      </c>
      <c r="D299" s="0" t="s">
        <v>42</v>
      </c>
      <c r="E299" s="0" t="n">
        <v>2</v>
      </c>
      <c r="F299" s="0" t="n">
        <v>9.1</v>
      </c>
      <c r="G299" s="0" t="n">
        <v>46.4</v>
      </c>
      <c r="H299" s="0" t="n">
        <v>18.1</v>
      </c>
      <c r="I299" s="0" t="n">
        <v>11.5</v>
      </c>
      <c r="J299" s="0" t="n">
        <v>12.6</v>
      </c>
      <c r="K299" s="0" t="n">
        <v>3.57782881619</v>
      </c>
      <c r="L299" s="0" t="n">
        <v>8.88446166732</v>
      </c>
      <c r="M299" s="0" t="n">
        <v>81.1142995157</v>
      </c>
      <c r="N299" s="0" t="n">
        <v>4.89016912854</v>
      </c>
      <c r="O299" s="0" t="n">
        <v>1.5332408722</v>
      </c>
      <c r="P299" s="0" t="n">
        <f aca="false">INDEX($F299:$J299,IF(1&lt;$E299,1,1+1))</f>
        <v>9.1</v>
      </c>
      <c r="Q299" s="0" t="n">
        <f aca="false">INDEX($F299:$J299,IF(2&lt;$E299,2,2+1))</f>
        <v>18.1</v>
      </c>
      <c r="R299" s="0" t="n">
        <f aca="false">INDEX($F299:$J299,IF(3&lt;$E299,3,3+1))</f>
        <v>11.5</v>
      </c>
      <c r="S299" s="0" t="n">
        <f aca="false">INDEX($F299:$J299,IF(4&lt;$E299,4,4+1))</f>
        <v>12.6</v>
      </c>
      <c r="T299" s="0" t="n">
        <f aca="false">INDEX($K299:$O299,IF(1&lt;$E299,1,1+1))</f>
        <v>3.57782881619</v>
      </c>
      <c r="U299" s="0" t="n">
        <f aca="false">INDEX($K299:$O299,IF(2&lt;$E299,2,2+1))</f>
        <v>81.1142995157</v>
      </c>
      <c r="V299" s="0" t="n">
        <f aca="false">INDEX($K299:$O299,IF(3&lt;$E299,3,3+1))</f>
        <v>4.89016912854</v>
      </c>
      <c r="W299" s="0" t="n">
        <f aca="false">INDEX($K299:$O299,IF(4&lt;$E299,4,4+1))</f>
        <v>1.5332408722</v>
      </c>
      <c r="X299" s="0" t="n">
        <f aca="false">1+COUNTIF($P299:$S299,"&gt;"&amp;$P299)+(COUNTIF($P299:$S299,$P299)-1)/2</f>
        <v>4</v>
      </c>
      <c r="Y299" s="0" t="n">
        <f aca="false">1+COUNTIF($P299:$S299,"&gt;"&amp;$Q299)+(COUNTIF($P299:$S299,$Q299)-1)/2</f>
        <v>1</v>
      </c>
      <c r="Z299" s="0" t="n">
        <f aca="false">1+COUNTIF($P299:$S299,"&gt;"&amp;$R299)+(COUNTIF($P299:$S299,$R299)-1)/2</f>
        <v>3</v>
      </c>
      <c r="AA299" s="0" t="n">
        <f aca="false">1+COUNTIF($P299:$S299,"&gt;"&amp;$S299)+(COUNTIF($P299:$S299,$S299)-1)/2</f>
        <v>2</v>
      </c>
      <c r="AB299" s="0" t="n">
        <f aca="false">1+COUNTIF($T299:$W299,"&gt;"&amp;$T299)+(COUNTIF($T299:$W299,$T299)-1)/2</f>
        <v>3</v>
      </c>
      <c r="AC299" s="0" t="n">
        <f aca="false">1+COUNTIF($T299:$W299,"&gt;"&amp;$U299)+(COUNTIF($T299:$W299,$U299)-1)/2</f>
        <v>1</v>
      </c>
      <c r="AD299" s="0" t="n">
        <f aca="false">1+COUNTIF($T299:$W299,"&gt;"&amp;$V299)+(COUNTIF($T299:$W299,$V299)-1)/2</f>
        <v>2</v>
      </c>
      <c r="AE299" s="0" t="n">
        <f aca="false">1+COUNTIF($T299:$W299,"&gt;"&amp;$W299)+(COUNTIF($T299:$W299,$W299)-1)/2</f>
        <v>4</v>
      </c>
      <c r="AF299" s="0" t="n">
        <f aca="false">IFERROR(CORREL($P299:$S299,$T299:$W299),"")</f>
        <v>0.917087964529158</v>
      </c>
      <c r="AG299" s="0" t="n">
        <f aca="false">IFERROR(CORREL($X299:$AA299,$AB299:$AE299),"")</f>
        <v>0.4</v>
      </c>
      <c r="AH299" s="0" t="n">
        <f aca="false">IFERROR((SIGN($P299-$Q299)*SIGN($T299-$U299)+SIGN($P299-$R299)*SIGN($T299-$V299)+SIGN($P299-$S299)*SIGN($T299-$W299)+SIGN($Q299-$R299)*SIGN($U299-$V299)+SIGN($Q299-$S299)*SIGN($U299-$W299)+SIGN($R299-$S299)*SIGN($V299-$W299))/SQRT((6-(($P299=$Q299)*1+($P299=$R299)*1+($P299=$S299)*1+($Q299=$R299)*1+($Q299=$S299)*1+($R299=$S299)*1))*(6-(($T299=$U299)*1+($T299=$V299)*1+($T299=$W299)*1+($U299=$V299)*1+($U299=$W299)*1+($V299=$W299)*1))),"")</f>
        <v>0.333333333333333</v>
      </c>
      <c r="AI299" s="0" t="n">
        <f aca="false">MATCH(MAX($K299:$O299),$K299:$O299,0)</f>
        <v>3</v>
      </c>
      <c r="AJ299" s="0" t="n">
        <f aca="false">IF(AI299&lt;&gt;$E299,1,0)</f>
        <v>1</v>
      </c>
      <c r="AK299" s="0" t="n">
        <f aca="false">IF(AJ299=1,INDEX($F299:$J299,AI299)/MAX($P299:$S299),"")</f>
        <v>1</v>
      </c>
      <c r="AL299" s="0" t="n">
        <f aca="false">IF(AJ299=1,1+COUNTIF($P299:$S299,"&gt;"&amp;INDEX($F299:$J299,AI299)),"")</f>
        <v>1</v>
      </c>
      <c r="AM299" s="0" t="n">
        <f aca="false">AVERAGE($P299:$S299)/MAX($P299:$S299)</f>
        <v>0.708563535911602</v>
      </c>
      <c r="AN299" s="0" t="n">
        <f aca="false">100-INDEX($F299:$J299,$E299)</f>
        <v>53.6</v>
      </c>
    </row>
    <row r="300" customFormat="false" ht="15" hidden="false" customHeight="false" outlineLevel="0" collapsed="false">
      <c r="A300" s="0" t="s">
        <v>40</v>
      </c>
      <c r="B300" s="0" t="n">
        <v>2015</v>
      </c>
      <c r="C300" s="0" t="s">
        <v>47</v>
      </c>
      <c r="D300" s="0" t="s">
        <v>43</v>
      </c>
      <c r="E300" s="0" t="n">
        <v>1</v>
      </c>
      <c r="F300" s="0" t="n">
        <v>41.5</v>
      </c>
      <c r="G300" s="0" t="n">
        <v>15.7</v>
      </c>
      <c r="H300" s="0" t="n">
        <v>19.9</v>
      </c>
      <c r="I300" s="0" t="n">
        <v>12.5</v>
      </c>
      <c r="J300" s="0" t="n">
        <v>8.1</v>
      </c>
      <c r="K300" s="0" t="n">
        <v>43.0318935762</v>
      </c>
      <c r="L300" s="0" t="n">
        <v>23.9115280271</v>
      </c>
      <c r="M300" s="0" t="n">
        <v>15.3475282571</v>
      </c>
      <c r="N300" s="0" t="n">
        <v>5.09871755251</v>
      </c>
      <c r="O300" s="0" t="n">
        <v>12.6103325871</v>
      </c>
      <c r="P300" s="0" t="n">
        <f aca="false">INDEX($F300:$J300,IF(1&lt;$E300,1,1+1))</f>
        <v>15.7</v>
      </c>
      <c r="Q300" s="0" t="n">
        <f aca="false">INDEX($F300:$J300,IF(2&lt;$E300,2,2+1))</f>
        <v>19.9</v>
      </c>
      <c r="R300" s="0" t="n">
        <f aca="false">INDEX($F300:$J300,IF(3&lt;$E300,3,3+1))</f>
        <v>12.5</v>
      </c>
      <c r="S300" s="0" t="n">
        <f aca="false">INDEX($F300:$J300,IF(4&lt;$E300,4,4+1))</f>
        <v>8.1</v>
      </c>
      <c r="T300" s="0" t="n">
        <f aca="false">INDEX($K300:$O300,IF(1&lt;$E300,1,1+1))</f>
        <v>23.9115280271</v>
      </c>
      <c r="U300" s="0" t="n">
        <f aca="false">INDEX($K300:$O300,IF(2&lt;$E300,2,2+1))</f>
        <v>15.3475282571</v>
      </c>
      <c r="V300" s="0" t="n">
        <f aca="false">INDEX($K300:$O300,IF(3&lt;$E300,3,3+1))</f>
        <v>5.09871755251</v>
      </c>
      <c r="W300" s="0" t="n">
        <f aca="false">INDEX($K300:$O300,IF(4&lt;$E300,4,4+1))</f>
        <v>12.6103325871</v>
      </c>
      <c r="X300" s="0" t="n">
        <f aca="false">1+COUNTIF($P300:$S300,"&gt;"&amp;$P300)+(COUNTIF($P300:$S300,$P300)-1)/2</f>
        <v>2</v>
      </c>
      <c r="Y300" s="0" t="n">
        <f aca="false">1+COUNTIF($P300:$S300,"&gt;"&amp;$Q300)+(COUNTIF($P300:$S300,$Q300)-1)/2</f>
        <v>1</v>
      </c>
      <c r="Z300" s="0" t="n">
        <f aca="false">1+COUNTIF($P300:$S300,"&gt;"&amp;$R300)+(COUNTIF($P300:$S300,$R300)-1)/2</f>
        <v>3</v>
      </c>
      <c r="AA300" s="0" t="n">
        <f aca="false">1+COUNTIF($P300:$S300,"&gt;"&amp;$S300)+(COUNTIF($P300:$S300,$S300)-1)/2</f>
        <v>4</v>
      </c>
      <c r="AB300" s="0" t="n">
        <f aca="false">1+COUNTIF($T300:$W300,"&gt;"&amp;$T300)+(COUNTIF($T300:$W300,$T300)-1)/2</f>
        <v>1</v>
      </c>
      <c r="AC300" s="0" t="n">
        <f aca="false">1+COUNTIF($T300:$W300,"&gt;"&amp;$U300)+(COUNTIF($T300:$W300,$U300)-1)/2</f>
        <v>2</v>
      </c>
      <c r="AD300" s="0" t="n">
        <f aca="false">1+COUNTIF($T300:$W300,"&gt;"&amp;$V300)+(COUNTIF($T300:$W300,$V300)-1)/2</f>
        <v>4</v>
      </c>
      <c r="AE300" s="0" t="n">
        <f aca="false">1+COUNTIF($T300:$W300,"&gt;"&amp;$W300)+(COUNTIF($T300:$W300,$W300)-1)/2</f>
        <v>3</v>
      </c>
      <c r="AF300" s="0" t="n">
        <f aca="false">IFERROR(CORREL($P300:$S300,$T300:$W300),"")</f>
        <v>0.398088388754683</v>
      </c>
      <c r="AG300" s="0" t="n">
        <f aca="false">IFERROR(CORREL($X300:$AA300,$AB300:$AE300),"")</f>
        <v>0.6</v>
      </c>
      <c r="AH300" s="0" t="n">
        <f aca="false">IFERROR((SIGN($P300-$Q300)*SIGN($T300-$U300)+SIGN($P300-$R300)*SIGN($T300-$V300)+SIGN($P300-$S300)*SIGN($T300-$W300)+SIGN($Q300-$R300)*SIGN($U300-$V300)+SIGN($Q300-$S300)*SIGN($U300-$W300)+SIGN($R300-$S300)*SIGN($V300-$W300))/SQRT((6-(($P300=$Q300)*1+($P300=$R300)*1+($P300=$S300)*1+($Q300=$R300)*1+($Q300=$S300)*1+($R300=$S300)*1))*(6-(($T300=$U300)*1+($T300=$V300)*1+($T300=$W300)*1+($U300=$V300)*1+($U300=$W300)*1+($V300=$W300)*1))),"")</f>
        <v>0.333333333333333</v>
      </c>
      <c r="AI300" s="0" t="n">
        <f aca="false">MATCH(MAX($K300:$O300),$K300:$O300,0)</f>
        <v>1</v>
      </c>
      <c r="AJ300" s="0" t="n">
        <f aca="false">IF(AI300&lt;&gt;$E300,1,0)</f>
        <v>0</v>
      </c>
      <c r="AK300" s="0" t="str">
        <f aca="false">IF(AJ300=1,INDEX($F300:$J300,AI300)/MAX($P300:$S300),"")</f>
        <v/>
      </c>
      <c r="AL300" s="0" t="str">
        <f aca="false">IF(AJ300=1,1+COUNTIF($P300:$S300,"&gt;"&amp;INDEX($F300:$J300,AI300)),"")</f>
        <v/>
      </c>
      <c r="AM300" s="0" t="n">
        <f aca="false">AVERAGE($P300:$S300)/MAX($P300:$S300)</f>
        <v>0.706030150753769</v>
      </c>
      <c r="AN300" s="0" t="n">
        <f aca="false">100-INDEX($F300:$J300,$E300)</f>
        <v>58.5</v>
      </c>
    </row>
    <row r="301" customFormat="false" ht="15" hidden="false" customHeight="false" outlineLevel="0" collapsed="false">
      <c r="A301" s="0" t="s">
        <v>40</v>
      </c>
      <c r="B301" s="0" t="n">
        <v>2015</v>
      </c>
      <c r="C301" s="0" t="s">
        <v>47</v>
      </c>
      <c r="D301" s="0" t="s">
        <v>44</v>
      </c>
      <c r="E301" s="0" t="n">
        <v>5</v>
      </c>
      <c r="F301" s="0" t="n">
        <v>11.2</v>
      </c>
      <c r="G301" s="0" t="n">
        <v>13.5</v>
      </c>
      <c r="H301" s="0" t="n">
        <v>22.1</v>
      </c>
      <c r="I301" s="0" t="n">
        <v>14.6</v>
      </c>
      <c r="J301" s="0" t="n">
        <v>36.2</v>
      </c>
      <c r="K301" s="0" t="n">
        <v>11.2000299996</v>
      </c>
      <c r="L301" s="0" t="n">
        <v>12.5067123475</v>
      </c>
      <c r="M301" s="0" t="n">
        <v>38.960240863</v>
      </c>
      <c r="N301" s="0" t="n">
        <v>14.799029783</v>
      </c>
      <c r="O301" s="0" t="n">
        <v>22.533987007</v>
      </c>
      <c r="P301" s="0" t="n">
        <f aca="false">INDEX($F301:$J301,IF(1&lt;$E301,1,1+1))</f>
        <v>11.2</v>
      </c>
      <c r="Q301" s="0" t="n">
        <f aca="false">INDEX($F301:$J301,IF(2&lt;$E301,2,2+1))</f>
        <v>13.5</v>
      </c>
      <c r="R301" s="0" t="n">
        <f aca="false">INDEX($F301:$J301,IF(3&lt;$E301,3,3+1))</f>
        <v>22.1</v>
      </c>
      <c r="S301" s="0" t="n">
        <f aca="false">INDEX($F301:$J301,IF(4&lt;$E301,4,4+1))</f>
        <v>14.6</v>
      </c>
      <c r="T301" s="0" t="n">
        <f aca="false">INDEX($K301:$O301,IF(1&lt;$E301,1,1+1))</f>
        <v>11.2000299996</v>
      </c>
      <c r="U301" s="0" t="n">
        <f aca="false">INDEX($K301:$O301,IF(2&lt;$E301,2,2+1))</f>
        <v>12.5067123475</v>
      </c>
      <c r="V301" s="0" t="n">
        <f aca="false">INDEX($K301:$O301,IF(3&lt;$E301,3,3+1))</f>
        <v>38.960240863</v>
      </c>
      <c r="W301" s="0" t="n">
        <f aca="false">INDEX($K301:$O301,IF(4&lt;$E301,4,4+1))</f>
        <v>14.799029783</v>
      </c>
      <c r="X301" s="0" t="n">
        <f aca="false">1+COUNTIF($P301:$S301,"&gt;"&amp;$P301)+(COUNTIF($P301:$S301,$P301)-1)/2</f>
        <v>4</v>
      </c>
      <c r="Y301" s="0" t="n">
        <f aca="false">1+COUNTIF($P301:$S301,"&gt;"&amp;$Q301)+(COUNTIF($P301:$S301,$Q301)-1)/2</f>
        <v>3</v>
      </c>
      <c r="Z301" s="0" t="n">
        <f aca="false">1+COUNTIF($P301:$S301,"&gt;"&amp;$R301)+(COUNTIF($P301:$S301,$R301)-1)/2</f>
        <v>1</v>
      </c>
      <c r="AA301" s="0" t="n">
        <f aca="false">1+COUNTIF($P301:$S301,"&gt;"&amp;$S301)+(COUNTIF($P301:$S301,$S301)-1)/2</f>
        <v>2</v>
      </c>
      <c r="AB301" s="0" t="n">
        <f aca="false">1+COUNTIF($T301:$W301,"&gt;"&amp;$T301)+(COUNTIF($T301:$W301,$T301)-1)/2</f>
        <v>4</v>
      </c>
      <c r="AC301" s="0" t="n">
        <f aca="false">1+COUNTIF($T301:$W301,"&gt;"&amp;$U301)+(COUNTIF($T301:$W301,$U301)-1)/2</f>
        <v>3</v>
      </c>
      <c r="AD301" s="0" t="n">
        <f aca="false">1+COUNTIF($T301:$W301,"&gt;"&amp;$V301)+(COUNTIF($T301:$W301,$V301)-1)/2</f>
        <v>1</v>
      </c>
      <c r="AE301" s="0" t="n">
        <f aca="false">1+COUNTIF($T301:$W301,"&gt;"&amp;$W301)+(COUNTIF($T301:$W301,$W301)-1)/2</f>
        <v>2</v>
      </c>
      <c r="AF301" s="0" t="n">
        <f aca="false">IFERROR(CORREL($P301:$S301,$T301:$W301),"")</f>
        <v>0.97955212174626</v>
      </c>
      <c r="AG301" s="0" t="n">
        <f aca="false">IFERROR(CORREL($X301:$AA301,$AB301:$AE301),"")</f>
        <v>1</v>
      </c>
      <c r="AH301" s="0" t="n">
        <f aca="false">IFERROR((SIGN($P301-$Q301)*SIGN($T301-$U301)+SIGN($P301-$R301)*SIGN($T301-$V301)+SIGN($P301-$S301)*SIGN($T301-$W301)+SIGN($Q301-$R301)*SIGN($U301-$V301)+SIGN($Q301-$S301)*SIGN($U301-$W301)+SIGN($R301-$S301)*SIGN($V301-$W301))/SQRT((6-(($P301=$Q301)*1+($P301=$R301)*1+($P301=$S301)*1+($Q301=$R301)*1+($Q301=$S301)*1+($R301=$S301)*1))*(6-(($T301=$U301)*1+($T301=$V301)*1+($T301=$W301)*1+($U301=$V301)*1+($U301=$W301)*1+($V301=$W301)*1))),"")</f>
        <v>1</v>
      </c>
      <c r="AI301" s="0" t="n">
        <f aca="false">MATCH(MAX($K301:$O301),$K301:$O301,0)</f>
        <v>3</v>
      </c>
      <c r="AJ301" s="0" t="n">
        <f aca="false">IF(AI301&lt;&gt;$E301,1,0)</f>
        <v>1</v>
      </c>
      <c r="AK301" s="0" t="n">
        <f aca="false">IF(AJ301=1,INDEX($F301:$J301,AI301)/MAX($P301:$S301),"")</f>
        <v>1</v>
      </c>
      <c r="AL301" s="0" t="n">
        <f aca="false">IF(AJ301=1,1+COUNTIF($P301:$S301,"&gt;"&amp;INDEX($F301:$J301,AI301)),"")</f>
        <v>1</v>
      </c>
      <c r="AM301" s="0" t="n">
        <f aca="false">AVERAGE($P301:$S301)/MAX($P301:$S301)</f>
        <v>0.694570135746606</v>
      </c>
      <c r="AN301" s="0" t="n">
        <f aca="false">100-INDEX($F301:$J301,$E301)</f>
        <v>63.8</v>
      </c>
    </row>
    <row r="302" customFormat="false" ht="15" hidden="false" customHeight="false" outlineLevel="0" collapsed="false">
      <c r="A302" s="0" t="s">
        <v>40</v>
      </c>
      <c r="B302" s="0" t="n">
        <v>2014</v>
      </c>
      <c r="C302" s="0" t="s">
        <v>48</v>
      </c>
      <c r="D302" s="0" t="s">
        <v>42</v>
      </c>
      <c r="E302" s="0" t="n">
        <v>3</v>
      </c>
      <c r="F302" s="0" t="n">
        <v>7.5</v>
      </c>
      <c r="G302" s="0" t="n">
        <v>8.9</v>
      </c>
      <c r="H302" s="0" t="n">
        <v>71.5</v>
      </c>
      <c r="I302" s="0" t="n">
        <v>5.2</v>
      </c>
      <c r="J302" s="0" t="n">
        <v>3.2</v>
      </c>
      <c r="K302" s="0" t="n">
        <v>30.2830227568</v>
      </c>
      <c r="L302" s="0" t="n">
        <v>0.980124764179</v>
      </c>
      <c r="M302" s="0" t="n">
        <v>0.0597564110309</v>
      </c>
      <c r="N302" s="0" t="n">
        <v>4.56443823578</v>
      </c>
      <c r="O302" s="0" t="n">
        <v>64.1126578322</v>
      </c>
      <c r="P302" s="0" t="n">
        <f aca="false">INDEX($F302:$J302,IF(1&lt;$E302,1,1+1))</f>
        <v>7.5</v>
      </c>
      <c r="Q302" s="0" t="n">
        <f aca="false">INDEX($F302:$J302,IF(2&lt;$E302,2,2+1))</f>
        <v>8.9</v>
      </c>
      <c r="R302" s="0" t="n">
        <f aca="false">INDEX($F302:$J302,IF(3&lt;$E302,3,3+1))</f>
        <v>5.2</v>
      </c>
      <c r="S302" s="0" t="n">
        <f aca="false">INDEX($F302:$J302,IF(4&lt;$E302,4,4+1))</f>
        <v>3.2</v>
      </c>
      <c r="T302" s="0" t="n">
        <f aca="false">INDEX($K302:$O302,IF(1&lt;$E302,1,1+1))</f>
        <v>30.2830227568</v>
      </c>
      <c r="U302" s="0" t="n">
        <f aca="false">INDEX($K302:$O302,IF(2&lt;$E302,2,2+1))</f>
        <v>0.980124764179</v>
      </c>
      <c r="V302" s="0" t="n">
        <f aca="false">INDEX($K302:$O302,IF(3&lt;$E302,3,3+1))</f>
        <v>4.56443823578</v>
      </c>
      <c r="W302" s="0" t="n">
        <f aca="false">INDEX($K302:$O302,IF(4&lt;$E302,4,4+1))</f>
        <v>64.1126578322</v>
      </c>
      <c r="X302" s="0" t="n">
        <f aca="false">1+COUNTIF($P302:$S302,"&gt;"&amp;$P302)+(COUNTIF($P302:$S302,$P302)-1)/2</f>
        <v>2</v>
      </c>
      <c r="Y302" s="0" t="n">
        <f aca="false">1+COUNTIF($P302:$S302,"&gt;"&amp;$Q302)+(COUNTIF($P302:$S302,$Q302)-1)/2</f>
        <v>1</v>
      </c>
      <c r="Z302" s="0" t="n">
        <f aca="false">1+COUNTIF($P302:$S302,"&gt;"&amp;$R302)+(COUNTIF($P302:$S302,$R302)-1)/2</f>
        <v>3</v>
      </c>
      <c r="AA302" s="0" t="n">
        <f aca="false">1+COUNTIF($P302:$S302,"&gt;"&amp;$S302)+(COUNTIF($P302:$S302,$S302)-1)/2</f>
        <v>4</v>
      </c>
      <c r="AB302" s="0" t="n">
        <f aca="false">1+COUNTIF($T302:$W302,"&gt;"&amp;$T302)+(COUNTIF($T302:$W302,$T302)-1)/2</f>
        <v>2</v>
      </c>
      <c r="AC302" s="0" t="n">
        <f aca="false">1+COUNTIF($T302:$W302,"&gt;"&amp;$U302)+(COUNTIF($T302:$W302,$U302)-1)/2</f>
        <v>4</v>
      </c>
      <c r="AD302" s="0" t="n">
        <f aca="false">1+COUNTIF($T302:$W302,"&gt;"&amp;$V302)+(COUNTIF($T302:$W302,$V302)-1)/2</f>
        <v>3</v>
      </c>
      <c r="AE302" s="0" t="n">
        <f aca="false">1+COUNTIF($T302:$W302,"&gt;"&amp;$W302)+(COUNTIF($T302:$W302,$W302)-1)/2</f>
        <v>1</v>
      </c>
      <c r="AF302" s="0" t="n">
        <f aca="false">IFERROR(CORREL($P302:$S302,$T302:$W302),"")</f>
        <v>-0.703730306201973</v>
      </c>
      <c r="AG302" s="0" t="n">
        <f aca="false">IFERROR(CORREL($X302:$AA302,$AB302:$AE302),"")</f>
        <v>-0.8</v>
      </c>
      <c r="AH302" s="0" t="n">
        <f aca="false">IFERROR((SIGN($P302-$Q302)*SIGN($T302-$U302)+SIGN($P302-$R302)*SIGN($T302-$V302)+SIGN($P302-$S302)*SIGN($T302-$W302)+SIGN($Q302-$R302)*SIGN($U302-$V302)+SIGN($Q302-$S302)*SIGN($U302-$W302)+SIGN($R302-$S302)*SIGN($V302-$W302))/SQRT((6-(($P302=$Q302)*1+($P302=$R302)*1+($P302=$S302)*1+($Q302=$R302)*1+($Q302=$S302)*1+($R302=$S302)*1))*(6-(($T302=$U302)*1+($T302=$V302)*1+($T302=$W302)*1+($U302=$V302)*1+($U302=$W302)*1+($V302=$W302)*1))),"")</f>
        <v>-0.666666666666667</v>
      </c>
      <c r="AI302" s="0" t="n">
        <f aca="false">MATCH(MAX($K302:$O302),$K302:$O302,0)</f>
        <v>5</v>
      </c>
      <c r="AJ302" s="0" t="n">
        <f aca="false">IF(AI302&lt;&gt;$E302,1,0)</f>
        <v>1</v>
      </c>
      <c r="AK302" s="0" t="n">
        <f aca="false">IF(AJ302=1,INDEX($F302:$J302,AI302)/MAX($P302:$S302),"")</f>
        <v>0.359550561797753</v>
      </c>
      <c r="AL302" s="0" t="n">
        <f aca="false">IF(AJ302=1,1+COUNTIF($P302:$S302,"&gt;"&amp;INDEX($F302:$J302,AI302)),"")</f>
        <v>4</v>
      </c>
      <c r="AM302" s="0" t="n">
        <f aca="false">AVERAGE($P302:$S302)/MAX($P302:$S302)</f>
        <v>0.696629213483146</v>
      </c>
      <c r="AN302" s="0" t="n">
        <f aca="false">100-INDEX($F302:$J302,$E302)</f>
        <v>28.5</v>
      </c>
    </row>
    <row r="303" customFormat="false" ht="15" hidden="false" customHeight="false" outlineLevel="0" collapsed="false">
      <c r="A303" s="0" t="s">
        <v>40</v>
      </c>
      <c r="B303" s="0" t="n">
        <v>2014</v>
      </c>
      <c r="C303" s="0" t="s">
        <v>48</v>
      </c>
      <c r="D303" s="0" t="s">
        <v>43</v>
      </c>
      <c r="E303" s="0" t="n">
        <v>5</v>
      </c>
      <c r="F303" s="0" t="n">
        <v>8.2</v>
      </c>
      <c r="G303" s="0" t="n">
        <v>22.4</v>
      </c>
      <c r="H303" s="0" t="n">
        <v>15.2</v>
      </c>
      <c r="I303" s="0" t="n">
        <v>8.1</v>
      </c>
      <c r="J303" s="0" t="n">
        <v>42.3</v>
      </c>
      <c r="K303" s="0" t="n">
        <v>25.0107207273</v>
      </c>
      <c r="L303" s="0" t="n">
        <v>7.01612634006</v>
      </c>
      <c r="M303" s="0" t="n">
        <v>0.88183138332</v>
      </c>
      <c r="N303" s="0" t="n">
        <v>19.1208496479</v>
      </c>
      <c r="O303" s="0" t="n">
        <v>47.9704719014</v>
      </c>
      <c r="P303" s="0" t="n">
        <f aca="false">INDEX($F303:$J303,IF(1&lt;$E303,1,1+1))</f>
        <v>8.2</v>
      </c>
      <c r="Q303" s="0" t="n">
        <f aca="false">INDEX($F303:$J303,IF(2&lt;$E303,2,2+1))</f>
        <v>22.4</v>
      </c>
      <c r="R303" s="0" t="n">
        <f aca="false">INDEX($F303:$J303,IF(3&lt;$E303,3,3+1))</f>
        <v>15.2</v>
      </c>
      <c r="S303" s="0" t="n">
        <f aca="false">INDEX($F303:$J303,IF(4&lt;$E303,4,4+1))</f>
        <v>8.1</v>
      </c>
      <c r="T303" s="0" t="n">
        <f aca="false">INDEX($K303:$O303,IF(1&lt;$E303,1,1+1))</f>
        <v>25.0107207273</v>
      </c>
      <c r="U303" s="0" t="n">
        <f aca="false">INDEX($K303:$O303,IF(2&lt;$E303,2,2+1))</f>
        <v>7.01612634006</v>
      </c>
      <c r="V303" s="0" t="n">
        <f aca="false">INDEX($K303:$O303,IF(3&lt;$E303,3,3+1))</f>
        <v>0.88183138332</v>
      </c>
      <c r="W303" s="0" t="n">
        <f aca="false">INDEX($K303:$O303,IF(4&lt;$E303,4,4+1))</f>
        <v>19.1208496479</v>
      </c>
      <c r="X303" s="0" t="n">
        <f aca="false">1+COUNTIF($P303:$S303,"&gt;"&amp;$P303)+(COUNTIF($P303:$S303,$P303)-1)/2</f>
        <v>3</v>
      </c>
      <c r="Y303" s="0" t="n">
        <f aca="false">1+COUNTIF($P303:$S303,"&gt;"&amp;$Q303)+(COUNTIF($P303:$S303,$Q303)-1)/2</f>
        <v>1</v>
      </c>
      <c r="Z303" s="0" t="n">
        <f aca="false">1+COUNTIF($P303:$S303,"&gt;"&amp;$R303)+(COUNTIF($P303:$S303,$R303)-1)/2</f>
        <v>2</v>
      </c>
      <c r="AA303" s="0" t="n">
        <f aca="false">1+COUNTIF($P303:$S303,"&gt;"&amp;$S303)+(COUNTIF($P303:$S303,$S303)-1)/2</f>
        <v>4</v>
      </c>
      <c r="AB303" s="0" t="n">
        <f aca="false">1+COUNTIF($T303:$W303,"&gt;"&amp;$T303)+(COUNTIF($T303:$W303,$T303)-1)/2</f>
        <v>1</v>
      </c>
      <c r="AC303" s="0" t="n">
        <f aca="false">1+COUNTIF($T303:$W303,"&gt;"&amp;$U303)+(COUNTIF($T303:$W303,$U303)-1)/2</f>
        <v>3</v>
      </c>
      <c r="AD303" s="0" t="n">
        <f aca="false">1+COUNTIF($T303:$W303,"&gt;"&amp;$V303)+(COUNTIF($T303:$W303,$V303)-1)/2</f>
        <v>4</v>
      </c>
      <c r="AE303" s="0" t="n">
        <f aca="false">1+COUNTIF($T303:$W303,"&gt;"&amp;$W303)+(COUNTIF($T303:$W303,$W303)-1)/2</f>
        <v>2</v>
      </c>
      <c r="AF303" s="0" t="n">
        <f aca="false">IFERROR(CORREL($P303:$S303,$T303:$W303),"")</f>
        <v>-0.756948678193395</v>
      </c>
      <c r="AG303" s="0" t="n">
        <f aca="false">IFERROR(CORREL($X303:$AA303,$AB303:$AE303),"")</f>
        <v>-0.6</v>
      </c>
      <c r="AH303" s="0" t="n">
        <f aca="false">IFERROR((SIGN($P303-$Q303)*SIGN($T303-$U303)+SIGN($P303-$R303)*SIGN($T303-$V303)+SIGN($P303-$S303)*SIGN($T303-$W303)+SIGN($Q303-$R303)*SIGN($U303-$V303)+SIGN($Q303-$S303)*SIGN($U303-$W303)+SIGN($R303-$S303)*SIGN($V303-$W303))/SQRT((6-(($P303=$Q303)*1+($P303=$R303)*1+($P303=$S303)*1+($Q303=$R303)*1+($Q303=$S303)*1+($R303=$S303)*1))*(6-(($T303=$U303)*1+($T303=$V303)*1+($T303=$W303)*1+($U303=$V303)*1+($U303=$W303)*1+($V303=$W303)*1))),"")</f>
        <v>-0.333333333333333</v>
      </c>
      <c r="AI303" s="0" t="n">
        <f aca="false">MATCH(MAX($K303:$O303),$K303:$O303,0)</f>
        <v>5</v>
      </c>
      <c r="AJ303" s="0" t="n">
        <f aca="false">IF(AI303&lt;&gt;$E303,1,0)</f>
        <v>0</v>
      </c>
      <c r="AK303" s="0" t="str">
        <f aca="false">IF(AJ303=1,INDEX($F303:$J303,AI303)/MAX($P303:$S303),"")</f>
        <v/>
      </c>
      <c r="AL303" s="0" t="str">
        <f aca="false">IF(AJ303=1,1+COUNTIF($P303:$S303,"&gt;"&amp;INDEX($F303:$J303,AI303)),"")</f>
        <v/>
      </c>
      <c r="AM303" s="0" t="n">
        <f aca="false">AVERAGE($P303:$S303)/MAX($P303:$S303)</f>
        <v>0.6015625</v>
      </c>
      <c r="AN303" s="0" t="n">
        <f aca="false">100-INDEX($F303:$J303,$E303)</f>
        <v>57.7</v>
      </c>
    </row>
    <row r="304" customFormat="false" ht="15" hidden="false" customHeight="false" outlineLevel="0" collapsed="false">
      <c r="A304" s="0" t="s">
        <v>40</v>
      </c>
      <c r="B304" s="0" t="n">
        <v>2014</v>
      </c>
      <c r="C304" s="0" t="s">
        <v>48</v>
      </c>
      <c r="D304" s="0" t="s">
        <v>44</v>
      </c>
      <c r="E304" s="0" t="n">
        <v>1</v>
      </c>
      <c r="F304" s="0" t="n">
        <v>67</v>
      </c>
      <c r="G304" s="0" t="n">
        <v>7.4</v>
      </c>
      <c r="H304" s="0" t="n">
        <v>17.2</v>
      </c>
      <c r="I304" s="0" t="n">
        <v>3.6</v>
      </c>
      <c r="J304" s="0" t="n">
        <v>1.1</v>
      </c>
      <c r="K304" s="0" t="n">
        <v>18.3763536955</v>
      </c>
      <c r="L304" s="0" t="n">
        <v>6.53224374578</v>
      </c>
      <c r="M304" s="0" t="n">
        <v>8.80778116701</v>
      </c>
      <c r="N304" s="0" t="n">
        <v>40.374671736</v>
      </c>
      <c r="O304" s="0" t="n">
        <v>25.9089496558</v>
      </c>
      <c r="P304" s="0" t="n">
        <f aca="false">INDEX($F304:$J304,IF(1&lt;$E304,1,1+1))</f>
        <v>7.4</v>
      </c>
      <c r="Q304" s="0" t="n">
        <f aca="false">INDEX($F304:$J304,IF(2&lt;$E304,2,2+1))</f>
        <v>17.2</v>
      </c>
      <c r="R304" s="0" t="n">
        <f aca="false">INDEX($F304:$J304,IF(3&lt;$E304,3,3+1))</f>
        <v>3.6</v>
      </c>
      <c r="S304" s="0" t="n">
        <f aca="false">INDEX($F304:$J304,IF(4&lt;$E304,4,4+1))</f>
        <v>1.1</v>
      </c>
      <c r="T304" s="0" t="n">
        <f aca="false">INDEX($K304:$O304,IF(1&lt;$E304,1,1+1))</f>
        <v>6.53224374578</v>
      </c>
      <c r="U304" s="0" t="n">
        <f aca="false">INDEX($K304:$O304,IF(2&lt;$E304,2,2+1))</f>
        <v>8.80778116701</v>
      </c>
      <c r="V304" s="0" t="n">
        <f aca="false">INDEX($K304:$O304,IF(3&lt;$E304,3,3+1))</f>
        <v>40.374671736</v>
      </c>
      <c r="W304" s="0" t="n">
        <f aca="false">INDEX($K304:$O304,IF(4&lt;$E304,4,4+1))</f>
        <v>25.9089496558</v>
      </c>
      <c r="X304" s="0" t="n">
        <f aca="false">1+COUNTIF($P304:$S304,"&gt;"&amp;$P304)+(COUNTIF($P304:$S304,$P304)-1)/2</f>
        <v>2</v>
      </c>
      <c r="Y304" s="0" t="n">
        <f aca="false">1+COUNTIF($P304:$S304,"&gt;"&amp;$Q304)+(COUNTIF($P304:$S304,$Q304)-1)/2</f>
        <v>1</v>
      </c>
      <c r="Z304" s="0" t="n">
        <f aca="false">1+COUNTIF($P304:$S304,"&gt;"&amp;$R304)+(COUNTIF($P304:$S304,$R304)-1)/2</f>
        <v>3</v>
      </c>
      <c r="AA304" s="0" t="n">
        <f aca="false">1+COUNTIF($P304:$S304,"&gt;"&amp;$S304)+(COUNTIF($P304:$S304,$S304)-1)/2</f>
        <v>4</v>
      </c>
      <c r="AB304" s="0" t="n">
        <f aca="false">1+COUNTIF($T304:$W304,"&gt;"&amp;$T304)+(COUNTIF($T304:$W304,$T304)-1)/2</f>
        <v>4</v>
      </c>
      <c r="AC304" s="0" t="n">
        <f aca="false">1+COUNTIF($T304:$W304,"&gt;"&amp;$U304)+(COUNTIF($T304:$W304,$U304)-1)/2</f>
        <v>3</v>
      </c>
      <c r="AD304" s="0" t="n">
        <f aca="false">1+COUNTIF($T304:$W304,"&gt;"&amp;$V304)+(COUNTIF($T304:$W304,$V304)-1)/2</f>
        <v>1</v>
      </c>
      <c r="AE304" s="0" t="n">
        <f aca="false">1+COUNTIF($T304:$W304,"&gt;"&amp;$W304)+(COUNTIF($T304:$W304,$W304)-1)/2</f>
        <v>2</v>
      </c>
      <c r="AF304" s="0" t="n">
        <f aca="false">IFERROR(CORREL($P304:$S304,$T304:$W304),"")</f>
        <v>-0.665473036375303</v>
      </c>
      <c r="AG304" s="0" t="n">
        <f aca="false">IFERROR(CORREL($X304:$AA304,$AB304:$AE304),"")</f>
        <v>-0.6</v>
      </c>
      <c r="AH304" s="0" t="n">
        <f aca="false">IFERROR((SIGN($P304-$Q304)*SIGN($T304-$U304)+SIGN($P304-$R304)*SIGN($T304-$V304)+SIGN($P304-$S304)*SIGN($T304-$W304)+SIGN($Q304-$R304)*SIGN($U304-$V304)+SIGN($Q304-$S304)*SIGN($U304-$W304)+SIGN($R304-$S304)*SIGN($V304-$W304))/SQRT((6-(($P304=$Q304)*1+($P304=$R304)*1+($P304=$S304)*1+($Q304=$R304)*1+($Q304=$S304)*1+($R304=$S304)*1))*(6-(($T304=$U304)*1+($T304=$V304)*1+($T304=$W304)*1+($U304=$V304)*1+($U304=$W304)*1+($V304=$W304)*1))),"")</f>
        <v>-0.333333333333333</v>
      </c>
      <c r="AI304" s="0" t="n">
        <f aca="false">MATCH(MAX($K304:$O304),$K304:$O304,0)</f>
        <v>4</v>
      </c>
      <c r="AJ304" s="0" t="n">
        <f aca="false">IF(AI304&lt;&gt;$E304,1,0)</f>
        <v>1</v>
      </c>
      <c r="AK304" s="0" t="n">
        <f aca="false">IF(AJ304=1,INDEX($F304:$J304,AI304)/MAX($P304:$S304),"")</f>
        <v>0.209302325581395</v>
      </c>
      <c r="AL304" s="0" t="n">
        <f aca="false">IF(AJ304=1,1+COUNTIF($P304:$S304,"&gt;"&amp;INDEX($F304:$J304,AI304)),"")</f>
        <v>3</v>
      </c>
      <c r="AM304" s="0" t="n">
        <f aca="false">AVERAGE($P304:$S304)/MAX($P304:$S304)</f>
        <v>0.425872093023256</v>
      </c>
      <c r="AN304" s="0" t="n">
        <f aca="false">100-INDEX($F304:$J304,$E304)</f>
        <v>33</v>
      </c>
    </row>
    <row r="305" customFormat="false" ht="15" hidden="false" customHeight="false" outlineLevel="0" collapsed="false">
      <c r="A305" s="0" t="s">
        <v>40</v>
      </c>
      <c r="B305" s="0" t="n">
        <v>2014</v>
      </c>
      <c r="C305" s="0" t="s">
        <v>49</v>
      </c>
      <c r="D305" s="0" t="s">
        <v>42</v>
      </c>
      <c r="E305" s="0" t="n">
        <v>2</v>
      </c>
      <c r="F305" s="0" t="n">
        <v>11.4</v>
      </c>
      <c r="G305" s="0" t="n">
        <v>55.7</v>
      </c>
      <c r="H305" s="0" t="n">
        <v>6.2</v>
      </c>
      <c r="I305" s="0" t="n">
        <v>4.5</v>
      </c>
      <c r="J305" s="0" t="n">
        <v>19.5</v>
      </c>
      <c r="K305" s="0" t="n">
        <v>15.4701666535</v>
      </c>
      <c r="L305" s="0" t="n">
        <v>7.55335101896</v>
      </c>
      <c r="M305" s="0" t="n">
        <v>7.64341218962</v>
      </c>
      <c r="N305" s="0" t="n">
        <v>64.7907895322</v>
      </c>
      <c r="O305" s="0" t="n">
        <v>4.54228060572</v>
      </c>
      <c r="P305" s="0" t="n">
        <f aca="false">INDEX($F305:$J305,IF(1&lt;$E305,1,1+1))</f>
        <v>11.4</v>
      </c>
      <c r="Q305" s="0" t="n">
        <f aca="false">INDEX($F305:$J305,IF(2&lt;$E305,2,2+1))</f>
        <v>6.2</v>
      </c>
      <c r="R305" s="0" t="n">
        <f aca="false">INDEX($F305:$J305,IF(3&lt;$E305,3,3+1))</f>
        <v>4.5</v>
      </c>
      <c r="S305" s="0" t="n">
        <f aca="false">INDEX($F305:$J305,IF(4&lt;$E305,4,4+1))</f>
        <v>19.5</v>
      </c>
      <c r="T305" s="0" t="n">
        <f aca="false">INDEX($K305:$O305,IF(1&lt;$E305,1,1+1))</f>
        <v>15.4701666535</v>
      </c>
      <c r="U305" s="0" t="n">
        <f aca="false">INDEX($K305:$O305,IF(2&lt;$E305,2,2+1))</f>
        <v>7.64341218962</v>
      </c>
      <c r="V305" s="0" t="n">
        <f aca="false">INDEX($K305:$O305,IF(3&lt;$E305,3,3+1))</f>
        <v>64.7907895322</v>
      </c>
      <c r="W305" s="0" t="n">
        <f aca="false">INDEX($K305:$O305,IF(4&lt;$E305,4,4+1))</f>
        <v>4.54228060572</v>
      </c>
      <c r="X305" s="0" t="n">
        <f aca="false">1+COUNTIF($P305:$S305,"&gt;"&amp;$P305)+(COUNTIF($P305:$S305,$P305)-1)/2</f>
        <v>2</v>
      </c>
      <c r="Y305" s="0" t="n">
        <f aca="false">1+COUNTIF($P305:$S305,"&gt;"&amp;$Q305)+(COUNTIF($P305:$S305,$Q305)-1)/2</f>
        <v>3</v>
      </c>
      <c r="Z305" s="0" t="n">
        <f aca="false">1+COUNTIF($P305:$S305,"&gt;"&amp;$R305)+(COUNTIF($P305:$S305,$R305)-1)/2</f>
        <v>4</v>
      </c>
      <c r="AA305" s="0" t="n">
        <f aca="false">1+COUNTIF($P305:$S305,"&gt;"&amp;$S305)+(COUNTIF($P305:$S305,$S305)-1)/2</f>
        <v>1</v>
      </c>
      <c r="AB305" s="0" t="n">
        <f aca="false">1+COUNTIF($T305:$W305,"&gt;"&amp;$T305)+(COUNTIF($T305:$W305,$T305)-1)/2</f>
        <v>2</v>
      </c>
      <c r="AC305" s="0" t="n">
        <f aca="false">1+COUNTIF($T305:$W305,"&gt;"&amp;$U305)+(COUNTIF($T305:$W305,$U305)-1)/2</f>
        <v>3</v>
      </c>
      <c r="AD305" s="0" t="n">
        <f aca="false">1+COUNTIF($T305:$W305,"&gt;"&amp;$V305)+(COUNTIF($T305:$W305,$V305)-1)/2</f>
        <v>1</v>
      </c>
      <c r="AE305" s="0" t="n">
        <f aca="false">1+COUNTIF($T305:$W305,"&gt;"&amp;$W305)+(COUNTIF($T305:$W305,$W305)-1)/2</f>
        <v>4</v>
      </c>
      <c r="AF305" s="0" t="n">
        <f aca="false">IFERROR(CORREL($P305:$S305,$T305:$W305),"")</f>
        <v>-0.627933529436829</v>
      </c>
      <c r="AG305" s="0" t="n">
        <f aca="false">IFERROR(CORREL($X305:$AA305,$AB305:$AE305),"")</f>
        <v>-0.8</v>
      </c>
      <c r="AH305" s="0" t="n">
        <f aca="false">IFERROR((SIGN($P305-$Q305)*SIGN($T305-$U305)+SIGN($P305-$R305)*SIGN($T305-$V305)+SIGN($P305-$S305)*SIGN($T305-$W305)+SIGN($Q305-$R305)*SIGN($U305-$V305)+SIGN($Q305-$S305)*SIGN($U305-$W305)+SIGN($R305-$S305)*SIGN($V305-$W305))/SQRT((6-(($P305=$Q305)*1+($P305=$R305)*1+($P305=$S305)*1+($Q305=$R305)*1+($Q305=$S305)*1+($R305=$S305)*1))*(6-(($T305=$U305)*1+($T305=$V305)*1+($T305=$W305)*1+($U305=$V305)*1+($U305=$W305)*1+($V305=$W305)*1))),"")</f>
        <v>-0.666666666666667</v>
      </c>
      <c r="AI305" s="0" t="n">
        <f aca="false">MATCH(MAX($K305:$O305),$K305:$O305,0)</f>
        <v>4</v>
      </c>
      <c r="AJ305" s="0" t="n">
        <f aca="false">IF(AI305&lt;&gt;$E305,1,0)</f>
        <v>1</v>
      </c>
      <c r="AK305" s="0" t="n">
        <f aca="false">IF(AJ305=1,INDEX($F305:$J305,AI305)/MAX($P305:$S305),"")</f>
        <v>0.230769230769231</v>
      </c>
      <c r="AL305" s="0" t="n">
        <f aca="false">IF(AJ305=1,1+COUNTIF($P305:$S305,"&gt;"&amp;INDEX($F305:$J305,AI305)),"")</f>
        <v>4</v>
      </c>
      <c r="AM305" s="0" t="n">
        <f aca="false">AVERAGE($P305:$S305)/MAX($P305:$S305)</f>
        <v>0.533333333333333</v>
      </c>
      <c r="AN305" s="0" t="n">
        <f aca="false">100-INDEX($F305:$J305,$E305)</f>
        <v>44.3</v>
      </c>
    </row>
    <row r="306" customFormat="false" ht="15" hidden="false" customHeight="false" outlineLevel="0" collapsed="false">
      <c r="A306" s="0" t="s">
        <v>40</v>
      </c>
      <c r="B306" s="0" t="n">
        <v>2014</v>
      </c>
      <c r="C306" s="0" t="s">
        <v>49</v>
      </c>
      <c r="D306" s="0" t="s">
        <v>43</v>
      </c>
      <c r="E306" s="0" t="n">
        <v>3</v>
      </c>
      <c r="F306" s="0" t="n">
        <v>7.8</v>
      </c>
      <c r="G306" s="0" t="n">
        <v>6.6</v>
      </c>
      <c r="H306" s="0" t="n">
        <v>67.4</v>
      </c>
      <c r="I306" s="0" t="n">
        <v>7.9</v>
      </c>
      <c r="J306" s="0" t="n">
        <v>7.6</v>
      </c>
      <c r="K306" s="0" t="n">
        <v>3.56659948943</v>
      </c>
      <c r="L306" s="0" t="n">
        <v>6.81422326633</v>
      </c>
      <c r="M306" s="0" t="n">
        <v>31.1303354496</v>
      </c>
      <c r="N306" s="0" t="n">
        <v>31.7206233672</v>
      </c>
      <c r="O306" s="0" t="n">
        <v>26.7682184275</v>
      </c>
      <c r="P306" s="0" t="n">
        <f aca="false">INDEX($F306:$J306,IF(1&lt;$E306,1,1+1))</f>
        <v>7.8</v>
      </c>
      <c r="Q306" s="0" t="n">
        <f aca="false">INDEX($F306:$J306,IF(2&lt;$E306,2,2+1))</f>
        <v>6.6</v>
      </c>
      <c r="R306" s="0" t="n">
        <f aca="false">INDEX($F306:$J306,IF(3&lt;$E306,3,3+1))</f>
        <v>7.9</v>
      </c>
      <c r="S306" s="0" t="n">
        <f aca="false">INDEX($F306:$J306,IF(4&lt;$E306,4,4+1))</f>
        <v>7.6</v>
      </c>
      <c r="T306" s="0" t="n">
        <f aca="false">INDEX($K306:$O306,IF(1&lt;$E306,1,1+1))</f>
        <v>3.56659948943</v>
      </c>
      <c r="U306" s="0" t="n">
        <f aca="false">INDEX($K306:$O306,IF(2&lt;$E306,2,2+1))</f>
        <v>6.81422326633</v>
      </c>
      <c r="V306" s="0" t="n">
        <f aca="false">INDEX($K306:$O306,IF(3&lt;$E306,3,3+1))</f>
        <v>31.7206233672</v>
      </c>
      <c r="W306" s="0" t="n">
        <f aca="false">INDEX($K306:$O306,IF(4&lt;$E306,4,4+1))</f>
        <v>26.7682184275</v>
      </c>
      <c r="X306" s="0" t="n">
        <f aca="false">1+COUNTIF($P306:$S306,"&gt;"&amp;$P306)+(COUNTIF($P306:$S306,$P306)-1)/2</f>
        <v>2</v>
      </c>
      <c r="Y306" s="0" t="n">
        <f aca="false">1+COUNTIF($P306:$S306,"&gt;"&amp;$Q306)+(COUNTIF($P306:$S306,$Q306)-1)/2</f>
        <v>4</v>
      </c>
      <c r="Z306" s="0" t="n">
        <f aca="false">1+COUNTIF($P306:$S306,"&gt;"&amp;$R306)+(COUNTIF($P306:$S306,$R306)-1)/2</f>
        <v>1</v>
      </c>
      <c r="AA306" s="0" t="n">
        <f aca="false">1+COUNTIF($P306:$S306,"&gt;"&amp;$S306)+(COUNTIF($P306:$S306,$S306)-1)/2</f>
        <v>3</v>
      </c>
      <c r="AB306" s="0" t="n">
        <f aca="false">1+COUNTIF($T306:$W306,"&gt;"&amp;$T306)+(COUNTIF($T306:$W306,$T306)-1)/2</f>
        <v>4</v>
      </c>
      <c r="AC306" s="0" t="n">
        <f aca="false">1+COUNTIF($T306:$W306,"&gt;"&amp;$U306)+(COUNTIF($T306:$W306,$U306)-1)/2</f>
        <v>3</v>
      </c>
      <c r="AD306" s="0" t="n">
        <f aca="false">1+COUNTIF($T306:$W306,"&gt;"&amp;$V306)+(COUNTIF($T306:$W306,$V306)-1)/2</f>
        <v>1</v>
      </c>
      <c r="AE306" s="0" t="n">
        <f aca="false">1+COUNTIF($T306:$W306,"&gt;"&amp;$W306)+(COUNTIF($T306:$W306,$W306)-1)/2</f>
        <v>2</v>
      </c>
      <c r="AF306" s="0" t="n">
        <f aca="false">IFERROR(CORREL($P306:$S306,$T306:$W306),"")</f>
        <v>0.476643293101687</v>
      </c>
      <c r="AG306" s="0" t="n">
        <f aca="false">IFERROR(CORREL($X306:$AA306,$AB306:$AE306),"")</f>
        <v>0.4</v>
      </c>
      <c r="AH306" s="0" t="n">
        <f aca="false">IFERROR((SIGN($P306-$Q306)*SIGN($T306-$U306)+SIGN($P306-$R306)*SIGN($T306-$V306)+SIGN($P306-$S306)*SIGN($T306-$W306)+SIGN($Q306-$R306)*SIGN($U306-$V306)+SIGN($Q306-$S306)*SIGN($U306-$W306)+SIGN($R306-$S306)*SIGN($V306-$W306))/SQRT((6-(($P306=$Q306)*1+($P306=$R306)*1+($P306=$S306)*1+($Q306=$R306)*1+($Q306=$S306)*1+($R306=$S306)*1))*(6-(($T306=$U306)*1+($T306=$V306)*1+($T306=$W306)*1+($U306=$V306)*1+($U306=$W306)*1+($V306=$W306)*1))),"")</f>
        <v>0.333333333333333</v>
      </c>
      <c r="AI306" s="0" t="n">
        <f aca="false">MATCH(MAX($K306:$O306),$K306:$O306,0)</f>
        <v>4</v>
      </c>
      <c r="AJ306" s="0" t="n">
        <f aca="false">IF(AI306&lt;&gt;$E306,1,0)</f>
        <v>1</v>
      </c>
      <c r="AK306" s="0" t="n">
        <f aca="false">IF(AJ306=1,INDEX($F306:$J306,AI306)/MAX($P306:$S306),"")</f>
        <v>1</v>
      </c>
      <c r="AL306" s="0" t="n">
        <f aca="false">IF(AJ306=1,1+COUNTIF($P306:$S306,"&gt;"&amp;INDEX($F306:$J306,AI306)),"")</f>
        <v>1</v>
      </c>
      <c r="AM306" s="0" t="n">
        <f aca="false">AVERAGE($P306:$S306)/MAX($P306:$S306)</f>
        <v>0.94620253164557</v>
      </c>
      <c r="AN306" s="0" t="n">
        <f aca="false">100-INDEX($F306:$J306,$E306)</f>
        <v>32.6</v>
      </c>
    </row>
    <row r="307" customFormat="false" ht="15" hidden="false" customHeight="false" outlineLevel="0" collapsed="false">
      <c r="A307" s="0" t="s">
        <v>40</v>
      </c>
      <c r="B307" s="0" t="n">
        <v>2014</v>
      </c>
      <c r="C307" s="0" t="s">
        <v>49</v>
      </c>
      <c r="D307" s="0" t="s">
        <v>44</v>
      </c>
      <c r="E307" s="0" t="n">
        <v>5</v>
      </c>
      <c r="F307" s="0" t="n">
        <v>14.7</v>
      </c>
      <c r="G307" s="0" t="n">
        <v>15</v>
      </c>
      <c r="H307" s="0" t="n">
        <v>7.2</v>
      </c>
      <c r="I307" s="0" t="n">
        <v>11.4</v>
      </c>
      <c r="J307" s="0" t="n">
        <v>49.1</v>
      </c>
      <c r="K307" s="0" t="n">
        <v>26.8070967599</v>
      </c>
      <c r="L307" s="0" t="n">
        <v>1.62534172859</v>
      </c>
      <c r="M307" s="0" t="n">
        <v>56.4242361235</v>
      </c>
      <c r="N307" s="0" t="n">
        <v>2.64257254405</v>
      </c>
      <c r="O307" s="0" t="n">
        <v>12.500752844</v>
      </c>
      <c r="P307" s="0" t="n">
        <f aca="false">INDEX($F307:$J307,IF(1&lt;$E307,1,1+1))</f>
        <v>14.7</v>
      </c>
      <c r="Q307" s="0" t="n">
        <f aca="false">INDEX($F307:$J307,IF(2&lt;$E307,2,2+1))</f>
        <v>15</v>
      </c>
      <c r="R307" s="0" t="n">
        <f aca="false">INDEX($F307:$J307,IF(3&lt;$E307,3,3+1))</f>
        <v>7.2</v>
      </c>
      <c r="S307" s="0" t="n">
        <f aca="false">INDEX($F307:$J307,IF(4&lt;$E307,4,4+1))</f>
        <v>11.4</v>
      </c>
      <c r="T307" s="0" t="n">
        <f aca="false">INDEX($K307:$O307,IF(1&lt;$E307,1,1+1))</f>
        <v>26.8070967599</v>
      </c>
      <c r="U307" s="0" t="n">
        <f aca="false">INDEX($K307:$O307,IF(2&lt;$E307,2,2+1))</f>
        <v>1.62534172859</v>
      </c>
      <c r="V307" s="0" t="n">
        <f aca="false">INDEX($K307:$O307,IF(3&lt;$E307,3,3+1))</f>
        <v>56.4242361235</v>
      </c>
      <c r="W307" s="0" t="n">
        <f aca="false">INDEX($K307:$O307,IF(4&lt;$E307,4,4+1))</f>
        <v>2.64257254405</v>
      </c>
      <c r="X307" s="0" t="n">
        <f aca="false">1+COUNTIF($P307:$S307,"&gt;"&amp;$P307)+(COUNTIF($P307:$S307,$P307)-1)/2</f>
        <v>2</v>
      </c>
      <c r="Y307" s="0" t="n">
        <f aca="false">1+COUNTIF($P307:$S307,"&gt;"&amp;$Q307)+(COUNTIF($P307:$S307,$Q307)-1)/2</f>
        <v>1</v>
      </c>
      <c r="Z307" s="0" t="n">
        <f aca="false">1+COUNTIF($P307:$S307,"&gt;"&amp;$R307)+(COUNTIF($P307:$S307,$R307)-1)/2</f>
        <v>4</v>
      </c>
      <c r="AA307" s="0" t="n">
        <f aca="false">1+COUNTIF($P307:$S307,"&gt;"&amp;$S307)+(COUNTIF($P307:$S307,$S307)-1)/2</f>
        <v>3</v>
      </c>
      <c r="AB307" s="0" t="n">
        <f aca="false">1+COUNTIF($T307:$W307,"&gt;"&amp;$T307)+(COUNTIF($T307:$W307,$T307)-1)/2</f>
        <v>2</v>
      </c>
      <c r="AC307" s="0" t="n">
        <f aca="false">1+COUNTIF($T307:$W307,"&gt;"&amp;$U307)+(COUNTIF($T307:$W307,$U307)-1)/2</f>
        <v>4</v>
      </c>
      <c r="AD307" s="0" t="n">
        <f aca="false">1+COUNTIF($T307:$W307,"&gt;"&amp;$V307)+(COUNTIF($T307:$W307,$V307)-1)/2</f>
        <v>1</v>
      </c>
      <c r="AE307" s="0" t="n">
        <f aca="false">1+COUNTIF($T307:$W307,"&gt;"&amp;$W307)+(COUNTIF($T307:$W307,$W307)-1)/2</f>
        <v>3</v>
      </c>
      <c r="AF307" s="0" t="n">
        <f aca="false">IFERROR(CORREL($P307:$S307,$T307:$W307),"")</f>
        <v>-0.716577594262027</v>
      </c>
      <c r="AG307" s="0" t="n">
        <f aca="false">IFERROR(CORREL($X307:$AA307,$AB307:$AE307),"")</f>
        <v>-0.8</v>
      </c>
      <c r="AH307" s="0" t="n">
        <f aca="false">IFERROR((SIGN($P307-$Q307)*SIGN($T307-$U307)+SIGN($P307-$R307)*SIGN($T307-$V307)+SIGN($P307-$S307)*SIGN($T307-$W307)+SIGN($Q307-$R307)*SIGN($U307-$V307)+SIGN($Q307-$S307)*SIGN($U307-$W307)+SIGN($R307-$S307)*SIGN($V307-$W307))/SQRT((6-(($P307=$Q307)*1+($P307=$R307)*1+($P307=$S307)*1+($Q307=$R307)*1+($Q307=$S307)*1+($R307=$S307)*1))*(6-(($T307=$U307)*1+($T307=$V307)*1+($T307=$W307)*1+($U307=$V307)*1+($U307=$W307)*1+($V307=$W307)*1))),"")</f>
        <v>-0.666666666666667</v>
      </c>
      <c r="AI307" s="0" t="n">
        <f aca="false">MATCH(MAX($K307:$O307),$K307:$O307,0)</f>
        <v>3</v>
      </c>
      <c r="AJ307" s="0" t="n">
        <f aca="false">IF(AI307&lt;&gt;$E307,1,0)</f>
        <v>1</v>
      </c>
      <c r="AK307" s="0" t="n">
        <f aca="false">IF(AJ307=1,INDEX($F307:$J307,AI307)/MAX($P307:$S307),"")</f>
        <v>0.48</v>
      </c>
      <c r="AL307" s="0" t="n">
        <f aca="false">IF(AJ307=1,1+COUNTIF($P307:$S307,"&gt;"&amp;INDEX($F307:$J307,AI307)),"")</f>
        <v>4</v>
      </c>
      <c r="AM307" s="0" t="n">
        <f aca="false">AVERAGE($P307:$S307)/MAX($P307:$S307)</f>
        <v>0.805</v>
      </c>
      <c r="AN307" s="0" t="n">
        <f aca="false">100-INDEX($F307:$J307,$E307)</f>
        <v>50.9</v>
      </c>
    </row>
    <row r="308" customFormat="false" ht="15" hidden="false" customHeight="false" outlineLevel="0" collapsed="false">
      <c r="A308" s="0" t="s">
        <v>40</v>
      </c>
      <c r="B308" s="0" t="n">
        <v>2014</v>
      </c>
      <c r="C308" s="0" t="s">
        <v>49</v>
      </c>
      <c r="D308" s="0" t="s">
        <v>45</v>
      </c>
      <c r="E308" s="0" t="n">
        <v>3</v>
      </c>
      <c r="F308" s="0" t="n">
        <v>7.5</v>
      </c>
      <c r="G308" s="0" t="n">
        <v>21.6</v>
      </c>
      <c r="H308" s="0" t="n">
        <v>41.2</v>
      </c>
      <c r="I308" s="0" t="n">
        <v>13.8</v>
      </c>
      <c r="J308" s="0" t="n">
        <v>13.2</v>
      </c>
      <c r="K308" s="0" t="n">
        <v>10.3337488223</v>
      </c>
      <c r="L308" s="0" t="n">
        <v>13.4244568876</v>
      </c>
      <c r="M308" s="0" t="n">
        <v>15.6836757706</v>
      </c>
      <c r="N308" s="0" t="n">
        <v>46.3337587176</v>
      </c>
      <c r="O308" s="0" t="n">
        <v>14.2243598018</v>
      </c>
      <c r="P308" s="0" t="n">
        <f aca="false">INDEX($F308:$J308,IF(1&lt;$E308,1,1+1))</f>
        <v>7.5</v>
      </c>
      <c r="Q308" s="0" t="n">
        <f aca="false">INDEX($F308:$J308,IF(2&lt;$E308,2,2+1))</f>
        <v>21.6</v>
      </c>
      <c r="R308" s="0" t="n">
        <f aca="false">INDEX($F308:$J308,IF(3&lt;$E308,3,3+1))</f>
        <v>13.8</v>
      </c>
      <c r="S308" s="0" t="n">
        <f aca="false">INDEX($F308:$J308,IF(4&lt;$E308,4,4+1))</f>
        <v>13.2</v>
      </c>
      <c r="T308" s="0" t="n">
        <f aca="false">INDEX($K308:$O308,IF(1&lt;$E308,1,1+1))</f>
        <v>10.3337488223</v>
      </c>
      <c r="U308" s="0" t="n">
        <f aca="false">INDEX($K308:$O308,IF(2&lt;$E308,2,2+1))</f>
        <v>13.4244568876</v>
      </c>
      <c r="V308" s="0" t="n">
        <f aca="false">INDEX($K308:$O308,IF(3&lt;$E308,3,3+1))</f>
        <v>46.3337587176</v>
      </c>
      <c r="W308" s="0" t="n">
        <f aca="false">INDEX($K308:$O308,IF(4&lt;$E308,4,4+1))</f>
        <v>14.2243598018</v>
      </c>
      <c r="X308" s="0" t="n">
        <f aca="false">1+COUNTIF($P308:$S308,"&gt;"&amp;$P308)+(COUNTIF($P308:$S308,$P308)-1)/2</f>
        <v>4</v>
      </c>
      <c r="Y308" s="0" t="n">
        <f aca="false">1+COUNTIF($P308:$S308,"&gt;"&amp;$Q308)+(COUNTIF($P308:$S308,$Q308)-1)/2</f>
        <v>1</v>
      </c>
      <c r="Z308" s="0" t="n">
        <f aca="false">1+COUNTIF($P308:$S308,"&gt;"&amp;$R308)+(COUNTIF($P308:$S308,$R308)-1)/2</f>
        <v>2</v>
      </c>
      <c r="AA308" s="0" t="n">
        <f aca="false">1+COUNTIF($P308:$S308,"&gt;"&amp;$S308)+(COUNTIF($P308:$S308,$S308)-1)/2</f>
        <v>3</v>
      </c>
      <c r="AB308" s="0" t="n">
        <f aca="false">1+COUNTIF($T308:$W308,"&gt;"&amp;$T308)+(COUNTIF($T308:$W308,$T308)-1)/2</f>
        <v>4</v>
      </c>
      <c r="AC308" s="0" t="n">
        <f aca="false">1+COUNTIF($T308:$W308,"&gt;"&amp;$U308)+(COUNTIF($T308:$W308,$U308)-1)/2</f>
        <v>3</v>
      </c>
      <c r="AD308" s="0" t="n">
        <f aca="false">1+COUNTIF($T308:$W308,"&gt;"&amp;$V308)+(COUNTIF($T308:$W308,$V308)-1)/2</f>
        <v>1</v>
      </c>
      <c r="AE308" s="0" t="n">
        <f aca="false">1+COUNTIF($T308:$W308,"&gt;"&amp;$W308)+(COUNTIF($T308:$W308,$W308)-1)/2</f>
        <v>2</v>
      </c>
      <c r="AF308" s="0" t="n">
        <f aca="false">IFERROR(CORREL($P308:$S308,$T308:$W308),"")</f>
        <v>0.0411552942046876</v>
      </c>
      <c r="AG308" s="0" t="n">
        <f aca="false">IFERROR(CORREL($X308:$AA308,$AB308:$AE308),"")</f>
        <v>0.4</v>
      </c>
      <c r="AH308" s="0" t="n">
        <f aca="false">IFERROR((SIGN($P308-$Q308)*SIGN($T308-$U308)+SIGN($P308-$R308)*SIGN($T308-$V308)+SIGN($P308-$S308)*SIGN($T308-$W308)+SIGN($Q308-$R308)*SIGN($U308-$V308)+SIGN($Q308-$S308)*SIGN($U308-$W308)+SIGN($R308-$S308)*SIGN($V308-$W308))/SQRT((6-(($P308=$Q308)*1+($P308=$R308)*1+($P308=$S308)*1+($Q308=$R308)*1+($Q308=$S308)*1+($R308=$S308)*1))*(6-(($T308=$U308)*1+($T308=$V308)*1+($T308=$W308)*1+($U308=$V308)*1+($U308=$W308)*1+($V308=$W308)*1))),"")</f>
        <v>0.333333333333333</v>
      </c>
      <c r="AI308" s="0" t="n">
        <f aca="false">MATCH(MAX($K308:$O308),$K308:$O308,0)</f>
        <v>4</v>
      </c>
      <c r="AJ308" s="0" t="n">
        <f aca="false">IF(AI308&lt;&gt;$E308,1,0)</f>
        <v>1</v>
      </c>
      <c r="AK308" s="0" t="n">
        <f aca="false">IF(AJ308=1,INDEX($F308:$J308,AI308)/MAX($P308:$S308),"")</f>
        <v>0.638888888888889</v>
      </c>
      <c r="AL308" s="0" t="n">
        <f aca="false">IF(AJ308=1,1+COUNTIF($P308:$S308,"&gt;"&amp;INDEX($F308:$J308,AI308)),"")</f>
        <v>2</v>
      </c>
      <c r="AM308" s="0" t="n">
        <f aca="false">AVERAGE($P308:$S308)/MAX($P308:$S308)</f>
        <v>0.649305555555556</v>
      </c>
      <c r="AN308" s="0" t="n">
        <f aca="false">100-INDEX($F308:$J308,$E308)</f>
        <v>58.8</v>
      </c>
    </row>
    <row r="309" customFormat="false" ht="15" hidden="false" customHeight="false" outlineLevel="0" collapsed="false">
      <c r="A309" s="0" t="s">
        <v>40</v>
      </c>
      <c r="B309" s="0" t="n">
        <v>2014</v>
      </c>
      <c r="C309" s="0" t="s">
        <v>50</v>
      </c>
      <c r="D309" s="0" t="s">
        <v>43</v>
      </c>
      <c r="E309" s="0" t="n">
        <v>2</v>
      </c>
      <c r="F309" s="0" t="n">
        <v>15.7</v>
      </c>
      <c r="G309" s="0" t="n">
        <v>42.5</v>
      </c>
      <c r="H309" s="0" t="n">
        <v>19.9</v>
      </c>
      <c r="I309" s="0" t="n">
        <v>9.6</v>
      </c>
      <c r="J309" s="0" t="n">
        <v>9.7</v>
      </c>
      <c r="K309" s="0" t="n">
        <v>49.4500727987</v>
      </c>
      <c r="L309" s="0" t="n">
        <v>0.0651541434611</v>
      </c>
      <c r="M309" s="0" t="n">
        <v>17.8098164122</v>
      </c>
      <c r="N309" s="0" t="n">
        <v>2.8984884561</v>
      </c>
      <c r="O309" s="0" t="n">
        <v>29.7764681896</v>
      </c>
      <c r="P309" s="0" t="n">
        <f aca="false">INDEX($F309:$J309,IF(1&lt;$E309,1,1+1))</f>
        <v>15.7</v>
      </c>
      <c r="Q309" s="0" t="n">
        <f aca="false">INDEX($F309:$J309,IF(2&lt;$E309,2,2+1))</f>
        <v>19.9</v>
      </c>
      <c r="R309" s="0" t="n">
        <f aca="false">INDEX($F309:$J309,IF(3&lt;$E309,3,3+1))</f>
        <v>9.6</v>
      </c>
      <c r="S309" s="0" t="n">
        <f aca="false">INDEX($F309:$J309,IF(4&lt;$E309,4,4+1))</f>
        <v>9.7</v>
      </c>
      <c r="T309" s="0" t="n">
        <f aca="false">INDEX($K309:$O309,IF(1&lt;$E309,1,1+1))</f>
        <v>49.4500727987</v>
      </c>
      <c r="U309" s="0" t="n">
        <f aca="false">INDEX($K309:$O309,IF(2&lt;$E309,2,2+1))</f>
        <v>17.8098164122</v>
      </c>
      <c r="V309" s="0" t="n">
        <f aca="false">INDEX($K309:$O309,IF(3&lt;$E309,3,3+1))</f>
        <v>2.8984884561</v>
      </c>
      <c r="W309" s="0" t="n">
        <f aca="false">INDEX($K309:$O309,IF(4&lt;$E309,4,4+1))</f>
        <v>29.7764681896</v>
      </c>
      <c r="X309" s="0" t="n">
        <f aca="false">1+COUNTIF($P309:$S309,"&gt;"&amp;$P309)+(COUNTIF($P309:$S309,$P309)-1)/2</f>
        <v>2</v>
      </c>
      <c r="Y309" s="0" t="n">
        <f aca="false">1+COUNTIF($P309:$S309,"&gt;"&amp;$Q309)+(COUNTIF($P309:$S309,$Q309)-1)/2</f>
        <v>1</v>
      </c>
      <c r="Z309" s="0" t="n">
        <f aca="false">1+COUNTIF($P309:$S309,"&gt;"&amp;$R309)+(COUNTIF($P309:$S309,$R309)-1)/2</f>
        <v>4</v>
      </c>
      <c r="AA309" s="0" t="n">
        <f aca="false">1+COUNTIF($P309:$S309,"&gt;"&amp;$S309)+(COUNTIF($P309:$S309,$S309)-1)/2</f>
        <v>3</v>
      </c>
      <c r="AB309" s="0" t="n">
        <f aca="false">1+COUNTIF($T309:$W309,"&gt;"&amp;$T309)+(COUNTIF($T309:$W309,$T309)-1)/2</f>
        <v>1</v>
      </c>
      <c r="AC309" s="0" t="n">
        <f aca="false">1+COUNTIF($T309:$W309,"&gt;"&amp;$U309)+(COUNTIF($T309:$W309,$U309)-1)/2</f>
        <v>3</v>
      </c>
      <c r="AD309" s="0" t="n">
        <f aca="false">1+COUNTIF($T309:$W309,"&gt;"&amp;$V309)+(COUNTIF($T309:$W309,$V309)-1)/2</f>
        <v>4</v>
      </c>
      <c r="AE309" s="0" t="n">
        <f aca="false">1+COUNTIF($T309:$W309,"&gt;"&amp;$W309)+(COUNTIF($T309:$W309,$W309)-1)/2</f>
        <v>2</v>
      </c>
      <c r="AF309" s="0" t="n">
        <f aca="false">IFERROR(CORREL($P309:$S309,$T309:$W309),"")</f>
        <v>0.25658671883604</v>
      </c>
      <c r="AG309" s="0" t="n">
        <f aca="false">IFERROR(CORREL($X309:$AA309,$AB309:$AE309),"")</f>
        <v>0.4</v>
      </c>
      <c r="AH309" s="0" t="n">
        <f aca="false">IFERROR((SIGN($P309-$Q309)*SIGN($T309-$U309)+SIGN($P309-$R309)*SIGN($T309-$V309)+SIGN($P309-$S309)*SIGN($T309-$W309)+SIGN($Q309-$R309)*SIGN($U309-$V309)+SIGN($Q309-$S309)*SIGN($U309-$W309)+SIGN($R309-$S309)*SIGN($V309-$W309))/SQRT((6-(($P309=$Q309)*1+($P309=$R309)*1+($P309=$S309)*1+($Q309=$R309)*1+($Q309=$S309)*1+($R309=$S309)*1))*(6-(($T309=$U309)*1+($T309=$V309)*1+($T309=$W309)*1+($U309=$V309)*1+($U309=$W309)*1+($V309=$W309)*1))),"")</f>
        <v>0.333333333333333</v>
      </c>
      <c r="AI309" s="0" t="n">
        <f aca="false">MATCH(MAX($K309:$O309),$K309:$O309,0)</f>
        <v>1</v>
      </c>
      <c r="AJ309" s="0" t="n">
        <f aca="false">IF(AI309&lt;&gt;$E309,1,0)</f>
        <v>1</v>
      </c>
      <c r="AK309" s="0" t="n">
        <f aca="false">IF(AJ309=1,INDEX($F309:$J309,AI309)/MAX($P309:$S309),"")</f>
        <v>0.78894472361809</v>
      </c>
      <c r="AL309" s="0" t="n">
        <f aca="false">IF(AJ309=1,1+COUNTIF($P309:$S309,"&gt;"&amp;INDEX($F309:$J309,AI309)),"")</f>
        <v>2</v>
      </c>
      <c r="AM309" s="0" t="n">
        <f aca="false">AVERAGE($P309:$S309)/MAX($P309:$S309)</f>
        <v>0.689698492462312</v>
      </c>
      <c r="AN309" s="0" t="n">
        <f aca="false">100-INDEX($F309:$J309,$E309)</f>
        <v>57.5</v>
      </c>
    </row>
    <row r="310" customFormat="false" ht="15" hidden="false" customHeight="false" outlineLevel="0" collapsed="false">
      <c r="A310" s="0" t="s">
        <v>40</v>
      </c>
      <c r="B310" s="0" t="n">
        <v>2014</v>
      </c>
      <c r="C310" s="0" t="s">
        <v>51</v>
      </c>
      <c r="D310" s="0" t="s">
        <v>54</v>
      </c>
      <c r="E310" s="0" t="n">
        <v>3</v>
      </c>
      <c r="F310" s="0" t="n">
        <v>7.1</v>
      </c>
      <c r="G310" s="0" t="n">
        <v>19.5</v>
      </c>
      <c r="H310" s="0" t="n">
        <v>59.4</v>
      </c>
      <c r="I310" s="0" t="n">
        <v>4.1</v>
      </c>
      <c r="J310" s="0" t="n">
        <v>7.4</v>
      </c>
      <c r="K310" s="0" t="n">
        <v>47.8859818369</v>
      </c>
      <c r="L310" s="0" t="n">
        <v>0.893061526931</v>
      </c>
      <c r="M310" s="0" t="n">
        <v>43.289087278</v>
      </c>
      <c r="N310" s="0" t="n">
        <v>2.83634195549</v>
      </c>
      <c r="O310" s="0" t="n">
        <v>5.09552740271</v>
      </c>
      <c r="P310" s="0" t="n">
        <f aca="false">INDEX($F310:$J310,IF(1&lt;$E310,1,1+1))</f>
        <v>7.1</v>
      </c>
      <c r="Q310" s="0" t="n">
        <f aca="false">INDEX($F310:$J310,IF(2&lt;$E310,2,2+1))</f>
        <v>19.5</v>
      </c>
      <c r="R310" s="0" t="n">
        <f aca="false">INDEX($F310:$J310,IF(3&lt;$E310,3,3+1))</f>
        <v>4.1</v>
      </c>
      <c r="S310" s="0" t="n">
        <f aca="false">INDEX($F310:$J310,IF(4&lt;$E310,4,4+1))</f>
        <v>7.4</v>
      </c>
      <c r="T310" s="0" t="n">
        <f aca="false">INDEX($K310:$O310,IF(1&lt;$E310,1,1+1))</f>
        <v>47.8859818369</v>
      </c>
      <c r="U310" s="0" t="n">
        <f aca="false">INDEX($K310:$O310,IF(2&lt;$E310,2,2+1))</f>
        <v>0.893061526931</v>
      </c>
      <c r="V310" s="0" t="n">
        <f aca="false">INDEX($K310:$O310,IF(3&lt;$E310,3,3+1))</f>
        <v>2.83634195549</v>
      </c>
      <c r="W310" s="0" t="n">
        <f aca="false">INDEX($K310:$O310,IF(4&lt;$E310,4,4+1))</f>
        <v>5.09552740271</v>
      </c>
      <c r="X310" s="0" t="n">
        <f aca="false">1+COUNTIF($P310:$S310,"&gt;"&amp;$P310)+(COUNTIF($P310:$S310,$P310)-1)/2</f>
        <v>3</v>
      </c>
      <c r="Y310" s="0" t="n">
        <f aca="false">1+COUNTIF($P310:$S310,"&gt;"&amp;$Q310)+(COUNTIF($P310:$S310,$Q310)-1)/2</f>
        <v>1</v>
      </c>
      <c r="Z310" s="0" t="n">
        <f aca="false">1+COUNTIF($P310:$S310,"&gt;"&amp;$R310)+(COUNTIF($P310:$S310,$R310)-1)/2</f>
        <v>4</v>
      </c>
      <c r="AA310" s="0" t="n">
        <f aca="false">1+COUNTIF($P310:$S310,"&gt;"&amp;$S310)+(COUNTIF($P310:$S310,$S310)-1)/2</f>
        <v>2</v>
      </c>
      <c r="AB310" s="0" t="n">
        <f aca="false">1+COUNTIF($T310:$W310,"&gt;"&amp;$T310)+(COUNTIF($T310:$W310,$T310)-1)/2</f>
        <v>1</v>
      </c>
      <c r="AC310" s="0" t="n">
        <f aca="false">1+COUNTIF($T310:$W310,"&gt;"&amp;$U310)+(COUNTIF($T310:$W310,$U310)-1)/2</f>
        <v>4</v>
      </c>
      <c r="AD310" s="0" t="n">
        <f aca="false">1+COUNTIF($T310:$W310,"&gt;"&amp;$V310)+(COUNTIF($T310:$W310,$V310)-1)/2</f>
        <v>3</v>
      </c>
      <c r="AE310" s="0" t="n">
        <f aca="false">1+COUNTIF($T310:$W310,"&gt;"&amp;$W310)+(COUNTIF($T310:$W310,$W310)-1)/2</f>
        <v>2</v>
      </c>
      <c r="AF310" s="0" t="n">
        <f aca="false">IFERROR(CORREL($P310:$S310,$T310:$W310),"")</f>
        <v>-0.28957847148117</v>
      </c>
      <c r="AG310" s="0" t="n">
        <f aca="false">IFERROR(CORREL($X310:$AA310,$AB310:$AE310),"")</f>
        <v>-0.4</v>
      </c>
      <c r="AH310" s="0" t="n">
        <f aca="false">IFERROR((SIGN($P310-$Q310)*SIGN($T310-$U310)+SIGN($P310-$R310)*SIGN($T310-$V310)+SIGN($P310-$S310)*SIGN($T310-$W310)+SIGN($Q310-$R310)*SIGN($U310-$V310)+SIGN($Q310-$S310)*SIGN($U310-$W310)+SIGN($R310-$S310)*SIGN($V310-$W310))/SQRT((6-(($P310=$Q310)*1+($P310=$R310)*1+($P310=$S310)*1+($Q310=$R310)*1+($Q310=$S310)*1+($R310=$S310)*1))*(6-(($T310=$U310)*1+($T310=$V310)*1+($T310=$W310)*1+($U310=$V310)*1+($U310=$W310)*1+($V310=$W310)*1))),"")</f>
        <v>-0.333333333333333</v>
      </c>
      <c r="AI310" s="0" t="n">
        <f aca="false">MATCH(MAX($K310:$O310),$K310:$O310,0)</f>
        <v>1</v>
      </c>
      <c r="AJ310" s="0" t="n">
        <f aca="false">IF(AI310&lt;&gt;$E310,1,0)</f>
        <v>1</v>
      </c>
      <c r="AK310" s="0" t="n">
        <f aca="false">IF(AJ310=1,INDEX($F310:$J310,AI310)/MAX($P310:$S310),"")</f>
        <v>0.364102564102564</v>
      </c>
      <c r="AL310" s="0" t="n">
        <f aca="false">IF(AJ310=1,1+COUNTIF($P310:$S310,"&gt;"&amp;INDEX($F310:$J310,AI310)),"")</f>
        <v>3</v>
      </c>
      <c r="AM310" s="0" t="n">
        <f aca="false">AVERAGE($P310:$S310)/MAX($P310:$S310)</f>
        <v>0.488461538461539</v>
      </c>
      <c r="AN310" s="0" t="n">
        <f aca="false">100-INDEX($F310:$J310,$E310)</f>
        <v>40.6</v>
      </c>
    </row>
    <row r="311" customFormat="false" ht="15" hidden="false" customHeight="false" outlineLevel="0" collapsed="false">
      <c r="A311" s="0" t="s">
        <v>40</v>
      </c>
      <c r="B311" s="0" t="n">
        <v>2014</v>
      </c>
      <c r="C311" s="0" t="s">
        <v>51</v>
      </c>
      <c r="D311" s="0" t="s">
        <v>42</v>
      </c>
      <c r="E311" s="0" t="n">
        <v>3</v>
      </c>
      <c r="F311" s="0" t="n">
        <v>15.5</v>
      </c>
      <c r="G311" s="0" t="n">
        <v>11.6</v>
      </c>
      <c r="H311" s="0" t="n">
        <v>47.3</v>
      </c>
      <c r="I311" s="0" t="n">
        <v>9.6</v>
      </c>
      <c r="J311" s="0" t="n">
        <v>13.4</v>
      </c>
      <c r="K311" s="0" t="n">
        <v>5.77129807069</v>
      </c>
      <c r="L311" s="0" t="n">
        <v>0.610386874247</v>
      </c>
      <c r="M311" s="0" t="n">
        <v>88.6651860776</v>
      </c>
      <c r="N311" s="0" t="n">
        <v>2.78928595155</v>
      </c>
      <c r="O311" s="0" t="n">
        <v>2.16384302591</v>
      </c>
      <c r="P311" s="0" t="n">
        <f aca="false">INDEX($F311:$J311,IF(1&lt;$E311,1,1+1))</f>
        <v>15.5</v>
      </c>
      <c r="Q311" s="0" t="n">
        <f aca="false">INDEX($F311:$J311,IF(2&lt;$E311,2,2+1))</f>
        <v>11.6</v>
      </c>
      <c r="R311" s="0" t="n">
        <f aca="false">INDEX($F311:$J311,IF(3&lt;$E311,3,3+1))</f>
        <v>9.6</v>
      </c>
      <c r="S311" s="0" t="n">
        <f aca="false">INDEX($F311:$J311,IF(4&lt;$E311,4,4+1))</f>
        <v>13.4</v>
      </c>
      <c r="T311" s="0" t="n">
        <f aca="false">INDEX($K311:$O311,IF(1&lt;$E311,1,1+1))</f>
        <v>5.77129807069</v>
      </c>
      <c r="U311" s="0" t="n">
        <f aca="false">INDEX($K311:$O311,IF(2&lt;$E311,2,2+1))</f>
        <v>0.610386874247</v>
      </c>
      <c r="V311" s="0" t="n">
        <f aca="false">INDEX($K311:$O311,IF(3&lt;$E311,3,3+1))</f>
        <v>2.78928595155</v>
      </c>
      <c r="W311" s="0" t="n">
        <f aca="false">INDEX($K311:$O311,IF(4&lt;$E311,4,4+1))</f>
        <v>2.16384302591</v>
      </c>
      <c r="X311" s="0" t="n">
        <f aca="false">1+COUNTIF($P311:$S311,"&gt;"&amp;$P311)+(COUNTIF($P311:$S311,$P311)-1)/2</f>
        <v>1</v>
      </c>
      <c r="Y311" s="0" t="n">
        <f aca="false">1+COUNTIF($P311:$S311,"&gt;"&amp;$Q311)+(COUNTIF($P311:$S311,$Q311)-1)/2</f>
        <v>3</v>
      </c>
      <c r="Z311" s="0" t="n">
        <f aca="false">1+COUNTIF($P311:$S311,"&gt;"&amp;$R311)+(COUNTIF($P311:$S311,$R311)-1)/2</f>
        <v>4</v>
      </c>
      <c r="AA311" s="0" t="n">
        <f aca="false">1+COUNTIF($P311:$S311,"&gt;"&amp;$S311)+(COUNTIF($P311:$S311,$S311)-1)/2</f>
        <v>2</v>
      </c>
      <c r="AB311" s="0" t="n">
        <f aca="false">1+COUNTIF($T311:$W311,"&gt;"&amp;$T311)+(COUNTIF($T311:$W311,$T311)-1)/2</f>
        <v>1</v>
      </c>
      <c r="AC311" s="0" t="n">
        <f aca="false">1+COUNTIF($T311:$W311,"&gt;"&amp;$U311)+(COUNTIF($T311:$W311,$U311)-1)/2</f>
        <v>4</v>
      </c>
      <c r="AD311" s="0" t="n">
        <f aca="false">1+COUNTIF($T311:$W311,"&gt;"&amp;$V311)+(COUNTIF($T311:$W311,$V311)-1)/2</f>
        <v>2</v>
      </c>
      <c r="AE311" s="0" t="n">
        <f aca="false">1+COUNTIF($T311:$W311,"&gt;"&amp;$W311)+(COUNTIF($T311:$W311,$W311)-1)/2</f>
        <v>3</v>
      </c>
      <c r="AF311" s="0" t="n">
        <f aca="false">IFERROR(CORREL($P311:$S311,$T311:$W311),"")</f>
        <v>0.632983535756833</v>
      </c>
      <c r="AG311" s="0" t="n">
        <f aca="false">IFERROR(CORREL($X311:$AA311,$AB311:$AE311),"")</f>
        <v>0.4</v>
      </c>
      <c r="AH311" s="0" t="n">
        <f aca="false">IFERROR((SIGN($P311-$Q311)*SIGN($T311-$U311)+SIGN($P311-$R311)*SIGN($T311-$V311)+SIGN($P311-$S311)*SIGN($T311-$W311)+SIGN($Q311-$R311)*SIGN($U311-$V311)+SIGN($Q311-$S311)*SIGN($U311-$W311)+SIGN($R311-$S311)*SIGN($V311-$W311))/SQRT((6-(($P311=$Q311)*1+($P311=$R311)*1+($P311=$S311)*1+($Q311=$R311)*1+($Q311=$S311)*1+($R311=$S311)*1))*(6-(($T311=$U311)*1+($T311=$V311)*1+($T311=$W311)*1+($U311=$V311)*1+($U311=$W311)*1+($V311=$W311)*1))),"")</f>
        <v>0.333333333333333</v>
      </c>
      <c r="AI311" s="0" t="n">
        <f aca="false">MATCH(MAX($K311:$O311),$K311:$O311,0)</f>
        <v>3</v>
      </c>
      <c r="AJ311" s="0" t="n">
        <f aca="false">IF(AI311&lt;&gt;$E311,1,0)</f>
        <v>0</v>
      </c>
      <c r="AK311" s="0" t="str">
        <f aca="false">IF(AJ311=1,INDEX($F311:$J311,AI311)/MAX($P311:$S311),"")</f>
        <v/>
      </c>
      <c r="AL311" s="0" t="str">
        <f aca="false">IF(AJ311=1,1+COUNTIF($P311:$S311,"&gt;"&amp;INDEX($F311:$J311,AI311)),"")</f>
        <v/>
      </c>
      <c r="AM311" s="0" t="n">
        <f aca="false">AVERAGE($P311:$S311)/MAX($P311:$S311)</f>
        <v>0.808064516129032</v>
      </c>
      <c r="AN311" s="0" t="n">
        <f aca="false">100-INDEX($F311:$J311,$E311)</f>
        <v>52.7</v>
      </c>
    </row>
    <row r="312" customFormat="false" ht="15" hidden="false" customHeight="false" outlineLevel="0" collapsed="false">
      <c r="A312" s="0" t="s">
        <v>40</v>
      </c>
      <c r="B312" s="0" t="n">
        <v>2014</v>
      </c>
      <c r="C312" s="0" t="s">
        <v>51</v>
      </c>
      <c r="D312" s="0" t="s">
        <v>43</v>
      </c>
      <c r="E312" s="0" t="n">
        <v>2</v>
      </c>
      <c r="F312" s="0" t="n">
        <v>8.7</v>
      </c>
      <c r="G312" s="0" t="n">
        <v>44.9</v>
      </c>
      <c r="H312" s="0" t="n">
        <v>15.6</v>
      </c>
      <c r="I312" s="0" t="n">
        <v>15.7</v>
      </c>
      <c r="J312" s="0" t="n">
        <v>12.5</v>
      </c>
      <c r="K312" s="0" t="n">
        <v>21.0575228175</v>
      </c>
      <c r="L312" s="0" t="n">
        <v>22.9745360738</v>
      </c>
      <c r="M312" s="0" t="n">
        <v>9.90573361313</v>
      </c>
      <c r="N312" s="0" t="n">
        <v>31.8509351158</v>
      </c>
      <c r="O312" s="0" t="n">
        <v>14.2112723798</v>
      </c>
      <c r="P312" s="0" t="n">
        <f aca="false">INDEX($F312:$J312,IF(1&lt;$E312,1,1+1))</f>
        <v>8.7</v>
      </c>
      <c r="Q312" s="0" t="n">
        <f aca="false">INDEX($F312:$J312,IF(2&lt;$E312,2,2+1))</f>
        <v>15.6</v>
      </c>
      <c r="R312" s="0" t="n">
        <f aca="false">INDEX($F312:$J312,IF(3&lt;$E312,3,3+1))</f>
        <v>15.7</v>
      </c>
      <c r="S312" s="0" t="n">
        <f aca="false">INDEX($F312:$J312,IF(4&lt;$E312,4,4+1))</f>
        <v>12.5</v>
      </c>
      <c r="T312" s="0" t="n">
        <f aca="false">INDEX($K312:$O312,IF(1&lt;$E312,1,1+1))</f>
        <v>21.0575228175</v>
      </c>
      <c r="U312" s="0" t="n">
        <f aca="false">INDEX($K312:$O312,IF(2&lt;$E312,2,2+1))</f>
        <v>9.90573361313</v>
      </c>
      <c r="V312" s="0" t="n">
        <f aca="false">INDEX($K312:$O312,IF(3&lt;$E312,3,3+1))</f>
        <v>31.8509351158</v>
      </c>
      <c r="W312" s="0" t="n">
        <f aca="false">INDEX($K312:$O312,IF(4&lt;$E312,4,4+1))</f>
        <v>14.2112723798</v>
      </c>
      <c r="X312" s="0" t="n">
        <f aca="false">1+COUNTIF($P312:$S312,"&gt;"&amp;$P312)+(COUNTIF($P312:$S312,$P312)-1)/2</f>
        <v>4</v>
      </c>
      <c r="Y312" s="0" t="n">
        <f aca="false">1+COUNTIF($P312:$S312,"&gt;"&amp;$Q312)+(COUNTIF($P312:$S312,$Q312)-1)/2</f>
        <v>2</v>
      </c>
      <c r="Z312" s="0" t="n">
        <f aca="false">1+COUNTIF($P312:$S312,"&gt;"&amp;$R312)+(COUNTIF($P312:$S312,$R312)-1)/2</f>
        <v>1</v>
      </c>
      <c r="AA312" s="0" t="n">
        <f aca="false">1+COUNTIF($P312:$S312,"&gt;"&amp;$S312)+(COUNTIF($P312:$S312,$S312)-1)/2</f>
        <v>3</v>
      </c>
      <c r="AB312" s="0" t="n">
        <f aca="false">1+COUNTIF($T312:$W312,"&gt;"&amp;$T312)+(COUNTIF($T312:$W312,$T312)-1)/2</f>
        <v>2</v>
      </c>
      <c r="AC312" s="0" t="n">
        <f aca="false">1+COUNTIF($T312:$W312,"&gt;"&amp;$U312)+(COUNTIF($T312:$W312,$U312)-1)/2</f>
        <v>4</v>
      </c>
      <c r="AD312" s="0" t="n">
        <f aca="false">1+COUNTIF($T312:$W312,"&gt;"&amp;$V312)+(COUNTIF($T312:$W312,$V312)-1)/2</f>
        <v>1</v>
      </c>
      <c r="AE312" s="0" t="n">
        <f aca="false">1+COUNTIF($T312:$W312,"&gt;"&amp;$W312)+(COUNTIF($T312:$W312,$W312)-1)/2</f>
        <v>3</v>
      </c>
      <c r="AF312" s="0" t="n">
        <f aca="false">IFERROR(CORREL($P312:$S312,$T312:$W312),"")</f>
        <v>0.0471521471344901</v>
      </c>
      <c r="AG312" s="0" t="n">
        <f aca="false">IFERROR(CORREL($X312:$AA312,$AB312:$AE312),"")</f>
        <v>0.2</v>
      </c>
      <c r="AH312" s="0" t="n">
        <f aca="false">IFERROR((SIGN($P312-$Q312)*SIGN($T312-$U312)+SIGN($P312-$R312)*SIGN($T312-$V312)+SIGN($P312-$S312)*SIGN($T312-$W312)+SIGN($Q312-$R312)*SIGN($U312-$V312)+SIGN($Q312-$S312)*SIGN($U312-$W312)+SIGN($R312-$S312)*SIGN($V312-$W312))/SQRT((6-(($P312=$Q312)*1+($P312=$R312)*1+($P312=$S312)*1+($Q312=$R312)*1+($Q312=$S312)*1+($R312=$S312)*1))*(6-(($T312=$U312)*1+($T312=$V312)*1+($T312=$W312)*1+($U312=$V312)*1+($U312=$W312)*1+($V312=$W312)*1))),"")</f>
        <v>0</v>
      </c>
      <c r="AI312" s="0" t="n">
        <f aca="false">MATCH(MAX($K312:$O312),$K312:$O312,0)</f>
        <v>4</v>
      </c>
      <c r="AJ312" s="0" t="n">
        <f aca="false">IF(AI312&lt;&gt;$E312,1,0)</f>
        <v>1</v>
      </c>
      <c r="AK312" s="0" t="n">
        <f aca="false">IF(AJ312=1,INDEX($F312:$J312,AI312)/MAX($P312:$S312),"")</f>
        <v>1</v>
      </c>
      <c r="AL312" s="0" t="n">
        <f aca="false">IF(AJ312=1,1+COUNTIF($P312:$S312,"&gt;"&amp;INDEX($F312:$J312,AI312)),"")</f>
        <v>1</v>
      </c>
      <c r="AM312" s="0" t="n">
        <f aca="false">AVERAGE($P312:$S312)/MAX($P312:$S312)</f>
        <v>0.835987261146497</v>
      </c>
      <c r="AN312" s="0" t="n">
        <f aca="false">100-INDEX($F312:$J312,$E312)</f>
        <v>55.1</v>
      </c>
    </row>
    <row r="313" customFormat="false" ht="15" hidden="false" customHeight="false" outlineLevel="0" collapsed="false">
      <c r="A313" s="0" t="s">
        <v>40</v>
      </c>
      <c r="B313" s="0" t="n">
        <v>2014</v>
      </c>
      <c r="C313" s="0" t="s">
        <v>52</v>
      </c>
      <c r="D313" s="0" t="s">
        <v>54</v>
      </c>
      <c r="E313" s="0" t="n">
        <v>1</v>
      </c>
      <c r="F313" s="0" t="n">
        <v>38.7</v>
      </c>
      <c r="G313" s="0" t="n">
        <v>17.9</v>
      </c>
      <c r="H313" s="0" t="n">
        <v>15</v>
      </c>
      <c r="I313" s="0" t="n">
        <v>11.2</v>
      </c>
      <c r="J313" s="0" t="n">
        <v>15.3</v>
      </c>
      <c r="K313" s="0" t="n">
        <v>29.478854814</v>
      </c>
      <c r="L313" s="0" t="n">
        <v>29.2853772696</v>
      </c>
      <c r="M313" s="0" t="n">
        <v>9.23689888368</v>
      </c>
      <c r="N313" s="0" t="n">
        <v>26.1603252903</v>
      </c>
      <c r="O313" s="0" t="n">
        <v>5.83854374246</v>
      </c>
      <c r="P313" s="0" t="n">
        <f aca="false">INDEX($F313:$J313,IF(1&lt;$E313,1,1+1))</f>
        <v>17.9</v>
      </c>
      <c r="Q313" s="0" t="n">
        <f aca="false">INDEX($F313:$J313,IF(2&lt;$E313,2,2+1))</f>
        <v>15</v>
      </c>
      <c r="R313" s="0" t="n">
        <f aca="false">INDEX($F313:$J313,IF(3&lt;$E313,3,3+1))</f>
        <v>11.2</v>
      </c>
      <c r="S313" s="0" t="n">
        <f aca="false">INDEX($F313:$J313,IF(4&lt;$E313,4,4+1))</f>
        <v>15.3</v>
      </c>
      <c r="T313" s="0" t="n">
        <f aca="false">INDEX($K313:$O313,IF(1&lt;$E313,1,1+1))</f>
        <v>29.2853772696</v>
      </c>
      <c r="U313" s="0" t="n">
        <f aca="false">INDEX($K313:$O313,IF(2&lt;$E313,2,2+1))</f>
        <v>9.23689888368</v>
      </c>
      <c r="V313" s="0" t="n">
        <f aca="false">INDEX($K313:$O313,IF(3&lt;$E313,3,3+1))</f>
        <v>26.1603252903</v>
      </c>
      <c r="W313" s="0" t="n">
        <f aca="false">INDEX($K313:$O313,IF(4&lt;$E313,4,4+1))</f>
        <v>5.83854374246</v>
      </c>
      <c r="X313" s="0" t="n">
        <f aca="false">1+COUNTIF($P313:$S313,"&gt;"&amp;$P313)+(COUNTIF($P313:$S313,$P313)-1)/2</f>
        <v>1</v>
      </c>
      <c r="Y313" s="0" t="n">
        <f aca="false">1+COUNTIF($P313:$S313,"&gt;"&amp;$Q313)+(COUNTIF($P313:$S313,$Q313)-1)/2</f>
        <v>3</v>
      </c>
      <c r="Z313" s="0" t="n">
        <f aca="false">1+COUNTIF($P313:$S313,"&gt;"&amp;$R313)+(COUNTIF($P313:$S313,$R313)-1)/2</f>
        <v>4</v>
      </c>
      <c r="AA313" s="0" t="n">
        <f aca="false">1+COUNTIF($P313:$S313,"&gt;"&amp;$S313)+(COUNTIF($P313:$S313,$S313)-1)/2</f>
        <v>2</v>
      </c>
      <c r="AB313" s="0" t="n">
        <f aca="false">1+COUNTIF($T313:$W313,"&gt;"&amp;$T313)+(COUNTIF($T313:$W313,$T313)-1)/2</f>
        <v>1</v>
      </c>
      <c r="AC313" s="0" t="n">
        <f aca="false">1+COUNTIF($T313:$W313,"&gt;"&amp;$U313)+(COUNTIF($T313:$W313,$U313)-1)/2</f>
        <v>3</v>
      </c>
      <c r="AD313" s="0" t="n">
        <f aca="false">1+COUNTIF($T313:$W313,"&gt;"&amp;$V313)+(COUNTIF($T313:$W313,$V313)-1)/2</f>
        <v>2</v>
      </c>
      <c r="AE313" s="0" t="n">
        <f aca="false">1+COUNTIF($T313:$W313,"&gt;"&amp;$W313)+(COUNTIF($T313:$W313,$W313)-1)/2</f>
        <v>4</v>
      </c>
      <c r="AF313" s="0" t="n">
        <f aca="false">IFERROR(CORREL($P313:$S313,$T313:$W313),"")</f>
        <v>-0.022016180127295</v>
      </c>
      <c r="AG313" s="0" t="n">
        <f aca="false">IFERROR(CORREL($X313:$AA313,$AB313:$AE313),"")</f>
        <v>0.2</v>
      </c>
      <c r="AH313" s="0" t="n">
        <f aca="false">IFERROR((SIGN($P313-$Q313)*SIGN($T313-$U313)+SIGN($P313-$R313)*SIGN($T313-$V313)+SIGN($P313-$S313)*SIGN($T313-$W313)+SIGN($Q313-$R313)*SIGN($U313-$V313)+SIGN($Q313-$S313)*SIGN($U313-$W313)+SIGN($R313-$S313)*SIGN($V313-$W313))/SQRT((6-(($P313=$Q313)*1+($P313=$R313)*1+($P313=$S313)*1+($Q313=$R313)*1+($Q313=$S313)*1+($R313=$S313)*1))*(6-(($T313=$U313)*1+($T313=$V313)*1+($T313=$W313)*1+($U313=$V313)*1+($U313=$W313)*1+($V313=$W313)*1))),"")</f>
        <v>0</v>
      </c>
      <c r="AI313" s="0" t="n">
        <f aca="false">MATCH(MAX($K313:$O313),$K313:$O313,0)</f>
        <v>1</v>
      </c>
      <c r="AJ313" s="0" t="n">
        <f aca="false">IF(AI313&lt;&gt;$E313,1,0)</f>
        <v>0</v>
      </c>
      <c r="AK313" s="0" t="str">
        <f aca="false">IF(AJ313=1,INDEX($F313:$J313,AI313)/MAX($P313:$S313),"")</f>
        <v/>
      </c>
      <c r="AL313" s="0" t="str">
        <f aca="false">IF(AJ313=1,1+COUNTIF($P313:$S313,"&gt;"&amp;INDEX($F313:$J313,AI313)),"")</f>
        <v/>
      </c>
      <c r="AM313" s="0" t="n">
        <f aca="false">AVERAGE($P313:$S313)/MAX($P313:$S313)</f>
        <v>0.829608938547486</v>
      </c>
      <c r="AN313" s="0" t="n">
        <f aca="false">100-INDEX($F313:$J313,$E313)</f>
        <v>61.3</v>
      </c>
    </row>
    <row r="314" customFormat="false" ht="15" hidden="false" customHeight="false" outlineLevel="0" collapsed="false">
      <c r="A314" s="0" t="s">
        <v>40</v>
      </c>
      <c r="B314" s="0" t="n">
        <v>2014</v>
      </c>
      <c r="C314" s="0" t="s">
        <v>52</v>
      </c>
      <c r="D314" s="0" t="s">
        <v>42</v>
      </c>
      <c r="E314" s="0" t="n">
        <v>5</v>
      </c>
      <c r="F314" s="0" t="n">
        <v>16.9</v>
      </c>
      <c r="G314" s="0" t="n">
        <v>7.1</v>
      </c>
      <c r="H314" s="0" t="n">
        <v>12.4</v>
      </c>
      <c r="I314" s="0" t="n">
        <v>7.6</v>
      </c>
      <c r="J314" s="0" t="n">
        <v>54.2</v>
      </c>
      <c r="K314" s="0" t="n">
        <v>11.8083169108</v>
      </c>
      <c r="L314" s="0" t="n">
        <v>4.7953344551</v>
      </c>
      <c r="M314" s="0" t="n">
        <v>21.2859775375</v>
      </c>
      <c r="N314" s="0" t="n">
        <v>14.5155913393</v>
      </c>
      <c r="O314" s="0" t="n">
        <v>47.5947797573</v>
      </c>
      <c r="P314" s="0" t="n">
        <f aca="false">INDEX($F314:$J314,IF(1&lt;$E314,1,1+1))</f>
        <v>16.9</v>
      </c>
      <c r="Q314" s="0" t="n">
        <f aca="false">INDEX($F314:$J314,IF(2&lt;$E314,2,2+1))</f>
        <v>7.1</v>
      </c>
      <c r="R314" s="0" t="n">
        <f aca="false">INDEX($F314:$J314,IF(3&lt;$E314,3,3+1))</f>
        <v>12.4</v>
      </c>
      <c r="S314" s="0" t="n">
        <f aca="false">INDEX($F314:$J314,IF(4&lt;$E314,4,4+1))</f>
        <v>7.6</v>
      </c>
      <c r="T314" s="0" t="n">
        <f aca="false">INDEX($K314:$O314,IF(1&lt;$E314,1,1+1))</f>
        <v>11.8083169108</v>
      </c>
      <c r="U314" s="0" t="n">
        <f aca="false">INDEX($K314:$O314,IF(2&lt;$E314,2,2+1))</f>
        <v>4.7953344551</v>
      </c>
      <c r="V314" s="0" t="n">
        <f aca="false">INDEX($K314:$O314,IF(3&lt;$E314,3,3+1))</f>
        <v>21.2859775375</v>
      </c>
      <c r="W314" s="0" t="n">
        <f aca="false">INDEX($K314:$O314,IF(4&lt;$E314,4,4+1))</f>
        <v>14.5155913393</v>
      </c>
      <c r="X314" s="0" t="n">
        <f aca="false">1+COUNTIF($P314:$S314,"&gt;"&amp;$P314)+(COUNTIF($P314:$S314,$P314)-1)/2</f>
        <v>1</v>
      </c>
      <c r="Y314" s="0" t="n">
        <f aca="false">1+COUNTIF($P314:$S314,"&gt;"&amp;$Q314)+(COUNTIF($P314:$S314,$Q314)-1)/2</f>
        <v>4</v>
      </c>
      <c r="Z314" s="0" t="n">
        <f aca="false">1+COUNTIF($P314:$S314,"&gt;"&amp;$R314)+(COUNTIF($P314:$S314,$R314)-1)/2</f>
        <v>2</v>
      </c>
      <c r="AA314" s="0" t="n">
        <f aca="false">1+COUNTIF($P314:$S314,"&gt;"&amp;$S314)+(COUNTIF($P314:$S314,$S314)-1)/2</f>
        <v>3</v>
      </c>
      <c r="AB314" s="0" t="n">
        <f aca="false">1+COUNTIF($T314:$W314,"&gt;"&amp;$T314)+(COUNTIF($T314:$W314,$T314)-1)/2</f>
        <v>3</v>
      </c>
      <c r="AC314" s="0" t="n">
        <f aca="false">1+COUNTIF($T314:$W314,"&gt;"&amp;$U314)+(COUNTIF($T314:$W314,$U314)-1)/2</f>
        <v>4</v>
      </c>
      <c r="AD314" s="0" t="n">
        <f aca="false">1+COUNTIF($T314:$W314,"&gt;"&amp;$V314)+(COUNTIF($T314:$W314,$V314)-1)/2</f>
        <v>1</v>
      </c>
      <c r="AE314" s="0" t="n">
        <f aca="false">1+COUNTIF($T314:$W314,"&gt;"&amp;$W314)+(COUNTIF($T314:$W314,$W314)-1)/2</f>
        <v>2</v>
      </c>
      <c r="AF314" s="0" t="n">
        <f aca="false">IFERROR(CORREL($P314:$S314,$T314:$W314),"")</f>
        <v>0.333493771770548</v>
      </c>
      <c r="AG314" s="0" t="n">
        <f aca="false">IFERROR(CORREL($X314:$AA314,$AB314:$AE314),"")</f>
        <v>0.4</v>
      </c>
      <c r="AH314" s="0" t="n">
        <f aca="false">IFERROR((SIGN($P314-$Q314)*SIGN($T314-$U314)+SIGN($P314-$R314)*SIGN($T314-$V314)+SIGN($P314-$S314)*SIGN($T314-$W314)+SIGN($Q314-$R314)*SIGN($U314-$V314)+SIGN($Q314-$S314)*SIGN($U314-$W314)+SIGN($R314-$S314)*SIGN($V314-$W314))/SQRT((6-(($P314=$Q314)*1+($P314=$R314)*1+($P314=$S314)*1+($Q314=$R314)*1+($Q314=$S314)*1+($R314=$S314)*1))*(6-(($T314=$U314)*1+($T314=$V314)*1+($T314=$W314)*1+($U314=$V314)*1+($U314=$W314)*1+($V314=$W314)*1))),"")</f>
        <v>0.333333333333333</v>
      </c>
      <c r="AI314" s="0" t="n">
        <f aca="false">MATCH(MAX($K314:$O314),$K314:$O314,0)</f>
        <v>5</v>
      </c>
      <c r="AJ314" s="0" t="n">
        <f aca="false">IF(AI314&lt;&gt;$E314,1,0)</f>
        <v>0</v>
      </c>
      <c r="AK314" s="0" t="str">
        <f aca="false">IF(AJ314=1,INDEX($F314:$J314,AI314)/MAX($P314:$S314),"")</f>
        <v/>
      </c>
      <c r="AL314" s="0" t="str">
        <f aca="false">IF(AJ314=1,1+COUNTIF($P314:$S314,"&gt;"&amp;INDEX($F314:$J314,AI314)),"")</f>
        <v/>
      </c>
      <c r="AM314" s="0" t="n">
        <f aca="false">AVERAGE($P314:$S314)/MAX($P314:$S314)</f>
        <v>0.650887573964497</v>
      </c>
      <c r="AN314" s="0" t="n">
        <f aca="false">100-INDEX($F314:$J314,$E314)</f>
        <v>45.8</v>
      </c>
    </row>
    <row r="315" customFormat="false" ht="15" hidden="false" customHeight="false" outlineLevel="0" collapsed="false">
      <c r="A315" s="0" t="s">
        <v>40</v>
      </c>
      <c r="B315" s="0" t="n">
        <v>2014</v>
      </c>
      <c r="C315" s="0" t="s">
        <v>52</v>
      </c>
      <c r="D315" s="0" t="s">
        <v>43</v>
      </c>
      <c r="E315" s="0" t="n">
        <v>3</v>
      </c>
      <c r="F315" s="0" t="n">
        <v>9.9</v>
      </c>
      <c r="G315" s="0" t="n">
        <v>10.9</v>
      </c>
      <c r="H315" s="0" t="n">
        <v>57.7</v>
      </c>
      <c r="I315" s="0" t="n">
        <v>9.6</v>
      </c>
      <c r="J315" s="0" t="n">
        <v>10</v>
      </c>
      <c r="K315" s="0" t="n">
        <v>19.2538311807</v>
      </c>
      <c r="L315" s="0" t="n">
        <v>23.4411856991</v>
      </c>
      <c r="M315" s="0" t="n">
        <v>43.0569326318</v>
      </c>
      <c r="N315" s="0" t="n">
        <v>10.0698734011</v>
      </c>
      <c r="O315" s="0" t="n">
        <v>4.17817708736</v>
      </c>
      <c r="P315" s="0" t="n">
        <f aca="false">INDEX($F315:$J315,IF(1&lt;$E315,1,1+1))</f>
        <v>9.9</v>
      </c>
      <c r="Q315" s="0" t="n">
        <f aca="false">INDEX($F315:$J315,IF(2&lt;$E315,2,2+1))</f>
        <v>10.9</v>
      </c>
      <c r="R315" s="0" t="n">
        <f aca="false">INDEX($F315:$J315,IF(3&lt;$E315,3,3+1))</f>
        <v>9.6</v>
      </c>
      <c r="S315" s="0" t="n">
        <f aca="false">INDEX($F315:$J315,IF(4&lt;$E315,4,4+1))</f>
        <v>10</v>
      </c>
      <c r="T315" s="0" t="n">
        <f aca="false">INDEX($K315:$O315,IF(1&lt;$E315,1,1+1))</f>
        <v>19.2538311807</v>
      </c>
      <c r="U315" s="0" t="n">
        <f aca="false">INDEX($K315:$O315,IF(2&lt;$E315,2,2+1))</f>
        <v>23.4411856991</v>
      </c>
      <c r="V315" s="0" t="n">
        <f aca="false">INDEX($K315:$O315,IF(3&lt;$E315,3,3+1))</f>
        <v>10.0698734011</v>
      </c>
      <c r="W315" s="0" t="n">
        <f aca="false">INDEX($K315:$O315,IF(4&lt;$E315,4,4+1))</f>
        <v>4.17817708736</v>
      </c>
      <c r="X315" s="0" t="n">
        <f aca="false">1+COUNTIF($P315:$S315,"&gt;"&amp;$P315)+(COUNTIF($P315:$S315,$P315)-1)/2</f>
        <v>3</v>
      </c>
      <c r="Y315" s="0" t="n">
        <f aca="false">1+COUNTIF($P315:$S315,"&gt;"&amp;$Q315)+(COUNTIF($P315:$S315,$Q315)-1)/2</f>
        <v>1</v>
      </c>
      <c r="Z315" s="0" t="n">
        <f aca="false">1+COUNTIF($P315:$S315,"&gt;"&amp;$R315)+(COUNTIF($P315:$S315,$R315)-1)/2</f>
        <v>4</v>
      </c>
      <c r="AA315" s="0" t="n">
        <f aca="false">1+COUNTIF($P315:$S315,"&gt;"&amp;$S315)+(COUNTIF($P315:$S315,$S315)-1)/2</f>
        <v>2</v>
      </c>
      <c r="AB315" s="0" t="n">
        <f aca="false">1+COUNTIF($T315:$W315,"&gt;"&amp;$T315)+(COUNTIF($T315:$W315,$T315)-1)/2</f>
        <v>2</v>
      </c>
      <c r="AC315" s="0" t="n">
        <f aca="false">1+COUNTIF($T315:$W315,"&gt;"&amp;$U315)+(COUNTIF($T315:$W315,$U315)-1)/2</f>
        <v>1</v>
      </c>
      <c r="AD315" s="0" t="n">
        <f aca="false">1+COUNTIF($T315:$W315,"&gt;"&amp;$V315)+(COUNTIF($T315:$W315,$V315)-1)/2</f>
        <v>3</v>
      </c>
      <c r="AE315" s="0" t="n">
        <f aca="false">1+COUNTIF($T315:$W315,"&gt;"&amp;$W315)+(COUNTIF($T315:$W315,$W315)-1)/2</f>
        <v>4</v>
      </c>
      <c r="AF315" s="0" t="n">
        <f aca="false">IFERROR(CORREL($P315:$S315,$T315:$W315),"")</f>
        <v>0.644858691568589</v>
      </c>
      <c r="AG315" s="0" t="n">
        <f aca="false">IFERROR(CORREL($X315:$AA315,$AB315:$AE315),"")</f>
        <v>0.4</v>
      </c>
      <c r="AH315" s="0" t="n">
        <f aca="false">IFERROR((SIGN($P315-$Q315)*SIGN($T315-$U315)+SIGN($P315-$R315)*SIGN($T315-$V315)+SIGN($P315-$S315)*SIGN($T315-$W315)+SIGN($Q315-$R315)*SIGN($U315-$V315)+SIGN($Q315-$S315)*SIGN($U315-$W315)+SIGN($R315-$S315)*SIGN($V315-$W315))/SQRT((6-(($P315=$Q315)*1+($P315=$R315)*1+($P315=$S315)*1+($Q315=$R315)*1+($Q315=$S315)*1+($R315=$S315)*1))*(6-(($T315=$U315)*1+($T315=$V315)*1+($T315=$W315)*1+($U315=$V315)*1+($U315=$W315)*1+($V315=$W315)*1))),"")</f>
        <v>0.333333333333333</v>
      </c>
      <c r="AI315" s="0" t="n">
        <f aca="false">MATCH(MAX($K315:$O315),$K315:$O315,0)</f>
        <v>3</v>
      </c>
      <c r="AJ315" s="0" t="n">
        <f aca="false">IF(AI315&lt;&gt;$E315,1,0)</f>
        <v>0</v>
      </c>
      <c r="AK315" s="0" t="str">
        <f aca="false">IF(AJ315=1,INDEX($F315:$J315,AI315)/MAX($P315:$S315),"")</f>
        <v/>
      </c>
      <c r="AL315" s="0" t="str">
        <f aca="false">IF(AJ315=1,1+COUNTIF($P315:$S315,"&gt;"&amp;INDEX($F315:$J315,AI315)),"")</f>
        <v/>
      </c>
      <c r="AM315" s="0" t="n">
        <f aca="false">AVERAGE($P315:$S315)/MAX($P315:$S315)</f>
        <v>0.926605504587156</v>
      </c>
      <c r="AN315" s="0" t="n">
        <f aca="false">100-INDEX($F315:$J315,$E315)</f>
        <v>42.3</v>
      </c>
    </row>
    <row r="316" customFormat="false" ht="15" hidden="false" customHeight="false" outlineLevel="0" collapsed="false">
      <c r="A316" s="0" t="s">
        <v>40</v>
      </c>
      <c r="B316" s="0" t="n">
        <v>2014</v>
      </c>
      <c r="C316" s="0" t="s">
        <v>52</v>
      </c>
      <c r="D316" s="0" t="s">
        <v>44</v>
      </c>
      <c r="E316" s="0" t="n">
        <v>2</v>
      </c>
      <c r="F316" s="0" t="n">
        <v>17</v>
      </c>
      <c r="G316" s="0" t="n">
        <v>40.9</v>
      </c>
      <c r="H316" s="0" t="n">
        <v>20.3</v>
      </c>
      <c r="I316" s="0" t="n">
        <v>8</v>
      </c>
      <c r="J316" s="0" t="n">
        <v>11.9</v>
      </c>
      <c r="K316" s="0" t="n">
        <v>22.5336531811</v>
      </c>
      <c r="L316" s="0" t="n">
        <v>26.1132355245</v>
      </c>
      <c r="M316" s="0" t="n">
        <v>7.11177321246</v>
      </c>
      <c r="N316" s="0" t="n">
        <v>20.2255820902</v>
      </c>
      <c r="O316" s="0" t="n">
        <v>24.0157559917</v>
      </c>
      <c r="P316" s="0" t="n">
        <f aca="false">INDEX($F316:$J316,IF(1&lt;$E316,1,1+1))</f>
        <v>17</v>
      </c>
      <c r="Q316" s="0" t="n">
        <f aca="false">INDEX($F316:$J316,IF(2&lt;$E316,2,2+1))</f>
        <v>20.3</v>
      </c>
      <c r="R316" s="0" t="n">
        <f aca="false">INDEX($F316:$J316,IF(3&lt;$E316,3,3+1))</f>
        <v>8</v>
      </c>
      <c r="S316" s="0" t="n">
        <f aca="false">INDEX($F316:$J316,IF(4&lt;$E316,4,4+1))</f>
        <v>11.9</v>
      </c>
      <c r="T316" s="0" t="n">
        <f aca="false">INDEX($K316:$O316,IF(1&lt;$E316,1,1+1))</f>
        <v>22.5336531811</v>
      </c>
      <c r="U316" s="0" t="n">
        <f aca="false">INDEX($K316:$O316,IF(2&lt;$E316,2,2+1))</f>
        <v>7.11177321246</v>
      </c>
      <c r="V316" s="0" t="n">
        <f aca="false">INDEX($K316:$O316,IF(3&lt;$E316,3,3+1))</f>
        <v>20.2255820902</v>
      </c>
      <c r="W316" s="0" t="n">
        <f aca="false">INDEX($K316:$O316,IF(4&lt;$E316,4,4+1))</f>
        <v>24.0157559917</v>
      </c>
      <c r="X316" s="0" t="n">
        <f aca="false">1+COUNTIF($P316:$S316,"&gt;"&amp;$P316)+(COUNTIF($P316:$S316,$P316)-1)/2</f>
        <v>2</v>
      </c>
      <c r="Y316" s="0" t="n">
        <f aca="false">1+COUNTIF($P316:$S316,"&gt;"&amp;$Q316)+(COUNTIF($P316:$S316,$Q316)-1)/2</f>
        <v>1</v>
      </c>
      <c r="Z316" s="0" t="n">
        <f aca="false">1+COUNTIF($P316:$S316,"&gt;"&amp;$R316)+(COUNTIF($P316:$S316,$R316)-1)/2</f>
        <v>4</v>
      </c>
      <c r="AA316" s="0" t="n">
        <f aca="false">1+COUNTIF($P316:$S316,"&gt;"&amp;$S316)+(COUNTIF($P316:$S316,$S316)-1)/2</f>
        <v>3</v>
      </c>
      <c r="AB316" s="0" t="n">
        <f aca="false">1+COUNTIF($T316:$W316,"&gt;"&amp;$T316)+(COUNTIF($T316:$W316,$T316)-1)/2</f>
        <v>2</v>
      </c>
      <c r="AC316" s="0" t="n">
        <f aca="false">1+COUNTIF($T316:$W316,"&gt;"&amp;$U316)+(COUNTIF($T316:$W316,$U316)-1)/2</f>
        <v>4</v>
      </c>
      <c r="AD316" s="0" t="n">
        <f aca="false">1+COUNTIF($T316:$W316,"&gt;"&amp;$V316)+(COUNTIF($T316:$W316,$V316)-1)/2</f>
        <v>3</v>
      </c>
      <c r="AE316" s="0" t="n">
        <f aca="false">1+COUNTIF($T316:$W316,"&gt;"&amp;$W316)+(COUNTIF($T316:$W316,$W316)-1)/2</f>
        <v>1</v>
      </c>
      <c r="AF316" s="0" t="n">
        <f aca="false">IFERROR(CORREL($P316:$S316,$T316:$W316),"")</f>
        <v>-0.646380068222805</v>
      </c>
      <c r="AG316" s="0" t="n">
        <f aca="false">IFERROR(CORREL($X316:$AA316,$AB316:$AE316),"")</f>
        <v>-0.4</v>
      </c>
      <c r="AH316" s="0" t="n">
        <f aca="false">IFERROR((SIGN($P316-$Q316)*SIGN($T316-$U316)+SIGN($P316-$R316)*SIGN($T316-$V316)+SIGN($P316-$S316)*SIGN($T316-$W316)+SIGN($Q316-$R316)*SIGN($U316-$V316)+SIGN($Q316-$S316)*SIGN($U316-$W316)+SIGN($R316-$S316)*SIGN($V316-$W316))/SQRT((6-(($P316=$Q316)*1+($P316=$R316)*1+($P316=$S316)*1+($Q316=$R316)*1+($Q316=$S316)*1+($R316=$S316)*1))*(6-(($T316=$U316)*1+($T316=$V316)*1+($T316=$W316)*1+($U316=$V316)*1+($U316=$W316)*1+($V316=$W316)*1))),"")</f>
        <v>-0.333333333333333</v>
      </c>
      <c r="AI316" s="0" t="n">
        <f aca="false">MATCH(MAX($K316:$O316),$K316:$O316,0)</f>
        <v>2</v>
      </c>
      <c r="AJ316" s="0" t="n">
        <f aca="false">IF(AI316&lt;&gt;$E316,1,0)</f>
        <v>0</v>
      </c>
      <c r="AK316" s="0" t="str">
        <f aca="false">IF(AJ316=1,INDEX($F316:$J316,AI316)/MAX($P316:$S316),"")</f>
        <v/>
      </c>
      <c r="AL316" s="0" t="str">
        <f aca="false">IF(AJ316=1,1+COUNTIF($P316:$S316,"&gt;"&amp;INDEX($F316:$J316,AI316)),"")</f>
        <v/>
      </c>
      <c r="AM316" s="0" t="n">
        <f aca="false">AVERAGE($P316:$S316)/MAX($P316:$S316)</f>
        <v>0.704433497536946</v>
      </c>
      <c r="AN316" s="0" t="n">
        <f aca="false">100-INDEX($F316:$J316,$E316)</f>
        <v>59.1</v>
      </c>
    </row>
    <row r="317" customFormat="false" ht="15" hidden="false" customHeight="false" outlineLevel="0" collapsed="false">
      <c r="A317" s="0" t="s">
        <v>40</v>
      </c>
      <c r="B317" s="0" t="n">
        <v>2014</v>
      </c>
      <c r="C317" s="0" t="s">
        <v>52</v>
      </c>
      <c r="D317" s="0" t="s">
        <v>45</v>
      </c>
      <c r="E317" s="0" t="n">
        <v>1</v>
      </c>
      <c r="F317" s="0" t="n">
        <v>47.4</v>
      </c>
      <c r="G317" s="0" t="n">
        <v>9.9</v>
      </c>
      <c r="H317" s="0" t="n">
        <v>16.6</v>
      </c>
      <c r="I317" s="0" t="n">
        <v>13.6</v>
      </c>
      <c r="J317" s="0" t="n">
        <v>10.5</v>
      </c>
      <c r="K317" s="0" t="n">
        <v>78.7793982188</v>
      </c>
      <c r="L317" s="0" t="n">
        <v>2.53879954892</v>
      </c>
      <c r="M317" s="0" t="n">
        <v>9.97451360235</v>
      </c>
      <c r="N317" s="0" t="n">
        <v>4.78078156922</v>
      </c>
      <c r="O317" s="0" t="n">
        <v>3.92650706076</v>
      </c>
      <c r="P317" s="0" t="n">
        <f aca="false">INDEX($F317:$J317,IF(1&lt;$E317,1,1+1))</f>
        <v>9.9</v>
      </c>
      <c r="Q317" s="0" t="n">
        <f aca="false">INDEX($F317:$J317,IF(2&lt;$E317,2,2+1))</f>
        <v>16.6</v>
      </c>
      <c r="R317" s="0" t="n">
        <f aca="false">INDEX($F317:$J317,IF(3&lt;$E317,3,3+1))</f>
        <v>13.6</v>
      </c>
      <c r="S317" s="0" t="n">
        <f aca="false">INDEX($F317:$J317,IF(4&lt;$E317,4,4+1))</f>
        <v>10.5</v>
      </c>
      <c r="T317" s="0" t="n">
        <f aca="false">INDEX($K317:$O317,IF(1&lt;$E317,1,1+1))</f>
        <v>2.53879954892</v>
      </c>
      <c r="U317" s="0" t="n">
        <f aca="false">INDEX($K317:$O317,IF(2&lt;$E317,2,2+1))</f>
        <v>9.97451360235</v>
      </c>
      <c r="V317" s="0" t="n">
        <f aca="false">INDEX($K317:$O317,IF(3&lt;$E317,3,3+1))</f>
        <v>4.78078156922</v>
      </c>
      <c r="W317" s="0" t="n">
        <f aca="false">INDEX($K317:$O317,IF(4&lt;$E317,4,4+1))</f>
        <v>3.92650706076</v>
      </c>
      <c r="X317" s="0" t="n">
        <f aca="false">1+COUNTIF($P317:$S317,"&gt;"&amp;$P317)+(COUNTIF($P317:$S317,$P317)-1)/2</f>
        <v>4</v>
      </c>
      <c r="Y317" s="0" t="n">
        <f aca="false">1+COUNTIF($P317:$S317,"&gt;"&amp;$Q317)+(COUNTIF($P317:$S317,$Q317)-1)/2</f>
        <v>1</v>
      </c>
      <c r="Z317" s="0" t="n">
        <f aca="false">1+COUNTIF($P317:$S317,"&gt;"&amp;$R317)+(COUNTIF($P317:$S317,$R317)-1)/2</f>
        <v>2</v>
      </c>
      <c r="AA317" s="0" t="n">
        <f aca="false">1+COUNTIF($P317:$S317,"&gt;"&amp;$S317)+(COUNTIF($P317:$S317,$S317)-1)/2</f>
        <v>3</v>
      </c>
      <c r="AB317" s="0" t="n">
        <f aca="false">1+COUNTIF($T317:$W317,"&gt;"&amp;$T317)+(COUNTIF($T317:$W317,$T317)-1)/2</f>
        <v>4</v>
      </c>
      <c r="AC317" s="0" t="n">
        <f aca="false">1+COUNTIF($T317:$W317,"&gt;"&amp;$U317)+(COUNTIF($T317:$W317,$U317)-1)/2</f>
        <v>1</v>
      </c>
      <c r="AD317" s="0" t="n">
        <f aca="false">1+COUNTIF($T317:$W317,"&gt;"&amp;$V317)+(COUNTIF($T317:$W317,$V317)-1)/2</f>
        <v>2</v>
      </c>
      <c r="AE317" s="0" t="n">
        <f aca="false">1+COUNTIF($T317:$W317,"&gt;"&amp;$W317)+(COUNTIF($T317:$W317,$W317)-1)/2</f>
        <v>3</v>
      </c>
      <c r="AF317" s="0" t="n">
        <f aca="false">IFERROR(CORREL($P317:$S317,$T317:$W317),"")</f>
        <v>0.946642655025327</v>
      </c>
      <c r="AG317" s="0" t="n">
        <f aca="false">IFERROR(CORREL($X317:$AA317,$AB317:$AE317),"")</f>
        <v>1</v>
      </c>
      <c r="AH317" s="0" t="n">
        <f aca="false">IFERROR((SIGN($P317-$Q317)*SIGN($T317-$U317)+SIGN($P317-$R317)*SIGN($T317-$V317)+SIGN($P317-$S317)*SIGN($T317-$W317)+SIGN($Q317-$R317)*SIGN($U317-$V317)+SIGN($Q317-$S317)*SIGN($U317-$W317)+SIGN($R317-$S317)*SIGN($V317-$W317))/SQRT((6-(($P317=$Q317)*1+($P317=$R317)*1+($P317=$S317)*1+($Q317=$R317)*1+($Q317=$S317)*1+($R317=$S317)*1))*(6-(($T317=$U317)*1+($T317=$V317)*1+($T317=$W317)*1+($U317=$V317)*1+($U317=$W317)*1+($V317=$W317)*1))),"")</f>
        <v>1</v>
      </c>
      <c r="AI317" s="0" t="n">
        <f aca="false">MATCH(MAX($K317:$O317),$K317:$O317,0)</f>
        <v>1</v>
      </c>
      <c r="AJ317" s="0" t="n">
        <f aca="false">IF(AI317&lt;&gt;$E317,1,0)</f>
        <v>0</v>
      </c>
      <c r="AK317" s="0" t="str">
        <f aca="false">IF(AJ317=1,INDEX($F317:$J317,AI317)/MAX($P317:$S317),"")</f>
        <v/>
      </c>
      <c r="AL317" s="0" t="str">
        <f aca="false">IF(AJ317=1,1+COUNTIF($P317:$S317,"&gt;"&amp;INDEX($F317:$J317,AI317)),"")</f>
        <v/>
      </c>
      <c r="AM317" s="0" t="n">
        <f aca="false">AVERAGE($P317:$S317)/MAX($P317:$S317)</f>
        <v>0.762048192771084</v>
      </c>
      <c r="AN317" s="0" t="n">
        <f aca="false">100-INDEX($F317:$J317,$E317)</f>
        <v>52.6</v>
      </c>
    </row>
    <row r="318" customFormat="false" ht="15" hidden="false" customHeight="false" outlineLevel="0" collapsed="false">
      <c r="A318" s="0" t="s">
        <v>40</v>
      </c>
      <c r="B318" s="0" t="n">
        <v>2014</v>
      </c>
      <c r="C318" s="0" t="s">
        <v>46</v>
      </c>
      <c r="D318" s="0" t="s">
        <v>45</v>
      </c>
      <c r="E318" s="0" t="n">
        <v>2</v>
      </c>
      <c r="F318" s="0" t="n">
        <v>12.7</v>
      </c>
      <c r="G318" s="0" t="n">
        <v>44.8</v>
      </c>
      <c r="H318" s="0" t="n">
        <v>14.5</v>
      </c>
      <c r="I318" s="0" t="n">
        <v>12.2</v>
      </c>
      <c r="J318" s="0" t="n">
        <v>14</v>
      </c>
      <c r="K318" s="0" t="n">
        <v>37.2023098786</v>
      </c>
      <c r="L318" s="0" t="n">
        <v>5.00968640024</v>
      </c>
      <c r="M318" s="0" t="n">
        <v>10.4542690979</v>
      </c>
      <c r="N318" s="0" t="n">
        <v>35.8380514939</v>
      </c>
      <c r="O318" s="0" t="n">
        <v>11.4956831293</v>
      </c>
      <c r="P318" s="0" t="n">
        <f aca="false">INDEX($F318:$J318,IF(1&lt;$E318,1,1+1))</f>
        <v>12.7</v>
      </c>
      <c r="Q318" s="0" t="n">
        <f aca="false">INDEX($F318:$J318,IF(2&lt;$E318,2,2+1))</f>
        <v>14.5</v>
      </c>
      <c r="R318" s="0" t="n">
        <f aca="false">INDEX($F318:$J318,IF(3&lt;$E318,3,3+1))</f>
        <v>12.2</v>
      </c>
      <c r="S318" s="0" t="n">
        <f aca="false">INDEX($F318:$J318,IF(4&lt;$E318,4,4+1))</f>
        <v>14</v>
      </c>
      <c r="T318" s="0" t="n">
        <f aca="false">INDEX($K318:$O318,IF(1&lt;$E318,1,1+1))</f>
        <v>37.2023098786</v>
      </c>
      <c r="U318" s="0" t="n">
        <f aca="false">INDEX($K318:$O318,IF(2&lt;$E318,2,2+1))</f>
        <v>10.4542690979</v>
      </c>
      <c r="V318" s="0" t="n">
        <f aca="false">INDEX($K318:$O318,IF(3&lt;$E318,3,3+1))</f>
        <v>35.8380514939</v>
      </c>
      <c r="W318" s="0" t="n">
        <f aca="false">INDEX($K318:$O318,IF(4&lt;$E318,4,4+1))</f>
        <v>11.4956831293</v>
      </c>
      <c r="X318" s="0" t="n">
        <f aca="false">1+COUNTIF($P318:$S318,"&gt;"&amp;$P318)+(COUNTIF($P318:$S318,$P318)-1)/2</f>
        <v>3</v>
      </c>
      <c r="Y318" s="0" t="n">
        <f aca="false">1+COUNTIF($P318:$S318,"&gt;"&amp;$Q318)+(COUNTIF($P318:$S318,$Q318)-1)/2</f>
        <v>1</v>
      </c>
      <c r="Z318" s="0" t="n">
        <f aca="false">1+COUNTIF($P318:$S318,"&gt;"&amp;$R318)+(COUNTIF($P318:$S318,$R318)-1)/2</f>
        <v>4</v>
      </c>
      <c r="AA318" s="0" t="n">
        <f aca="false">1+COUNTIF($P318:$S318,"&gt;"&amp;$S318)+(COUNTIF($P318:$S318,$S318)-1)/2</f>
        <v>2</v>
      </c>
      <c r="AB318" s="0" t="n">
        <f aca="false">1+COUNTIF($T318:$W318,"&gt;"&amp;$T318)+(COUNTIF($T318:$W318,$T318)-1)/2</f>
        <v>1</v>
      </c>
      <c r="AC318" s="0" t="n">
        <f aca="false">1+COUNTIF($T318:$W318,"&gt;"&amp;$U318)+(COUNTIF($T318:$W318,$U318)-1)/2</f>
        <v>4</v>
      </c>
      <c r="AD318" s="0" t="n">
        <f aca="false">1+COUNTIF($T318:$W318,"&gt;"&amp;$V318)+(COUNTIF($T318:$W318,$V318)-1)/2</f>
        <v>2</v>
      </c>
      <c r="AE318" s="0" t="n">
        <f aca="false">1+COUNTIF($T318:$W318,"&gt;"&amp;$W318)+(COUNTIF($T318:$W318,$W318)-1)/2</f>
        <v>3</v>
      </c>
      <c r="AF318" s="0" t="n">
        <f aca="false">IFERROR(CORREL($P318:$S318,$T318:$W318),"")</f>
        <v>-0.96074302271922</v>
      </c>
      <c r="AG318" s="0" t="n">
        <f aca="false">IFERROR(CORREL($X318:$AA318,$AB318:$AE318),"")</f>
        <v>-0.8</v>
      </c>
      <c r="AH318" s="0" t="n">
        <f aca="false">IFERROR((SIGN($P318-$Q318)*SIGN($T318-$U318)+SIGN($P318-$R318)*SIGN($T318-$V318)+SIGN($P318-$S318)*SIGN($T318-$W318)+SIGN($Q318-$R318)*SIGN($U318-$V318)+SIGN($Q318-$S318)*SIGN($U318-$W318)+SIGN($R318-$S318)*SIGN($V318-$W318))/SQRT((6-(($P318=$Q318)*1+($P318=$R318)*1+($P318=$S318)*1+($Q318=$R318)*1+($Q318=$S318)*1+($R318=$S318)*1))*(6-(($T318=$U318)*1+($T318=$V318)*1+($T318=$W318)*1+($U318=$V318)*1+($U318=$W318)*1+($V318=$W318)*1))),"")</f>
        <v>-0.666666666666667</v>
      </c>
      <c r="AI318" s="0" t="n">
        <f aca="false">MATCH(MAX($K318:$O318),$K318:$O318,0)</f>
        <v>1</v>
      </c>
      <c r="AJ318" s="0" t="n">
        <f aca="false">IF(AI318&lt;&gt;$E318,1,0)</f>
        <v>1</v>
      </c>
      <c r="AK318" s="0" t="n">
        <f aca="false">IF(AJ318=1,INDEX($F318:$J318,AI318)/MAX($P318:$S318),"")</f>
        <v>0.875862068965517</v>
      </c>
      <c r="AL318" s="0" t="n">
        <f aca="false">IF(AJ318=1,1+COUNTIF($P318:$S318,"&gt;"&amp;INDEX($F318:$J318,AI318)),"")</f>
        <v>3</v>
      </c>
      <c r="AM318" s="0" t="n">
        <f aca="false">AVERAGE($P318:$S318)/MAX($P318:$S318)</f>
        <v>0.920689655172414</v>
      </c>
      <c r="AN318" s="0" t="n">
        <f aca="false">100-INDEX($F318:$J318,$E318)</f>
        <v>55.2</v>
      </c>
    </row>
    <row r="319" customFormat="false" ht="15" hidden="false" customHeight="false" outlineLevel="0" collapsed="false">
      <c r="A319" s="0" t="s">
        <v>40</v>
      </c>
      <c r="B319" s="0" t="n">
        <v>2014</v>
      </c>
      <c r="C319" s="0" t="s">
        <v>46</v>
      </c>
      <c r="D319" s="0" t="s">
        <v>53</v>
      </c>
      <c r="E319" s="0" t="n">
        <v>1</v>
      </c>
      <c r="F319" s="0" t="n">
        <v>30.3</v>
      </c>
      <c r="G319" s="0" t="n">
        <v>16.3</v>
      </c>
      <c r="H319" s="0" t="n">
        <v>21.3</v>
      </c>
      <c r="I319" s="0" t="n">
        <v>19.3</v>
      </c>
      <c r="J319" s="0" t="n">
        <v>10.9</v>
      </c>
      <c r="K319" s="0" t="n">
        <v>22.6811788469</v>
      </c>
      <c r="L319" s="0" t="n">
        <v>3.97105879319</v>
      </c>
      <c r="M319" s="0" t="n">
        <v>3.72753970717</v>
      </c>
      <c r="N319" s="0" t="n">
        <v>19.3293835203</v>
      </c>
      <c r="O319" s="0" t="n">
        <v>50.2908391324</v>
      </c>
      <c r="P319" s="0" t="n">
        <f aca="false">INDEX($F319:$J319,IF(1&lt;$E319,1,1+1))</f>
        <v>16.3</v>
      </c>
      <c r="Q319" s="0" t="n">
        <f aca="false">INDEX($F319:$J319,IF(2&lt;$E319,2,2+1))</f>
        <v>21.3</v>
      </c>
      <c r="R319" s="0" t="n">
        <f aca="false">INDEX($F319:$J319,IF(3&lt;$E319,3,3+1))</f>
        <v>19.3</v>
      </c>
      <c r="S319" s="0" t="n">
        <f aca="false">INDEX($F319:$J319,IF(4&lt;$E319,4,4+1))</f>
        <v>10.9</v>
      </c>
      <c r="T319" s="0" t="n">
        <f aca="false">INDEX($K319:$O319,IF(1&lt;$E319,1,1+1))</f>
        <v>3.97105879319</v>
      </c>
      <c r="U319" s="0" t="n">
        <f aca="false">INDEX($K319:$O319,IF(2&lt;$E319,2,2+1))</f>
        <v>3.72753970717</v>
      </c>
      <c r="V319" s="0" t="n">
        <f aca="false">INDEX($K319:$O319,IF(3&lt;$E319,3,3+1))</f>
        <v>19.3293835203</v>
      </c>
      <c r="W319" s="0" t="n">
        <f aca="false">INDEX($K319:$O319,IF(4&lt;$E319,4,4+1))</f>
        <v>50.2908391324</v>
      </c>
      <c r="X319" s="0" t="n">
        <f aca="false">1+COUNTIF($P319:$S319,"&gt;"&amp;$P319)+(COUNTIF($P319:$S319,$P319)-1)/2</f>
        <v>3</v>
      </c>
      <c r="Y319" s="0" t="n">
        <f aca="false">1+COUNTIF($P319:$S319,"&gt;"&amp;$Q319)+(COUNTIF($P319:$S319,$Q319)-1)/2</f>
        <v>1</v>
      </c>
      <c r="Z319" s="0" t="n">
        <f aca="false">1+COUNTIF($P319:$S319,"&gt;"&amp;$R319)+(COUNTIF($P319:$S319,$R319)-1)/2</f>
        <v>2</v>
      </c>
      <c r="AA319" s="0" t="n">
        <f aca="false">1+COUNTIF($P319:$S319,"&gt;"&amp;$S319)+(COUNTIF($P319:$S319,$S319)-1)/2</f>
        <v>4</v>
      </c>
      <c r="AB319" s="0" t="n">
        <f aca="false">1+COUNTIF($T319:$W319,"&gt;"&amp;$T319)+(COUNTIF($T319:$W319,$T319)-1)/2</f>
        <v>3</v>
      </c>
      <c r="AC319" s="0" t="n">
        <f aca="false">1+COUNTIF($T319:$W319,"&gt;"&amp;$U319)+(COUNTIF($T319:$W319,$U319)-1)/2</f>
        <v>4</v>
      </c>
      <c r="AD319" s="0" t="n">
        <f aca="false">1+COUNTIF($T319:$W319,"&gt;"&amp;$V319)+(COUNTIF($T319:$W319,$V319)-1)/2</f>
        <v>2</v>
      </c>
      <c r="AE319" s="0" t="n">
        <f aca="false">1+COUNTIF($T319:$W319,"&gt;"&amp;$W319)+(COUNTIF($T319:$W319,$W319)-1)/2</f>
        <v>1</v>
      </c>
      <c r="AF319" s="0" t="n">
        <f aca="false">IFERROR(CORREL($P319:$S319,$T319:$W319),"")</f>
        <v>-0.824758486754931</v>
      </c>
      <c r="AG319" s="0" t="n">
        <f aca="false">IFERROR(CORREL($X319:$AA319,$AB319:$AE319),"")</f>
        <v>-0.8</v>
      </c>
      <c r="AH319" s="0" t="n">
        <f aca="false">IFERROR((SIGN($P319-$Q319)*SIGN($T319-$U319)+SIGN($P319-$R319)*SIGN($T319-$V319)+SIGN($P319-$S319)*SIGN($T319-$W319)+SIGN($Q319-$R319)*SIGN($U319-$V319)+SIGN($Q319-$S319)*SIGN($U319-$W319)+SIGN($R319-$S319)*SIGN($V319-$W319))/SQRT((6-(($P319=$Q319)*1+($P319=$R319)*1+($P319=$S319)*1+($Q319=$R319)*1+($Q319=$S319)*1+($R319=$S319)*1))*(6-(($T319=$U319)*1+($T319=$V319)*1+($T319=$W319)*1+($U319=$V319)*1+($U319=$W319)*1+($V319=$W319)*1))),"")</f>
        <v>-0.666666666666667</v>
      </c>
      <c r="AI319" s="0" t="n">
        <f aca="false">MATCH(MAX($K319:$O319),$K319:$O319,0)</f>
        <v>5</v>
      </c>
      <c r="AJ319" s="0" t="n">
        <f aca="false">IF(AI319&lt;&gt;$E319,1,0)</f>
        <v>1</v>
      </c>
      <c r="AK319" s="0" t="n">
        <f aca="false">IF(AJ319=1,INDEX($F319:$J319,AI319)/MAX($P319:$S319),"")</f>
        <v>0.511737089201878</v>
      </c>
      <c r="AL319" s="0" t="n">
        <f aca="false">IF(AJ319=1,1+COUNTIF($P319:$S319,"&gt;"&amp;INDEX($F319:$J319,AI319)),"")</f>
        <v>4</v>
      </c>
      <c r="AM319" s="0" t="n">
        <f aca="false">AVERAGE($P319:$S319)/MAX($P319:$S319)</f>
        <v>0.795774647887324</v>
      </c>
      <c r="AN319" s="0" t="n">
        <f aca="false">100-INDEX($F319:$J319,$E319)</f>
        <v>69.7</v>
      </c>
    </row>
    <row r="320" customFormat="false" ht="15" hidden="false" customHeight="false" outlineLevel="0" collapsed="false">
      <c r="A320" s="0" t="s">
        <v>40</v>
      </c>
      <c r="B320" s="0" t="n">
        <v>2014</v>
      </c>
      <c r="C320" s="0" t="s">
        <v>46</v>
      </c>
      <c r="D320" s="0" t="s">
        <v>55</v>
      </c>
      <c r="E320" s="0" t="n">
        <v>5</v>
      </c>
      <c r="F320" s="0" t="n">
        <v>14.9</v>
      </c>
      <c r="G320" s="0" t="n">
        <v>11.4</v>
      </c>
      <c r="H320" s="0" t="n">
        <v>16.2</v>
      </c>
      <c r="I320" s="0" t="n">
        <v>10.4</v>
      </c>
      <c r="J320" s="0" t="n">
        <v>45.2</v>
      </c>
      <c r="K320" s="0" t="n">
        <v>21.3793861975</v>
      </c>
      <c r="L320" s="0" t="n">
        <v>3.44892923693</v>
      </c>
      <c r="M320" s="0" t="n">
        <v>2.42981845923</v>
      </c>
      <c r="N320" s="0" t="n">
        <v>9.65146889651</v>
      </c>
      <c r="O320" s="0" t="n">
        <v>63.0903972098</v>
      </c>
      <c r="P320" s="0" t="n">
        <f aca="false">INDEX($F320:$J320,IF(1&lt;$E320,1,1+1))</f>
        <v>14.9</v>
      </c>
      <c r="Q320" s="0" t="n">
        <f aca="false">INDEX($F320:$J320,IF(2&lt;$E320,2,2+1))</f>
        <v>11.4</v>
      </c>
      <c r="R320" s="0" t="n">
        <f aca="false">INDEX($F320:$J320,IF(3&lt;$E320,3,3+1))</f>
        <v>16.2</v>
      </c>
      <c r="S320" s="0" t="n">
        <f aca="false">INDEX($F320:$J320,IF(4&lt;$E320,4,4+1))</f>
        <v>10.4</v>
      </c>
      <c r="T320" s="0" t="n">
        <f aca="false">INDEX($K320:$O320,IF(1&lt;$E320,1,1+1))</f>
        <v>21.3793861975</v>
      </c>
      <c r="U320" s="0" t="n">
        <f aca="false">INDEX($K320:$O320,IF(2&lt;$E320,2,2+1))</f>
        <v>3.44892923693</v>
      </c>
      <c r="V320" s="0" t="n">
        <f aca="false">INDEX($K320:$O320,IF(3&lt;$E320,3,3+1))</f>
        <v>2.42981845923</v>
      </c>
      <c r="W320" s="0" t="n">
        <f aca="false">INDEX($K320:$O320,IF(4&lt;$E320,4,4+1))</f>
        <v>9.65146889651</v>
      </c>
      <c r="X320" s="0" t="n">
        <f aca="false">1+COUNTIF($P320:$S320,"&gt;"&amp;$P320)+(COUNTIF($P320:$S320,$P320)-1)/2</f>
        <v>2</v>
      </c>
      <c r="Y320" s="0" t="n">
        <f aca="false">1+COUNTIF($P320:$S320,"&gt;"&amp;$Q320)+(COUNTIF($P320:$S320,$Q320)-1)/2</f>
        <v>3</v>
      </c>
      <c r="Z320" s="0" t="n">
        <f aca="false">1+COUNTIF($P320:$S320,"&gt;"&amp;$R320)+(COUNTIF($P320:$S320,$R320)-1)/2</f>
        <v>1</v>
      </c>
      <c r="AA320" s="0" t="n">
        <f aca="false">1+COUNTIF($P320:$S320,"&gt;"&amp;$S320)+(COUNTIF($P320:$S320,$S320)-1)/2</f>
        <v>4</v>
      </c>
      <c r="AB320" s="0" t="n">
        <f aca="false">1+COUNTIF($T320:$W320,"&gt;"&amp;$T320)+(COUNTIF($T320:$W320,$T320)-1)/2</f>
        <v>1</v>
      </c>
      <c r="AC320" s="0" t="n">
        <f aca="false">1+COUNTIF($T320:$W320,"&gt;"&amp;$U320)+(COUNTIF($T320:$W320,$U320)-1)/2</f>
        <v>3</v>
      </c>
      <c r="AD320" s="0" t="n">
        <f aca="false">1+COUNTIF($T320:$W320,"&gt;"&amp;$V320)+(COUNTIF($T320:$W320,$V320)-1)/2</f>
        <v>4</v>
      </c>
      <c r="AE320" s="0" t="n">
        <f aca="false">1+COUNTIF($T320:$W320,"&gt;"&amp;$W320)+(COUNTIF($T320:$W320,$W320)-1)/2</f>
        <v>2</v>
      </c>
      <c r="AF320" s="0" t="n">
        <f aca="false">IFERROR(CORREL($P320:$S320,$T320:$W320),"")</f>
        <v>0.13115548500336</v>
      </c>
      <c r="AG320" s="0" t="n">
        <f aca="false">IFERROR(CORREL($X320:$AA320,$AB320:$AE320),"")</f>
        <v>-0.4</v>
      </c>
      <c r="AH320" s="0" t="n">
        <f aca="false">IFERROR((SIGN($P320-$Q320)*SIGN($T320-$U320)+SIGN($P320-$R320)*SIGN($T320-$V320)+SIGN($P320-$S320)*SIGN($T320-$W320)+SIGN($Q320-$R320)*SIGN($U320-$V320)+SIGN($Q320-$S320)*SIGN($U320-$W320)+SIGN($R320-$S320)*SIGN($V320-$W320))/SQRT((6-(($P320=$Q320)*1+($P320=$R320)*1+($P320=$S320)*1+($Q320=$R320)*1+($Q320=$S320)*1+($R320=$S320)*1))*(6-(($T320=$U320)*1+($T320=$V320)*1+($T320=$W320)*1+($U320=$V320)*1+($U320=$W320)*1+($V320=$W320)*1))),"")</f>
        <v>-0.333333333333333</v>
      </c>
      <c r="AI320" s="0" t="n">
        <f aca="false">MATCH(MAX($K320:$O320),$K320:$O320,0)</f>
        <v>5</v>
      </c>
      <c r="AJ320" s="0" t="n">
        <f aca="false">IF(AI320&lt;&gt;$E320,1,0)</f>
        <v>0</v>
      </c>
      <c r="AK320" s="0" t="str">
        <f aca="false">IF(AJ320=1,INDEX($F320:$J320,AI320)/MAX($P320:$S320),"")</f>
        <v/>
      </c>
      <c r="AL320" s="0" t="str">
        <f aca="false">IF(AJ320=1,1+COUNTIF($P320:$S320,"&gt;"&amp;INDEX($F320:$J320,AI320)),"")</f>
        <v/>
      </c>
      <c r="AM320" s="0" t="n">
        <f aca="false">AVERAGE($P320:$S320)/MAX($P320:$S320)</f>
        <v>0.816358024691358</v>
      </c>
      <c r="AN320" s="0" t="n">
        <f aca="false">100-INDEX($F320:$J320,$E320)</f>
        <v>54.8</v>
      </c>
    </row>
    <row r="321" customFormat="false" ht="15" hidden="false" customHeight="false" outlineLevel="0" collapsed="false">
      <c r="A321" s="0" t="s">
        <v>40</v>
      </c>
      <c r="B321" s="0" t="n">
        <v>2014</v>
      </c>
      <c r="C321" s="0" t="s">
        <v>46</v>
      </c>
      <c r="D321" s="0" t="s">
        <v>56</v>
      </c>
      <c r="E321" s="0" t="n">
        <v>1</v>
      </c>
      <c r="F321" s="0" t="n">
        <v>42</v>
      </c>
      <c r="G321" s="0" t="n">
        <v>16.4</v>
      </c>
      <c r="H321" s="0" t="n">
        <v>14.9</v>
      </c>
      <c r="I321" s="0" t="n">
        <v>13.6</v>
      </c>
      <c r="J321" s="0" t="n">
        <v>11.3</v>
      </c>
      <c r="K321" s="0" t="n">
        <v>51.0614724567</v>
      </c>
      <c r="L321" s="0" t="n">
        <v>16.5271176788</v>
      </c>
      <c r="M321" s="0" t="n">
        <v>19.1392612031</v>
      </c>
      <c r="N321" s="0" t="n">
        <v>10.452406523</v>
      </c>
      <c r="O321" s="0" t="n">
        <v>2.81974213839</v>
      </c>
      <c r="P321" s="0" t="n">
        <f aca="false">INDEX($F321:$J321,IF(1&lt;$E321,1,1+1))</f>
        <v>16.4</v>
      </c>
      <c r="Q321" s="0" t="n">
        <f aca="false">INDEX($F321:$J321,IF(2&lt;$E321,2,2+1))</f>
        <v>14.9</v>
      </c>
      <c r="R321" s="0" t="n">
        <f aca="false">INDEX($F321:$J321,IF(3&lt;$E321,3,3+1))</f>
        <v>13.6</v>
      </c>
      <c r="S321" s="0" t="n">
        <f aca="false">INDEX($F321:$J321,IF(4&lt;$E321,4,4+1))</f>
        <v>11.3</v>
      </c>
      <c r="T321" s="0" t="n">
        <f aca="false">INDEX($K321:$O321,IF(1&lt;$E321,1,1+1))</f>
        <v>16.5271176788</v>
      </c>
      <c r="U321" s="0" t="n">
        <f aca="false">INDEX($K321:$O321,IF(2&lt;$E321,2,2+1))</f>
        <v>19.1392612031</v>
      </c>
      <c r="V321" s="0" t="n">
        <f aca="false">INDEX($K321:$O321,IF(3&lt;$E321,3,3+1))</f>
        <v>10.452406523</v>
      </c>
      <c r="W321" s="0" t="n">
        <f aca="false">INDEX($K321:$O321,IF(4&lt;$E321,4,4+1))</f>
        <v>2.81974213839</v>
      </c>
      <c r="X321" s="0" t="n">
        <f aca="false">1+COUNTIF($P321:$S321,"&gt;"&amp;$P321)+(COUNTIF($P321:$S321,$P321)-1)/2</f>
        <v>1</v>
      </c>
      <c r="Y321" s="0" t="n">
        <f aca="false">1+COUNTIF($P321:$S321,"&gt;"&amp;$Q321)+(COUNTIF($P321:$S321,$Q321)-1)/2</f>
        <v>2</v>
      </c>
      <c r="Z321" s="0" t="n">
        <f aca="false">1+COUNTIF($P321:$S321,"&gt;"&amp;$R321)+(COUNTIF($P321:$S321,$R321)-1)/2</f>
        <v>3</v>
      </c>
      <c r="AA321" s="0" t="n">
        <f aca="false">1+COUNTIF($P321:$S321,"&gt;"&amp;$S321)+(COUNTIF($P321:$S321,$S321)-1)/2</f>
        <v>4</v>
      </c>
      <c r="AB321" s="0" t="n">
        <f aca="false">1+COUNTIF($T321:$W321,"&gt;"&amp;$T321)+(COUNTIF($T321:$W321,$T321)-1)/2</f>
        <v>2</v>
      </c>
      <c r="AC321" s="0" t="n">
        <f aca="false">1+COUNTIF($T321:$W321,"&gt;"&amp;$U321)+(COUNTIF($T321:$W321,$U321)-1)/2</f>
        <v>1</v>
      </c>
      <c r="AD321" s="0" t="n">
        <f aca="false">1+COUNTIF($T321:$W321,"&gt;"&amp;$V321)+(COUNTIF($T321:$W321,$V321)-1)/2</f>
        <v>3</v>
      </c>
      <c r="AE321" s="0" t="n">
        <f aca="false">1+COUNTIF($T321:$W321,"&gt;"&amp;$W321)+(COUNTIF($T321:$W321,$W321)-1)/2</f>
        <v>4</v>
      </c>
      <c r="AF321" s="0" t="n">
        <f aca="false">IFERROR(CORREL($P321:$S321,$T321:$W321),"")</f>
        <v>0.906732658959949</v>
      </c>
      <c r="AG321" s="0" t="n">
        <f aca="false">IFERROR(CORREL($X321:$AA321,$AB321:$AE321),"")</f>
        <v>0.8</v>
      </c>
      <c r="AH321" s="0" t="n">
        <f aca="false">IFERROR((SIGN($P321-$Q321)*SIGN($T321-$U321)+SIGN($P321-$R321)*SIGN($T321-$V321)+SIGN($P321-$S321)*SIGN($T321-$W321)+SIGN($Q321-$R321)*SIGN($U321-$V321)+SIGN($Q321-$S321)*SIGN($U321-$W321)+SIGN($R321-$S321)*SIGN($V321-$W321))/SQRT((6-(($P321=$Q321)*1+($P321=$R321)*1+($P321=$S321)*1+($Q321=$R321)*1+($Q321=$S321)*1+($R321=$S321)*1))*(6-(($T321=$U321)*1+($T321=$V321)*1+($T321=$W321)*1+($U321=$V321)*1+($U321=$W321)*1+($V321=$W321)*1))),"")</f>
        <v>0.666666666666667</v>
      </c>
      <c r="AI321" s="0" t="n">
        <f aca="false">MATCH(MAX($K321:$O321),$K321:$O321,0)</f>
        <v>1</v>
      </c>
      <c r="AJ321" s="0" t="n">
        <f aca="false">IF(AI321&lt;&gt;$E321,1,0)</f>
        <v>0</v>
      </c>
      <c r="AK321" s="0" t="str">
        <f aca="false">IF(AJ321=1,INDEX($F321:$J321,AI321)/MAX($P321:$S321),"")</f>
        <v/>
      </c>
      <c r="AL321" s="0" t="str">
        <f aca="false">IF(AJ321=1,1+COUNTIF($P321:$S321,"&gt;"&amp;INDEX($F321:$J321,AI321)),"")</f>
        <v/>
      </c>
      <c r="AM321" s="0" t="n">
        <f aca="false">AVERAGE($P321:$S321)/MAX($P321:$S321)</f>
        <v>0.856707317073171</v>
      </c>
      <c r="AN321" s="0" t="n">
        <f aca="false">100-INDEX($F321:$J321,$E321)</f>
        <v>58</v>
      </c>
    </row>
    <row r="322" customFormat="false" ht="15" hidden="false" customHeight="false" outlineLevel="0" collapsed="false">
      <c r="A322" s="0" t="s">
        <v>40</v>
      </c>
      <c r="B322" s="0" t="n">
        <v>2014</v>
      </c>
      <c r="C322" s="0" t="s">
        <v>47</v>
      </c>
      <c r="D322" s="0" t="s">
        <v>44</v>
      </c>
      <c r="E322" s="0" t="n">
        <v>3</v>
      </c>
      <c r="F322" s="0" t="n">
        <v>8.1</v>
      </c>
      <c r="G322" s="0" t="n">
        <v>13.1</v>
      </c>
      <c r="H322" s="0" t="n">
        <v>51.4</v>
      </c>
      <c r="I322" s="0" t="n">
        <v>12.7</v>
      </c>
      <c r="J322" s="0" t="n">
        <v>12.7</v>
      </c>
      <c r="K322" s="0" t="n">
        <v>14.4163478215</v>
      </c>
      <c r="L322" s="0" t="n">
        <v>36.578748719</v>
      </c>
      <c r="M322" s="0" t="n">
        <v>28.5067925747</v>
      </c>
      <c r="N322" s="0" t="n">
        <v>0.0296060087148</v>
      </c>
      <c r="O322" s="0" t="n">
        <v>20.4685048761</v>
      </c>
      <c r="P322" s="0" t="n">
        <f aca="false">INDEX($F322:$J322,IF(1&lt;$E322,1,1+1))</f>
        <v>8.1</v>
      </c>
      <c r="Q322" s="0" t="n">
        <f aca="false">INDEX($F322:$J322,IF(2&lt;$E322,2,2+1))</f>
        <v>13.1</v>
      </c>
      <c r="R322" s="0" t="n">
        <f aca="false">INDEX($F322:$J322,IF(3&lt;$E322,3,3+1))</f>
        <v>12.7</v>
      </c>
      <c r="S322" s="0" t="n">
        <f aca="false">INDEX($F322:$J322,IF(4&lt;$E322,4,4+1))</f>
        <v>12.7</v>
      </c>
      <c r="T322" s="0" t="n">
        <f aca="false">INDEX($K322:$O322,IF(1&lt;$E322,1,1+1))</f>
        <v>14.4163478215</v>
      </c>
      <c r="U322" s="0" t="n">
        <f aca="false">INDEX($K322:$O322,IF(2&lt;$E322,2,2+1))</f>
        <v>36.578748719</v>
      </c>
      <c r="V322" s="0" t="n">
        <f aca="false">INDEX($K322:$O322,IF(3&lt;$E322,3,3+1))</f>
        <v>0.0296060087148</v>
      </c>
      <c r="W322" s="0" t="n">
        <f aca="false">INDEX($K322:$O322,IF(4&lt;$E322,4,4+1))</f>
        <v>20.4685048761</v>
      </c>
      <c r="X322" s="0" t="n">
        <f aca="false">1+COUNTIF($P322:$S322,"&gt;"&amp;$P322)+(COUNTIF($P322:$S322,$P322)-1)/2</f>
        <v>4</v>
      </c>
      <c r="Y322" s="0" t="n">
        <f aca="false">1+COUNTIF($P322:$S322,"&gt;"&amp;$Q322)+(COUNTIF($P322:$S322,$Q322)-1)/2</f>
        <v>1</v>
      </c>
      <c r="Z322" s="0" t="n">
        <f aca="false">1+COUNTIF($P322:$S322,"&gt;"&amp;$R322)+(COUNTIF($P322:$S322,$R322)-1)/2</f>
        <v>2.5</v>
      </c>
      <c r="AA322" s="0" t="n">
        <f aca="false">1+COUNTIF($P322:$S322,"&gt;"&amp;$S322)+(COUNTIF($P322:$S322,$S322)-1)/2</f>
        <v>2.5</v>
      </c>
      <c r="AB322" s="0" t="n">
        <f aca="false">1+COUNTIF($T322:$W322,"&gt;"&amp;$T322)+(COUNTIF($T322:$W322,$T322)-1)/2</f>
        <v>3</v>
      </c>
      <c r="AC322" s="0" t="n">
        <f aca="false">1+COUNTIF($T322:$W322,"&gt;"&amp;$U322)+(COUNTIF($T322:$W322,$U322)-1)/2</f>
        <v>1</v>
      </c>
      <c r="AD322" s="0" t="n">
        <f aca="false">1+COUNTIF($T322:$W322,"&gt;"&amp;$V322)+(COUNTIF($T322:$W322,$V322)-1)/2</f>
        <v>4</v>
      </c>
      <c r="AE322" s="0" t="n">
        <f aca="false">1+COUNTIF($T322:$W322,"&gt;"&amp;$W322)+(COUNTIF($T322:$W322,$W322)-1)/2</f>
        <v>2</v>
      </c>
      <c r="AF322" s="0" t="n">
        <f aca="false">IFERROR(CORREL($P322:$S322,$T322:$W322),"")</f>
        <v>0.21695969405793</v>
      </c>
      <c r="AG322" s="0" t="n">
        <f aca="false">IFERROR(CORREL($X322:$AA322,$AB322:$AE322),"")</f>
        <v>0.632455532033676</v>
      </c>
      <c r="AH322" s="0" t="n">
        <f aca="false">IFERROR((SIGN($P322-$Q322)*SIGN($T322-$U322)+SIGN($P322-$R322)*SIGN($T322-$V322)+SIGN($P322-$S322)*SIGN($T322-$W322)+SIGN($Q322-$R322)*SIGN($U322-$V322)+SIGN($Q322-$S322)*SIGN($U322-$W322)+SIGN($R322-$S322)*SIGN($V322-$W322))/SQRT((6-(($P322=$Q322)*1+($P322=$R322)*1+($P322=$S322)*1+($Q322=$R322)*1+($Q322=$S322)*1+($R322=$S322)*1))*(6-(($T322=$U322)*1+($T322=$V322)*1+($T322=$W322)*1+($U322=$V322)*1+($U322=$W322)*1+($V322=$W322)*1))),"")</f>
        <v>0.547722557505166</v>
      </c>
      <c r="AI322" s="0" t="n">
        <f aca="false">MATCH(MAX($K322:$O322),$K322:$O322,0)</f>
        <v>2</v>
      </c>
      <c r="AJ322" s="0" t="n">
        <f aca="false">IF(AI322&lt;&gt;$E322,1,0)</f>
        <v>1</v>
      </c>
      <c r="AK322" s="0" t="n">
        <f aca="false">IF(AJ322=1,INDEX($F322:$J322,AI322)/MAX($P322:$S322),"")</f>
        <v>1</v>
      </c>
      <c r="AL322" s="0" t="n">
        <f aca="false">IF(AJ322=1,1+COUNTIF($P322:$S322,"&gt;"&amp;INDEX($F322:$J322,AI322)),"")</f>
        <v>1</v>
      </c>
      <c r="AM322" s="0" t="n">
        <f aca="false">AVERAGE($P322:$S322)/MAX($P322:$S322)</f>
        <v>0.889312977099237</v>
      </c>
      <c r="AN322" s="0" t="n">
        <f aca="false">100-INDEX($F322:$J322,$E322)</f>
        <v>48.6</v>
      </c>
    </row>
    <row r="323" customFormat="false" ht="15" hidden="false" customHeight="false" outlineLevel="0" collapsed="false">
      <c r="A323" s="0" t="s">
        <v>40</v>
      </c>
      <c r="B323" s="0" t="n">
        <v>2014</v>
      </c>
      <c r="C323" s="0" t="s">
        <v>47</v>
      </c>
      <c r="D323" s="0" t="s">
        <v>45</v>
      </c>
      <c r="E323" s="0" t="n">
        <v>1</v>
      </c>
      <c r="F323" s="0" t="n">
        <v>21.4</v>
      </c>
      <c r="G323" s="0" t="n">
        <v>22.4</v>
      </c>
      <c r="H323" s="0" t="n">
        <v>14</v>
      </c>
      <c r="I323" s="0" t="n">
        <v>19.4</v>
      </c>
      <c r="J323" s="0" t="n">
        <v>20.8</v>
      </c>
      <c r="K323" s="0" t="n">
        <v>63.6451265572</v>
      </c>
      <c r="L323" s="0" t="n">
        <v>1.0519587566</v>
      </c>
      <c r="M323" s="0" t="n">
        <v>12.7178081261</v>
      </c>
      <c r="N323" s="0" t="n">
        <v>10.2757952419</v>
      </c>
      <c r="O323" s="0" t="n">
        <v>12.3093113182</v>
      </c>
      <c r="P323" s="0" t="n">
        <f aca="false">INDEX($F323:$J323,IF(1&lt;$E323,1,1+1))</f>
        <v>22.4</v>
      </c>
      <c r="Q323" s="0" t="n">
        <f aca="false">INDEX($F323:$J323,IF(2&lt;$E323,2,2+1))</f>
        <v>14</v>
      </c>
      <c r="R323" s="0" t="n">
        <f aca="false">INDEX($F323:$J323,IF(3&lt;$E323,3,3+1))</f>
        <v>19.4</v>
      </c>
      <c r="S323" s="0" t="n">
        <f aca="false">INDEX($F323:$J323,IF(4&lt;$E323,4,4+1))</f>
        <v>20.8</v>
      </c>
      <c r="T323" s="0" t="n">
        <f aca="false">INDEX($K323:$O323,IF(1&lt;$E323,1,1+1))</f>
        <v>1.0519587566</v>
      </c>
      <c r="U323" s="0" t="n">
        <f aca="false">INDEX($K323:$O323,IF(2&lt;$E323,2,2+1))</f>
        <v>12.7178081261</v>
      </c>
      <c r="V323" s="0" t="n">
        <f aca="false">INDEX($K323:$O323,IF(3&lt;$E323,3,3+1))</f>
        <v>10.2757952419</v>
      </c>
      <c r="W323" s="0" t="n">
        <f aca="false">INDEX($K323:$O323,IF(4&lt;$E323,4,4+1))</f>
        <v>12.3093113182</v>
      </c>
      <c r="X323" s="0" t="n">
        <f aca="false">1+COUNTIF($P323:$S323,"&gt;"&amp;$P323)+(COUNTIF($P323:$S323,$P323)-1)/2</f>
        <v>1</v>
      </c>
      <c r="Y323" s="0" t="n">
        <f aca="false">1+COUNTIF($P323:$S323,"&gt;"&amp;$Q323)+(COUNTIF($P323:$S323,$Q323)-1)/2</f>
        <v>4</v>
      </c>
      <c r="Z323" s="0" t="n">
        <f aca="false">1+COUNTIF($P323:$S323,"&gt;"&amp;$R323)+(COUNTIF($P323:$S323,$R323)-1)/2</f>
        <v>3</v>
      </c>
      <c r="AA323" s="0" t="n">
        <f aca="false">1+COUNTIF($P323:$S323,"&gt;"&amp;$S323)+(COUNTIF($P323:$S323,$S323)-1)/2</f>
        <v>2</v>
      </c>
      <c r="AB323" s="0" t="n">
        <f aca="false">1+COUNTIF($T323:$W323,"&gt;"&amp;$T323)+(COUNTIF($T323:$W323,$T323)-1)/2</f>
        <v>4</v>
      </c>
      <c r="AC323" s="0" t="n">
        <f aca="false">1+COUNTIF($T323:$W323,"&gt;"&amp;$U323)+(COUNTIF($T323:$W323,$U323)-1)/2</f>
        <v>1</v>
      </c>
      <c r="AD323" s="0" t="n">
        <f aca="false">1+COUNTIF($T323:$W323,"&gt;"&amp;$V323)+(COUNTIF($T323:$W323,$V323)-1)/2</f>
        <v>3</v>
      </c>
      <c r="AE323" s="0" t="n">
        <f aca="false">1+COUNTIF($T323:$W323,"&gt;"&amp;$W323)+(COUNTIF($T323:$W323,$W323)-1)/2</f>
        <v>2</v>
      </c>
      <c r="AF323" s="0" t="n">
        <f aca="false">IFERROR(CORREL($P323:$S323,$T323:$W323),"")</f>
        <v>-0.65604755767413</v>
      </c>
      <c r="AG323" s="0" t="n">
        <f aca="false">IFERROR(CORREL($X323:$AA323,$AB323:$AE323),"")</f>
        <v>-0.8</v>
      </c>
      <c r="AH323" s="0" t="n">
        <f aca="false">IFERROR((SIGN($P323-$Q323)*SIGN($T323-$U323)+SIGN($P323-$R323)*SIGN($T323-$V323)+SIGN($P323-$S323)*SIGN($T323-$W323)+SIGN($Q323-$R323)*SIGN($U323-$V323)+SIGN($Q323-$S323)*SIGN($U323-$W323)+SIGN($R323-$S323)*SIGN($V323-$W323))/SQRT((6-(($P323=$Q323)*1+($P323=$R323)*1+($P323=$S323)*1+($Q323=$R323)*1+($Q323=$S323)*1+($R323=$S323)*1))*(6-(($T323=$U323)*1+($T323=$V323)*1+($T323=$W323)*1+($U323=$V323)*1+($U323=$W323)*1+($V323=$W323)*1))),"")</f>
        <v>-0.666666666666667</v>
      </c>
      <c r="AI323" s="0" t="n">
        <f aca="false">MATCH(MAX($K323:$O323),$K323:$O323,0)</f>
        <v>1</v>
      </c>
      <c r="AJ323" s="0" t="n">
        <f aca="false">IF(AI323&lt;&gt;$E323,1,0)</f>
        <v>0</v>
      </c>
      <c r="AK323" s="0" t="str">
        <f aca="false">IF(AJ323=1,INDEX($F323:$J323,AI323)/MAX($P323:$S323),"")</f>
        <v/>
      </c>
      <c r="AL323" s="0" t="str">
        <f aca="false">IF(AJ323=1,1+COUNTIF($P323:$S323,"&gt;"&amp;INDEX($F323:$J323,AI323)),"")</f>
        <v/>
      </c>
      <c r="AM323" s="0" t="n">
        <f aca="false">AVERAGE($P323:$S323)/MAX($P323:$S323)</f>
        <v>0.854910714285714</v>
      </c>
      <c r="AN323" s="0" t="n">
        <f aca="false">100-INDEX($F323:$J323,$E323)</f>
        <v>78.6</v>
      </c>
    </row>
    <row r="324" customFormat="false" ht="15" hidden="false" customHeight="false" outlineLevel="0" collapsed="false">
      <c r="A324" s="0" t="s">
        <v>40</v>
      </c>
      <c r="B324" s="0" t="n">
        <v>2014</v>
      </c>
      <c r="C324" s="0" t="s">
        <v>47</v>
      </c>
      <c r="D324" s="0" t="s">
        <v>53</v>
      </c>
      <c r="E324" s="0" t="n">
        <v>1</v>
      </c>
      <c r="F324" s="0" t="n">
        <v>31.4</v>
      </c>
      <c r="G324" s="0" t="n">
        <v>12.3</v>
      </c>
      <c r="H324" s="0" t="n">
        <v>25.8</v>
      </c>
      <c r="I324" s="0" t="n">
        <v>11</v>
      </c>
      <c r="J324" s="0" t="n">
        <v>17.3</v>
      </c>
      <c r="K324" s="0" t="n">
        <v>72.5335457289</v>
      </c>
      <c r="L324" s="0" t="n">
        <v>5.79768306794</v>
      </c>
      <c r="M324" s="0" t="n">
        <v>16.2861813848</v>
      </c>
      <c r="N324" s="0" t="n">
        <v>1.02667280095</v>
      </c>
      <c r="O324" s="0" t="n">
        <v>4.35591701745</v>
      </c>
      <c r="P324" s="0" t="n">
        <f aca="false">INDEX($F324:$J324,IF(1&lt;$E324,1,1+1))</f>
        <v>12.3</v>
      </c>
      <c r="Q324" s="0" t="n">
        <f aca="false">INDEX($F324:$J324,IF(2&lt;$E324,2,2+1))</f>
        <v>25.8</v>
      </c>
      <c r="R324" s="0" t="n">
        <f aca="false">INDEX($F324:$J324,IF(3&lt;$E324,3,3+1))</f>
        <v>11</v>
      </c>
      <c r="S324" s="0" t="n">
        <f aca="false">INDEX($F324:$J324,IF(4&lt;$E324,4,4+1))</f>
        <v>17.3</v>
      </c>
      <c r="T324" s="0" t="n">
        <f aca="false">INDEX($K324:$O324,IF(1&lt;$E324,1,1+1))</f>
        <v>5.79768306794</v>
      </c>
      <c r="U324" s="0" t="n">
        <f aca="false">INDEX($K324:$O324,IF(2&lt;$E324,2,2+1))</f>
        <v>16.2861813848</v>
      </c>
      <c r="V324" s="0" t="n">
        <f aca="false">INDEX($K324:$O324,IF(3&lt;$E324,3,3+1))</f>
        <v>1.02667280095</v>
      </c>
      <c r="W324" s="0" t="n">
        <f aca="false">INDEX($K324:$O324,IF(4&lt;$E324,4,4+1))</f>
        <v>4.35591701745</v>
      </c>
      <c r="X324" s="0" t="n">
        <f aca="false">1+COUNTIF($P324:$S324,"&gt;"&amp;$P324)+(COUNTIF($P324:$S324,$P324)-1)/2</f>
        <v>3</v>
      </c>
      <c r="Y324" s="0" t="n">
        <f aca="false">1+COUNTIF($P324:$S324,"&gt;"&amp;$Q324)+(COUNTIF($P324:$S324,$Q324)-1)/2</f>
        <v>1</v>
      </c>
      <c r="Z324" s="0" t="n">
        <f aca="false">1+COUNTIF($P324:$S324,"&gt;"&amp;$R324)+(COUNTIF($P324:$S324,$R324)-1)/2</f>
        <v>4</v>
      </c>
      <c r="AA324" s="0" t="n">
        <f aca="false">1+COUNTIF($P324:$S324,"&gt;"&amp;$S324)+(COUNTIF($P324:$S324,$S324)-1)/2</f>
        <v>2</v>
      </c>
      <c r="AB324" s="0" t="n">
        <f aca="false">1+COUNTIF($T324:$W324,"&gt;"&amp;$T324)+(COUNTIF($T324:$W324,$T324)-1)/2</f>
        <v>2</v>
      </c>
      <c r="AC324" s="0" t="n">
        <f aca="false">1+COUNTIF($T324:$W324,"&gt;"&amp;$U324)+(COUNTIF($T324:$W324,$U324)-1)/2</f>
        <v>1</v>
      </c>
      <c r="AD324" s="0" t="n">
        <f aca="false">1+COUNTIF($T324:$W324,"&gt;"&amp;$V324)+(COUNTIF($T324:$W324,$V324)-1)/2</f>
        <v>4</v>
      </c>
      <c r="AE324" s="0" t="n">
        <f aca="false">1+COUNTIF($T324:$W324,"&gt;"&amp;$W324)+(COUNTIF($T324:$W324,$W324)-1)/2</f>
        <v>3</v>
      </c>
      <c r="AF324" s="0" t="n">
        <f aca="false">IFERROR(CORREL($P324:$S324,$T324:$W324),"")</f>
        <v>0.921526695093379</v>
      </c>
      <c r="AG324" s="0" t="n">
        <f aca="false">IFERROR(CORREL($X324:$AA324,$AB324:$AE324),"")</f>
        <v>0.8</v>
      </c>
      <c r="AH324" s="0" t="n">
        <f aca="false">IFERROR((SIGN($P324-$Q324)*SIGN($T324-$U324)+SIGN($P324-$R324)*SIGN($T324-$V324)+SIGN($P324-$S324)*SIGN($T324-$W324)+SIGN($Q324-$R324)*SIGN($U324-$V324)+SIGN($Q324-$S324)*SIGN($U324-$W324)+SIGN($R324-$S324)*SIGN($V324-$W324))/SQRT((6-(($P324=$Q324)*1+($P324=$R324)*1+($P324=$S324)*1+($Q324=$R324)*1+($Q324=$S324)*1+($R324=$S324)*1))*(6-(($T324=$U324)*1+($T324=$V324)*1+($T324=$W324)*1+($U324=$V324)*1+($U324=$W324)*1+($V324=$W324)*1))),"")</f>
        <v>0.666666666666667</v>
      </c>
      <c r="AI324" s="0" t="n">
        <f aca="false">MATCH(MAX($K324:$O324),$K324:$O324,0)</f>
        <v>1</v>
      </c>
      <c r="AJ324" s="0" t="n">
        <f aca="false">IF(AI324&lt;&gt;$E324,1,0)</f>
        <v>0</v>
      </c>
      <c r="AK324" s="0" t="str">
        <f aca="false">IF(AJ324=1,INDEX($F324:$J324,AI324)/MAX($P324:$S324),"")</f>
        <v/>
      </c>
      <c r="AL324" s="0" t="str">
        <f aca="false">IF(AJ324=1,1+COUNTIF($P324:$S324,"&gt;"&amp;INDEX($F324:$J324,AI324)),"")</f>
        <v/>
      </c>
      <c r="AM324" s="0" t="n">
        <f aca="false">AVERAGE($P324:$S324)/MAX($P324:$S324)</f>
        <v>0.643410852713178</v>
      </c>
      <c r="AN324" s="0" t="n">
        <f aca="false">100-INDEX($F324:$J324,$E324)</f>
        <v>68.6</v>
      </c>
    </row>
    <row r="325" customFormat="false" ht="15" hidden="false" customHeight="false" outlineLevel="0" collapsed="false">
      <c r="A325" s="0" t="s">
        <v>40</v>
      </c>
      <c r="B325" s="0" t="n">
        <v>2013</v>
      </c>
      <c r="C325" s="0" t="s">
        <v>48</v>
      </c>
      <c r="D325" s="0" t="s">
        <v>45</v>
      </c>
      <c r="E325" s="0" t="n">
        <v>2</v>
      </c>
      <c r="F325" s="0" t="n">
        <v>7.6</v>
      </c>
      <c r="G325" s="0" t="n">
        <v>40</v>
      </c>
      <c r="H325" s="0" t="n">
        <v>19.4</v>
      </c>
      <c r="I325" s="0" t="n">
        <v>25.2</v>
      </c>
      <c r="J325" s="0" t="n">
        <v>5.4</v>
      </c>
      <c r="K325" s="0" t="n">
        <v>1.26370428033</v>
      </c>
      <c r="L325" s="0" t="n">
        <v>55.7909378264</v>
      </c>
      <c r="M325" s="0" t="n">
        <v>34.1747504438</v>
      </c>
      <c r="N325" s="0" t="n">
        <v>4.22063156861</v>
      </c>
      <c r="O325" s="0" t="n">
        <v>4.54997588083</v>
      </c>
      <c r="P325" s="0" t="n">
        <f aca="false">INDEX($F325:$J325,IF(1&lt;$E325,1,1+1))</f>
        <v>7.6</v>
      </c>
      <c r="Q325" s="0" t="n">
        <f aca="false">INDEX($F325:$J325,IF(2&lt;$E325,2,2+1))</f>
        <v>19.4</v>
      </c>
      <c r="R325" s="0" t="n">
        <f aca="false">INDEX($F325:$J325,IF(3&lt;$E325,3,3+1))</f>
        <v>25.2</v>
      </c>
      <c r="S325" s="0" t="n">
        <f aca="false">INDEX($F325:$J325,IF(4&lt;$E325,4,4+1))</f>
        <v>5.4</v>
      </c>
      <c r="T325" s="0" t="n">
        <f aca="false">INDEX($K325:$O325,IF(1&lt;$E325,1,1+1))</f>
        <v>1.26370428033</v>
      </c>
      <c r="U325" s="0" t="n">
        <f aca="false">INDEX($K325:$O325,IF(2&lt;$E325,2,2+1))</f>
        <v>34.1747504438</v>
      </c>
      <c r="V325" s="0" t="n">
        <f aca="false">INDEX($K325:$O325,IF(3&lt;$E325,3,3+1))</f>
        <v>4.22063156861</v>
      </c>
      <c r="W325" s="0" t="n">
        <f aca="false">INDEX($K325:$O325,IF(4&lt;$E325,4,4+1))</f>
        <v>4.54997588083</v>
      </c>
      <c r="X325" s="0" t="n">
        <f aca="false">1+COUNTIF($P325:$S325,"&gt;"&amp;$P325)+(COUNTIF($P325:$S325,$P325)-1)/2</f>
        <v>3</v>
      </c>
      <c r="Y325" s="0" t="n">
        <f aca="false">1+COUNTIF($P325:$S325,"&gt;"&amp;$Q325)+(COUNTIF($P325:$S325,$Q325)-1)/2</f>
        <v>2</v>
      </c>
      <c r="Z325" s="0" t="n">
        <f aca="false">1+COUNTIF($P325:$S325,"&gt;"&amp;$R325)+(COUNTIF($P325:$S325,$R325)-1)/2</f>
        <v>1</v>
      </c>
      <c r="AA325" s="0" t="n">
        <f aca="false">1+COUNTIF($P325:$S325,"&gt;"&amp;$S325)+(COUNTIF($P325:$S325,$S325)-1)/2</f>
        <v>4</v>
      </c>
      <c r="AB325" s="0" t="n">
        <f aca="false">1+COUNTIF($T325:$W325,"&gt;"&amp;$T325)+(COUNTIF($T325:$W325,$T325)-1)/2</f>
        <v>4</v>
      </c>
      <c r="AC325" s="0" t="n">
        <f aca="false">1+COUNTIF($T325:$W325,"&gt;"&amp;$U325)+(COUNTIF($T325:$W325,$U325)-1)/2</f>
        <v>1</v>
      </c>
      <c r="AD325" s="0" t="n">
        <f aca="false">1+COUNTIF($T325:$W325,"&gt;"&amp;$V325)+(COUNTIF($T325:$W325,$V325)-1)/2</f>
        <v>3</v>
      </c>
      <c r="AE325" s="0" t="n">
        <f aca="false">1+COUNTIF($T325:$W325,"&gt;"&amp;$W325)+(COUNTIF($T325:$W325,$W325)-1)/2</f>
        <v>2</v>
      </c>
      <c r="AF325" s="0" t="n">
        <f aca="false">IFERROR(CORREL($P325:$S325,$T325:$W325),"")</f>
        <v>0.379509245680677</v>
      </c>
      <c r="AG325" s="0" t="n">
        <f aca="false">IFERROR(CORREL($X325:$AA325,$AB325:$AE325),"")</f>
        <v>0</v>
      </c>
      <c r="AH325" s="0" t="n">
        <f aca="false">IFERROR((SIGN($P325-$Q325)*SIGN($T325-$U325)+SIGN($P325-$R325)*SIGN($T325-$V325)+SIGN($P325-$S325)*SIGN($T325-$W325)+SIGN($Q325-$R325)*SIGN($U325-$V325)+SIGN($Q325-$S325)*SIGN($U325-$W325)+SIGN($R325-$S325)*SIGN($V325-$W325))/SQRT((6-(($P325=$Q325)*1+($P325=$R325)*1+($P325=$S325)*1+($Q325=$R325)*1+($Q325=$S325)*1+($R325=$S325)*1))*(6-(($T325=$U325)*1+($T325=$V325)*1+($T325=$W325)*1+($U325=$V325)*1+($U325=$W325)*1+($V325=$W325)*1))),"")</f>
        <v>0</v>
      </c>
      <c r="AI325" s="0" t="n">
        <f aca="false">MATCH(MAX($K325:$O325),$K325:$O325,0)</f>
        <v>2</v>
      </c>
      <c r="AJ325" s="0" t="n">
        <f aca="false">IF(AI325&lt;&gt;$E325,1,0)</f>
        <v>0</v>
      </c>
      <c r="AK325" s="0" t="str">
        <f aca="false">IF(AJ325=1,INDEX($F325:$J325,AI325)/MAX($P325:$S325),"")</f>
        <v/>
      </c>
      <c r="AL325" s="0" t="str">
        <f aca="false">IF(AJ325=1,1+COUNTIF($P325:$S325,"&gt;"&amp;INDEX($F325:$J325,AI325)),"")</f>
        <v/>
      </c>
      <c r="AM325" s="0" t="n">
        <f aca="false">AVERAGE($P325:$S325)/MAX($P325:$S325)</f>
        <v>0.571428571428571</v>
      </c>
      <c r="AN325" s="0" t="n">
        <f aca="false">100-INDEX($F325:$J325,$E325)</f>
        <v>60</v>
      </c>
    </row>
    <row r="326" customFormat="false" ht="15" hidden="false" customHeight="false" outlineLevel="0" collapsed="false">
      <c r="A326" s="0" t="s">
        <v>40</v>
      </c>
      <c r="B326" s="0" t="n">
        <v>2013</v>
      </c>
      <c r="C326" s="0" t="s">
        <v>48</v>
      </c>
      <c r="D326" s="0" t="s">
        <v>53</v>
      </c>
      <c r="E326" s="0" t="n">
        <v>4</v>
      </c>
      <c r="F326" s="0" t="n">
        <v>5.8</v>
      </c>
      <c r="G326" s="0" t="n">
        <v>8.2</v>
      </c>
      <c r="H326" s="0" t="n">
        <v>10.6</v>
      </c>
      <c r="I326" s="0" t="n">
        <v>62.9</v>
      </c>
      <c r="J326" s="0" t="n">
        <v>10.1</v>
      </c>
      <c r="K326" s="0" t="n">
        <v>11.9645366467</v>
      </c>
      <c r="L326" s="0" t="n">
        <v>11.8194632959</v>
      </c>
      <c r="M326" s="0" t="n">
        <v>6.28883429009</v>
      </c>
      <c r="N326" s="0" t="n">
        <v>16.1212602284</v>
      </c>
      <c r="O326" s="0" t="n">
        <v>53.8059055388</v>
      </c>
      <c r="P326" s="0" t="n">
        <f aca="false">INDEX($F326:$J326,IF(1&lt;$E326,1,1+1))</f>
        <v>5.8</v>
      </c>
      <c r="Q326" s="0" t="n">
        <f aca="false">INDEX($F326:$J326,IF(2&lt;$E326,2,2+1))</f>
        <v>8.2</v>
      </c>
      <c r="R326" s="0" t="n">
        <f aca="false">INDEX($F326:$J326,IF(3&lt;$E326,3,3+1))</f>
        <v>10.6</v>
      </c>
      <c r="S326" s="0" t="n">
        <f aca="false">INDEX($F326:$J326,IF(4&lt;$E326,4,4+1))</f>
        <v>10.1</v>
      </c>
      <c r="T326" s="0" t="n">
        <f aca="false">INDEX($K326:$O326,IF(1&lt;$E326,1,1+1))</f>
        <v>11.9645366467</v>
      </c>
      <c r="U326" s="0" t="n">
        <f aca="false">INDEX($K326:$O326,IF(2&lt;$E326,2,2+1))</f>
        <v>11.8194632959</v>
      </c>
      <c r="V326" s="0" t="n">
        <f aca="false">INDEX($K326:$O326,IF(3&lt;$E326,3,3+1))</f>
        <v>6.28883429009</v>
      </c>
      <c r="W326" s="0" t="n">
        <f aca="false">INDEX($K326:$O326,IF(4&lt;$E326,4,4+1))</f>
        <v>53.8059055388</v>
      </c>
      <c r="X326" s="0" t="n">
        <f aca="false">1+COUNTIF($P326:$S326,"&gt;"&amp;$P326)+(COUNTIF($P326:$S326,$P326)-1)/2</f>
        <v>4</v>
      </c>
      <c r="Y326" s="0" t="n">
        <f aca="false">1+COUNTIF($P326:$S326,"&gt;"&amp;$Q326)+(COUNTIF($P326:$S326,$Q326)-1)/2</f>
        <v>3</v>
      </c>
      <c r="Z326" s="0" t="n">
        <f aca="false">1+COUNTIF($P326:$S326,"&gt;"&amp;$R326)+(COUNTIF($P326:$S326,$R326)-1)/2</f>
        <v>1</v>
      </c>
      <c r="AA326" s="0" t="n">
        <f aca="false">1+COUNTIF($P326:$S326,"&gt;"&amp;$S326)+(COUNTIF($P326:$S326,$S326)-1)/2</f>
        <v>2</v>
      </c>
      <c r="AB326" s="0" t="n">
        <f aca="false">1+COUNTIF($T326:$W326,"&gt;"&amp;$T326)+(COUNTIF($T326:$W326,$T326)-1)/2</f>
        <v>2</v>
      </c>
      <c r="AC326" s="0" t="n">
        <f aca="false">1+COUNTIF($T326:$W326,"&gt;"&amp;$U326)+(COUNTIF($T326:$W326,$U326)-1)/2</f>
        <v>3</v>
      </c>
      <c r="AD326" s="0" t="n">
        <f aca="false">1+COUNTIF($T326:$W326,"&gt;"&amp;$V326)+(COUNTIF($T326:$W326,$V326)-1)/2</f>
        <v>4</v>
      </c>
      <c r="AE326" s="0" t="n">
        <f aca="false">1+COUNTIF($T326:$W326,"&gt;"&amp;$W326)+(COUNTIF($T326:$W326,$W326)-1)/2</f>
        <v>1</v>
      </c>
      <c r="AF326" s="0" t="n">
        <f aca="false">IFERROR(CORREL($P326:$S326,$T326:$W326),"")</f>
        <v>0.338532356809617</v>
      </c>
      <c r="AG326" s="0" t="n">
        <f aca="false">IFERROR(CORREL($X326:$AA326,$AB326:$AE326),"")</f>
        <v>-0.4</v>
      </c>
      <c r="AH326" s="0" t="n">
        <f aca="false">IFERROR((SIGN($P326-$Q326)*SIGN($T326-$U326)+SIGN($P326-$R326)*SIGN($T326-$V326)+SIGN($P326-$S326)*SIGN($T326-$W326)+SIGN($Q326-$R326)*SIGN($U326-$V326)+SIGN($Q326-$S326)*SIGN($U326-$W326)+SIGN($R326-$S326)*SIGN($V326-$W326))/SQRT((6-(($P326=$Q326)*1+($P326=$R326)*1+($P326=$S326)*1+($Q326=$R326)*1+($Q326=$S326)*1+($R326=$S326)*1))*(6-(($T326=$U326)*1+($T326=$V326)*1+($T326=$W326)*1+($U326=$V326)*1+($U326=$W326)*1+($V326=$W326)*1))),"")</f>
        <v>-0.333333333333333</v>
      </c>
      <c r="AI326" s="0" t="n">
        <f aca="false">MATCH(MAX($K326:$O326),$K326:$O326,0)</f>
        <v>5</v>
      </c>
      <c r="AJ326" s="0" t="n">
        <f aca="false">IF(AI326&lt;&gt;$E326,1,0)</f>
        <v>1</v>
      </c>
      <c r="AK326" s="0" t="n">
        <f aca="false">IF(AJ326=1,INDEX($F326:$J326,AI326)/MAX($P326:$S326),"")</f>
        <v>0.952830188679245</v>
      </c>
      <c r="AL326" s="0" t="n">
        <f aca="false">IF(AJ326=1,1+COUNTIF($P326:$S326,"&gt;"&amp;INDEX($F326:$J326,AI326)),"")</f>
        <v>2</v>
      </c>
      <c r="AM326" s="0" t="n">
        <f aca="false">AVERAGE($P326:$S326)/MAX($P326:$S326)</f>
        <v>0.818396226415094</v>
      </c>
      <c r="AN326" s="0" t="n">
        <f aca="false">100-INDEX($F326:$J326,$E326)</f>
        <v>37.1</v>
      </c>
    </row>
    <row r="327" customFormat="false" ht="15" hidden="false" customHeight="false" outlineLevel="0" collapsed="false">
      <c r="A327" s="0" t="s">
        <v>40</v>
      </c>
      <c r="B327" s="0" t="n">
        <v>2013</v>
      </c>
      <c r="C327" s="0" t="s">
        <v>48</v>
      </c>
      <c r="D327" s="0" t="s">
        <v>55</v>
      </c>
      <c r="E327" s="0" t="n">
        <v>4</v>
      </c>
      <c r="F327" s="0" t="n">
        <v>10.2</v>
      </c>
      <c r="G327" s="0" t="n">
        <v>14.3</v>
      </c>
      <c r="H327" s="0" t="n">
        <v>14.1</v>
      </c>
      <c r="I327" s="0" t="n">
        <v>39.6</v>
      </c>
      <c r="J327" s="0" t="n">
        <v>19.4</v>
      </c>
      <c r="K327" s="0" t="n">
        <v>3.45346745607</v>
      </c>
      <c r="L327" s="0" t="n">
        <v>15.1153829839</v>
      </c>
      <c r="M327" s="0" t="n">
        <v>44.6641570317</v>
      </c>
      <c r="N327" s="0" t="n">
        <v>24.820248048</v>
      </c>
      <c r="O327" s="0" t="n">
        <v>11.9467444803</v>
      </c>
      <c r="P327" s="0" t="n">
        <f aca="false">INDEX($F327:$J327,IF(1&lt;$E327,1,1+1))</f>
        <v>10.2</v>
      </c>
      <c r="Q327" s="0" t="n">
        <f aca="false">INDEX($F327:$J327,IF(2&lt;$E327,2,2+1))</f>
        <v>14.3</v>
      </c>
      <c r="R327" s="0" t="n">
        <f aca="false">INDEX($F327:$J327,IF(3&lt;$E327,3,3+1))</f>
        <v>14.1</v>
      </c>
      <c r="S327" s="0" t="n">
        <f aca="false">INDEX($F327:$J327,IF(4&lt;$E327,4,4+1))</f>
        <v>19.4</v>
      </c>
      <c r="T327" s="0" t="n">
        <f aca="false">INDEX($K327:$O327,IF(1&lt;$E327,1,1+1))</f>
        <v>3.45346745607</v>
      </c>
      <c r="U327" s="0" t="n">
        <f aca="false">INDEX($K327:$O327,IF(2&lt;$E327,2,2+1))</f>
        <v>15.1153829839</v>
      </c>
      <c r="V327" s="0" t="n">
        <f aca="false">INDEX($K327:$O327,IF(3&lt;$E327,3,3+1))</f>
        <v>44.6641570317</v>
      </c>
      <c r="W327" s="0" t="n">
        <f aca="false">INDEX($K327:$O327,IF(4&lt;$E327,4,4+1))</f>
        <v>11.9467444803</v>
      </c>
      <c r="X327" s="0" t="n">
        <f aca="false">1+COUNTIF($P327:$S327,"&gt;"&amp;$P327)+(COUNTIF($P327:$S327,$P327)-1)/2</f>
        <v>4</v>
      </c>
      <c r="Y327" s="0" t="n">
        <f aca="false">1+COUNTIF($P327:$S327,"&gt;"&amp;$Q327)+(COUNTIF($P327:$S327,$Q327)-1)/2</f>
        <v>2</v>
      </c>
      <c r="Z327" s="0" t="n">
        <f aca="false">1+COUNTIF($P327:$S327,"&gt;"&amp;$R327)+(COUNTIF($P327:$S327,$R327)-1)/2</f>
        <v>3</v>
      </c>
      <c r="AA327" s="0" t="n">
        <f aca="false">1+COUNTIF($P327:$S327,"&gt;"&amp;$S327)+(COUNTIF($P327:$S327,$S327)-1)/2</f>
        <v>1</v>
      </c>
      <c r="AB327" s="0" t="n">
        <f aca="false">1+COUNTIF($T327:$W327,"&gt;"&amp;$T327)+(COUNTIF($T327:$W327,$T327)-1)/2</f>
        <v>4</v>
      </c>
      <c r="AC327" s="0" t="n">
        <f aca="false">1+COUNTIF($T327:$W327,"&gt;"&amp;$U327)+(COUNTIF($T327:$W327,$U327)-1)/2</f>
        <v>2</v>
      </c>
      <c r="AD327" s="0" t="n">
        <f aca="false">1+COUNTIF($T327:$W327,"&gt;"&amp;$V327)+(COUNTIF($T327:$W327,$V327)-1)/2</f>
        <v>1</v>
      </c>
      <c r="AE327" s="0" t="n">
        <f aca="false">1+COUNTIF($T327:$W327,"&gt;"&amp;$W327)+(COUNTIF($T327:$W327,$W327)-1)/2</f>
        <v>3</v>
      </c>
      <c r="AF327" s="0" t="n">
        <f aca="false">IFERROR(CORREL($P327:$S327,$T327:$W327),"")</f>
        <v>0.112321183845172</v>
      </c>
      <c r="AG327" s="0" t="n">
        <f aca="false">IFERROR(CORREL($X327:$AA327,$AB327:$AE327),"")</f>
        <v>0.2</v>
      </c>
      <c r="AH327" s="0" t="n">
        <f aca="false">IFERROR((SIGN($P327-$Q327)*SIGN($T327-$U327)+SIGN($P327-$R327)*SIGN($T327-$V327)+SIGN($P327-$S327)*SIGN($T327-$W327)+SIGN($Q327-$R327)*SIGN($U327-$V327)+SIGN($Q327-$S327)*SIGN($U327-$W327)+SIGN($R327-$S327)*SIGN($V327-$W327))/SQRT((6-(($P327=$Q327)*1+($P327=$R327)*1+($P327=$S327)*1+($Q327=$R327)*1+($Q327=$S327)*1+($R327=$S327)*1))*(6-(($T327=$U327)*1+($T327=$V327)*1+($T327=$W327)*1+($U327=$V327)*1+($U327=$W327)*1+($V327=$W327)*1))),"")</f>
        <v>0</v>
      </c>
      <c r="AI327" s="0" t="n">
        <f aca="false">MATCH(MAX($K327:$O327),$K327:$O327,0)</f>
        <v>3</v>
      </c>
      <c r="AJ327" s="0" t="n">
        <f aca="false">IF(AI327&lt;&gt;$E327,1,0)</f>
        <v>1</v>
      </c>
      <c r="AK327" s="0" t="n">
        <f aca="false">IF(AJ327=1,INDEX($F327:$J327,AI327)/MAX($P327:$S327),"")</f>
        <v>0.72680412371134</v>
      </c>
      <c r="AL327" s="0" t="n">
        <f aca="false">IF(AJ327=1,1+COUNTIF($P327:$S327,"&gt;"&amp;INDEX($F327:$J327,AI327)),"")</f>
        <v>3</v>
      </c>
      <c r="AM327" s="0" t="n">
        <f aca="false">AVERAGE($P327:$S327)/MAX($P327:$S327)</f>
        <v>0.747422680412371</v>
      </c>
      <c r="AN327" s="0" t="n">
        <f aca="false">100-INDEX($F327:$J327,$E327)</f>
        <v>60.4</v>
      </c>
    </row>
    <row r="328" customFormat="false" ht="15" hidden="false" customHeight="false" outlineLevel="0" collapsed="false">
      <c r="A328" s="0" t="s">
        <v>40</v>
      </c>
      <c r="B328" s="0" t="n">
        <v>2013</v>
      </c>
      <c r="C328" s="0" t="s">
        <v>49</v>
      </c>
      <c r="D328" s="0" t="s">
        <v>45</v>
      </c>
      <c r="E328" s="0" t="n">
        <v>1</v>
      </c>
      <c r="F328" s="0" t="n">
        <v>41</v>
      </c>
      <c r="G328" s="0" t="n">
        <v>14.6</v>
      </c>
      <c r="H328" s="0" t="n">
        <v>15.6</v>
      </c>
      <c r="I328" s="0" t="n">
        <v>10.1</v>
      </c>
      <c r="J328" s="0" t="n">
        <v>16.8</v>
      </c>
      <c r="K328" s="0" t="n">
        <v>31.4078891784</v>
      </c>
      <c r="L328" s="0" t="n">
        <v>5.77633767538</v>
      </c>
      <c r="M328" s="0" t="n">
        <v>45.5776641147</v>
      </c>
      <c r="N328" s="0" t="n">
        <v>2.65066634723</v>
      </c>
      <c r="O328" s="0" t="n">
        <v>14.5874426843</v>
      </c>
      <c r="P328" s="0" t="n">
        <f aca="false">INDEX($F328:$J328,IF(1&lt;$E328,1,1+1))</f>
        <v>14.6</v>
      </c>
      <c r="Q328" s="0" t="n">
        <f aca="false">INDEX($F328:$J328,IF(2&lt;$E328,2,2+1))</f>
        <v>15.6</v>
      </c>
      <c r="R328" s="0" t="n">
        <f aca="false">INDEX($F328:$J328,IF(3&lt;$E328,3,3+1))</f>
        <v>10.1</v>
      </c>
      <c r="S328" s="0" t="n">
        <f aca="false">INDEX($F328:$J328,IF(4&lt;$E328,4,4+1))</f>
        <v>16.8</v>
      </c>
      <c r="T328" s="0" t="n">
        <f aca="false">INDEX($K328:$O328,IF(1&lt;$E328,1,1+1))</f>
        <v>5.77633767538</v>
      </c>
      <c r="U328" s="0" t="n">
        <f aca="false">INDEX($K328:$O328,IF(2&lt;$E328,2,2+1))</f>
        <v>45.5776641147</v>
      </c>
      <c r="V328" s="0" t="n">
        <f aca="false">INDEX($K328:$O328,IF(3&lt;$E328,3,3+1))</f>
        <v>2.65066634723</v>
      </c>
      <c r="W328" s="0" t="n">
        <f aca="false">INDEX($K328:$O328,IF(4&lt;$E328,4,4+1))</f>
        <v>14.5874426843</v>
      </c>
      <c r="X328" s="0" t="n">
        <f aca="false">1+COUNTIF($P328:$S328,"&gt;"&amp;$P328)+(COUNTIF($P328:$S328,$P328)-1)/2</f>
        <v>3</v>
      </c>
      <c r="Y328" s="0" t="n">
        <f aca="false">1+COUNTIF($P328:$S328,"&gt;"&amp;$Q328)+(COUNTIF($P328:$S328,$Q328)-1)/2</f>
        <v>2</v>
      </c>
      <c r="Z328" s="0" t="n">
        <f aca="false">1+COUNTIF($P328:$S328,"&gt;"&amp;$R328)+(COUNTIF($P328:$S328,$R328)-1)/2</f>
        <v>4</v>
      </c>
      <c r="AA328" s="0" t="n">
        <f aca="false">1+COUNTIF($P328:$S328,"&gt;"&amp;$S328)+(COUNTIF($P328:$S328,$S328)-1)/2</f>
        <v>1</v>
      </c>
      <c r="AB328" s="0" t="n">
        <f aca="false">1+COUNTIF($T328:$W328,"&gt;"&amp;$T328)+(COUNTIF($T328:$W328,$T328)-1)/2</f>
        <v>3</v>
      </c>
      <c r="AC328" s="0" t="n">
        <f aca="false">1+COUNTIF($T328:$W328,"&gt;"&amp;$U328)+(COUNTIF($T328:$W328,$U328)-1)/2</f>
        <v>1</v>
      </c>
      <c r="AD328" s="0" t="n">
        <f aca="false">1+COUNTIF($T328:$W328,"&gt;"&amp;$V328)+(COUNTIF($T328:$W328,$V328)-1)/2</f>
        <v>4</v>
      </c>
      <c r="AE328" s="0" t="n">
        <f aca="false">1+COUNTIF($T328:$W328,"&gt;"&amp;$W328)+(COUNTIF($T328:$W328,$W328)-1)/2</f>
        <v>2</v>
      </c>
      <c r="AF328" s="0" t="n">
        <f aca="false">IFERROR(CORREL($P328:$S328,$T328:$W328),"")</f>
        <v>0.511450486743177</v>
      </c>
      <c r="AG328" s="0" t="n">
        <f aca="false">IFERROR(CORREL($X328:$AA328,$AB328:$AE328),"")</f>
        <v>0.8</v>
      </c>
      <c r="AH328" s="0" t="n">
        <f aca="false">IFERROR((SIGN($P328-$Q328)*SIGN($T328-$U328)+SIGN($P328-$R328)*SIGN($T328-$V328)+SIGN($P328-$S328)*SIGN($T328-$W328)+SIGN($Q328-$R328)*SIGN($U328-$V328)+SIGN($Q328-$S328)*SIGN($U328-$W328)+SIGN($R328-$S328)*SIGN($V328-$W328))/SQRT((6-(($P328=$Q328)*1+($P328=$R328)*1+($P328=$S328)*1+($Q328=$R328)*1+($Q328=$S328)*1+($R328=$S328)*1))*(6-(($T328=$U328)*1+($T328=$V328)*1+($T328=$W328)*1+($U328=$V328)*1+($U328=$W328)*1+($V328=$W328)*1))),"")</f>
        <v>0.666666666666667</v>
      </c>
      <c r="AI328" s="0" t="n">
        <f aca="false">MATCH(MAX($K328:$O328),$K328:$O328,0)</f>
        <v>3</v>
      </c>
      <c r="AJ328" s="0" t="n">
        <f aca="false">IF(AI328&lt;&gt;$E328,1,0)</f>
        <v>1</v>
      </c>
      <c r="AK328" s="0" t="n">
        <f aca="false">IF(AJ328=1,INDEX($F328:$J328,AI328)/MAX($P328:$S328),"")</f>
        <v>0.928571428571429</v>
      </c>
      <c r="AL328" s="0" t="n">
        <f aca="false">IF(AJ328=1,1+COUNTIF($P328:$S328,"&gt;"&amp;INDEX($F328:$J328,AI328)),"")</f>
        <v>2</v>
      </c>
      <c r="AM328" s="0" t="n">
        <f aca="false">AVERAGE($P328:$S328)/MAX($P328:$S328)</f>
        <v>0.849702380952381</v>
      </c>
      <c r="AN328" s="0" t="n">
        <f aca="false">100-INDEX($F328:$J328,$E328)</f>
        <v>59</v>
      </c>
    </row>
    <row r="329" customFormat="false" ht="15" hidden="false" customHeight="false" outlineLevel="0" collapsed="false">
      <c r="A329" s="0" t="s">
        <v>40</v>
      </c>
      <c r="B329" s="0" t="n">
        <v>2013</v>
      </c>
      <c r="C329" s="0" t="s">
        <v>49</v>
      </c>
      <c r="D329" s="0" t="s">
        <v>53</v>
      </c>
      <c r="E329" s="0" t="n">
        <v>4</v>
      </c>
      <c r="F329" s="0" t="n">
        <v>5.8</v>
      </c>
      <c r="G329" s="0" t="n">
        <v>8.2</v>
      </c>
      <c r="H329" s="0" t="n">
        <v>10.6</v>
      </c>
      <c r="I329" s="0" t="n">
        <v>62.9</v>
      </c>
      <c r="J329" s="0" t="n">
        <v>10.1</v>
      </c>
      <c r="K329" s="0" t="n">
        <v>8.80215166431</v>
      </c>
      <c r="L329" s="0" t="n">
        <v>6.86165328901</v>
      </c>
      <c r="M329" s="0" t="n">
        <v>6.40703215114</v>
      </c>
      <c r="N329" s="0" t="n">
        <v>62.5941632291</v>
      </c>
      <c r="O329" s="0" t="n">
        <v>15.3349996664</v>
      </c>
      <c r="P329" s="0" t="n">
        <f aca="false">INDEX($F329:$J329,IF(1&lt;$E329,1,1+1))</f>
        <v>5.8</v>
      </c>
      <c r="Q329" s="0" t="n">
        <f aca="false">INDEX($F329:$J329,IF(2&lt;$E329,2,2+1))</f>
        <v>8.2</v>
      </c>
      <c r="R329" s="0" t="n">
        <f aca="false">INDEX($F329:$J329,IF(3&lt;$E329,3,3+1))</f>
        <v>10.6</v>
      </c>
      <c r="S329" s="0" t="n">
        <f aca="false">INDEX($F329:$J329,IF(4&lt;$E329,4,4+1))</f>
        <v>10.1</v>
      </c>
      <c r="T329" s="0" t="n">
        <f aca="false">INDEX($K329:$O329,IF(1&lt;$E329,1,1+1))</f>
        <v>8.80215166431</v>
      </c>
      <c r="U329" s="0" t="n">
        <f aca="false">INDEX($K329:$O329,IF(2&lt;$E329,2,2+1))</f>
        <v>6.86165328901</v>
      </c>
      <c r="V329" s="0" t="n">
        <f aca="false">INDEX($K329:$O329,IF(3&lt;$E329,3,3+1))</f>
        <v>6.40703215114</v>
      </c>
      <c r="W329" s="0" t="n">
        <f aca="false">INDEX($K329:$O329,IF(4&lt;$E329,4,4+1))</f>
        <v>15.3349996664</v>
      </c>
      <c r="X329" s="0" t="n">
        <f aca="false">1+COUNTIF($P329:$S329,"&gt;"&amp;$P329)+(COUNTIF($P329:$S329,$P329)-1)/2</f>
        <v>4</v>
      </c>
      <c r="Y329" s="0" t="n">
        <f aca="false">1+COUNTIF($P329:$S329,"&gt;"&amp;$Q329)+(COUNTIF($P329:$S329,$Q329)-1)/2</f>
        <v>3</v>
      </c>
      <c r="Z329" s="0" t="n">
        <f aca="false">1+COUNTIF($P329:$S329,"&gt;"&amp;$R329)+(COUNTIF($P329:$S329,$R329)-1)/2</f>
        <v>1</v>
      </c>
      <c r="AA329" s="0" t="n">
        <f aca="false">1+COUNTIF($P329:$S329,"&gt;"&amp;$S329)+(COUNTIF($P329:$S329,$S329)-1)/2</f>
        <v>2</v>
      </c>
      <c r="AB329" s="0" t="n">
        <f aca="false">1+COUNTIF($T329:$W329,"&gt;"&amp;$T329)+(COUNTIF($T329:$W329,$T329)-1)/2</f>
        <v>2</v>
      </c>
      <c r="AC329" s="0" t="n">
        <f aca="false">1+COUNTIF($T329:$W329,"&gt;"&amp;$U329)+(COUNTIF($T329:$W329,$U329)-1)/2</f>
        <v>3</v>
      </c>
      <c r="AD329" s="0" t="n">
        <f aca="false">1+COUNTIF($T329:$W329,"&gt;"&amp;$V329)+(COUNTIF($T329:$W329,$V329)-1)/2</f>
        <v>4</v>
      </c>
      <c r="AE329" s="0" t="n">
        <f aca="false">1+COUNTIF($T329:$W329,"&gt;"&amp;$W329)+(COUNTIF($T329:$W329,$W329)-1)/2</f>
        <v>1</v>
      </c>
      <c r="AF329" s="0" t="n">
        <f aca="false">IFERROR(CORREL($P329:$S329,$T329:$W329),"")</f>
        <v>0.20870590481359</v>
      </c>
      <c r="AG329" s="0" t="n">
        <f aca="false">IFERROR(CORREL($X329:$AA329,$AB329:$AE329),"")</f>
        <v>-0.4</v>
      </c>
      <c r="AH329" s="0" t="n">
        <f aca="false">IFERROR((SIGN($P329-$Q329)*SIGN($T329-$U329)+SIGN($P329-$R329)*SIGN($T329-$V329)+SIGN($P329-$S329)*SIGN($T329-$W329)+SIGN($Q329-$R329)*SIGN($U329-$V329)+SIGN($Q329-$S329)*SIGN($U329-$W329)+SIGN($R329-$S329)*SIGN($V329-$W329))/SQRT((6-(($P329=$Q329)*1+($P329=$R329)*1+($P329=$S329)*1+($Q329=$R329)*1+($Q329=$S329)*1+($R329=$S329)*1))*(6-(($T329=$U329)*1+($T329=$V329)*1+($T329=$W329)*1+($U329=$V329)*1+($U329=$W329)*1+($V329=$W329)*1))),"")</f>
        <v>-0.333333333333333</v>
      </c>
      <c r="AI329" s="0" t="n">
        <f aca="false">MATCH(MAX($K329:$O329),$K329:$O329,0)</f>
        <v>4</v>
      </c>
      <c r="AJ329" s="0" t="n">
        <f aca="false">IF(AI329&lt;&gt;$E329,1,0)</f>
        <v>0</v>
      </c>
      <c r="AK329" s="0" t="str">
        <f aca="false">IF(AJ329=1,INDEX($F329:$J329,AI329)/MAX($P329:$S329),"")</f>
        <v/>
      </c>
      <c r="AL329" s="0" t="str">
        <f aca="false">IF(AJ329=1,1+COUNTIF($P329:$S329,"&gt;"&amp;INDEX($F329:$J329,AI329)),"")</f>
        <v/>
      </c>
      <c r="AM329" s="0" t="n">
        <f aca="false">AVERAGE($P329:$S329)/MAX($P329:$S329)</f>
        <v>0.818396226415094</v>
      </c>
      <c r="AN329" s="0" t="n">
        <f aca="false">100-INDEX($F329:$J329,$E329)</f>
        <v>37.1</v>
      </c>
    </row>
    <row r="330" customFormat="false" ht="15" hidden="false" customHeight="false" outlineLevel="0" collapsed="false">
      <c r="A330" s="0" t="s">
        <v>40</v>
      </c>
      <c r="B330" s="0" t="n">
        <v>2013</v>
      </c>
      <c r="C330" s="0" t="s">
        <v>49</v>
      </c>
      <c r="D330" s="0" t="s">
        <v>55</v>
      </c>
      <c r="E330" s="0" t="n">
        <v>3</v>
      </c>
      <c r="F330" s="0" t="n">
        <v>7.3</v>
      </c>
      <c r="G330" s="0" t="n">
        <v>16.7</v>
      </c>
      <c r="H330" s="0" t="n">
        <v>26</v>
      </c>
      <c r="I330" s="0" t="n">
        <v>17.4</v>
      </c>
      <c r="J330" s="0" t="n">
        <v>30.6</v>
      </c>
      <c r="K330" s="0" t="n">
        <v>8.57313305346</v>
      </c>
      <c r="L330" s="0" t="n">
        <v>0.357501830488</v>
      </c>
      <c r="M330" s="0" t="n">
        <v>47.9853640685</v>
      </c>
      <c r="N330" s="0" t="n">
        <v>2.16433307124</v>
      </c>
      <c r="O330" s="0" t="n">
        <v>40.9196679763</v>
      </c>
      <c r="P330" s="0" t="n">
        <f aca="false">INDEX($F330:$J330,IF(1&lt;$E330,1,1+1))</f>
        <v>7.3</v>
      </c>
      <c r="Q330" s="0" t="n">
        <f aca="false">INDEX($F330:$J330,IF(2&lt;$E330,2,2+1))</f>
        <v>16.7</v>
      </c>
      <c r="R330" s="0" t="n">
        <f aca="false">INDEX($F330:$J330,IF(3&lt;$E330,3,3+1))</f>
        <v>17.4</v>
      </c>
      <c r="S330" s="0" t="n">
        <f aca="false">INDEX($F330:$J330,IF(4&lt;$E330,4,4+1))</f>
        <v>30.6</v>
      </c>
      <c r="T330" s="0" t="n">
        <f aca="false">INDEX($K330:$O330,IF(1&lt;$E330,1,1+1))</f>
        <v>8.57313305346</v>
      </c>
      <c r="U330" s="0" t="n">
        <f aca="false">INDEX($K330:$O330,IF(2&lt;$E330,2,2+1))</f>
        <v>0.357501830488</v>
      </c>
      <c r="V330" s="0" t="n">
        <f aca="false">INDEX($K330:$O330,IF(3&lt;$E330,3,3+1))</f>
        <v>2.16433307124</v>
      </c>
      <c r="W330" s="0" t="n">
        <f aca="false">INDEX($K330:$O330,IF(4&lt;$E330,4,4+1))</f>
        <v>40.9196679763</v>
      </c>
      <c r="X330" s="0" t="n">
        <f aca="false">1+COUNTIF($P330:$S330,"&gt;"&amp;$P330)+(COUNTIF($P330:$S330,$P330)-1)/2</f>
        <v>4</v>
      </c>
      <c r="Y330" s="0" t="n">
        <f aca="false">1+COUNTIF($P330:$S330,"&gt;"&amp;$Q330)+(COUNTIF($P330:$S330,$Q330)-1)/2</f>
        <v>3</v>
      </c>
      <c r="Z330" s="0" t="n">
        <f aca="false">1+COUNTIF($P330:$S330,"&gt;"&amp;$R330)+(COUNTIF($P330:$S330,$R330)-1)/2</f>
        <v>2</v>
      </c>
      <c r="AA330" s="0" t="n">
        <f aca="false">1+COUNTIF($P330:$S330,"&gt;"&amp;$S330)+(COUNTIF($P330:$S330,$S330)-1)/2</f>
        <v>1</v>
      </c>
      <c r="AB330" s="0" t="n">
        <f aca="false">1+COUNTIF($T330:$W330,"&gt;"&amp;$T330)+(COUNTIF($T330:$W330,$T330)-1)/2</f>
        <v>2</v>
      </c>
      <c r="AC330" s="0" t="n">
        <f aca="false">1+COUNTIF($T330:$W330,"&gt;"&amp;$U330)+(COUNTIF($T330:$W330,$U330)-1)/2</f>
        <v>4</v>
      </c>
      <c r="AD330" s="0" t="n">
        <f aca="false">1+COUNTIF($T330:$W330,"&gt;"&amp;$V330)+(COUNTIF($T330:$W330,$V330)-1)/2</f>
        <v>3</v>
      </c>
      <c r="AE330" s="0" t="n">
        <f aca="false">1+COUNTIF($T330:$W330,"&gt;"&amp;$W330)+(COUNTIF($T330:$W330,$W330)-1)/2</f>
        <v>1</v>
      </c>
      <c r="AF330" s="0" t="n">
        <f aca="false">IFERROR(CORREL($P330:$S330,$T330:$W330),"")</f>
        <v>0.775402717318096</v>
      </c>
      <c r="AG330" s="0" t="n">
        <f aca="false">IFERROR(CORREL($X330:$AA330,$AB330:$AE330),"")</f>
        <v>0.4</v>
      </c>
      <c r="AH330" s="0" t="n">
        <f aca="false">IFERROR((SIGN($P330-$Q330)*SIGN($T330-$U330)+SIGN($P330-$R330)*SIGN($T330-$V330)+SIGN($P330-$S330)*SIGN($T330-$W330)+SIGN($Q330-$R330)*SIGN($U330-$V330)+SIGN($Q330-$S330)*SIGN($U330-$W330)+SIGN($R330-$S330)*SIGN($V330-$W330))/SQRT((6-(($P330=$Q330)*1+($P330=$R330)*1+($P330=$S330)*1+($Q330=$R330)*1+($Q330=$S330)*1+($R330=$S330)*1))*(6-(($T330=$U330)*1+($T330=$V330)*1+($T330=$W330)*1+($U330=$V330)*1+($U330=$W330)*1+($V330=$W330)*1))),"")</f>
        <v>0.333333333333333</v>
      </c>
      <c r="AI330" s="0" t="n">
        <f aca="false">MATCH(MAX($K330:$O330),$K330:$O330,0)</f>
        <v>3</v>
      </c>
      <c r="AJ330" s="0" t="n">
        <f aca="false">IF(AI330&lt;&gt;$E330,1,0)</f>
        <v>0</v>
      </c>
      <c r="AK330" s="0" t="str">
        <f aca="false">IF(AJ330=1,INDEX($F330:$J330,AI330)/MAX($P330:$S330),"")</f>
        <v/>
      </c>
      <c r="AL330" s="0" t="str">
        <f aca="false">IF(AJ330=1,1+COUNTIF($P330:$S330,"&gt;"&amp;INDEX($F330:$J330,AI330)),"")</f>
        <v/>
      </c>
      <c r="AM330" s="0" t="n">
        <f aca="false">AVERAGE($P330:$S330)/MAX($P330:$S330)</f>
        <v>0.588235294117647</v>
      </c>
      <c r="AN330" s="0" t="n">
        <f aca="false">100-INDEX($F330:$J330,$E330)</f>
        <v>74</v>
      </c>
    </row>
    <row r="331" customFormat="false" ht="15" hidden="false" customHeight="false" outlineLevel="0" collapsed="false">
      <c r="A331" s="0" t="s">
        <v>40</v>
      </c>
      <c r="B331" s="0" t="n">
        <v>2013</v>
      </c>
      <c r="C331" s="0" t="s">
        <v>50</v>
      </c>
      <c r="D331" s="0" t="s">
        <v>45</v>
      </c>
      <c r="E331" s="0" t="n">
        <v>3</v>
      </c>
      <c r="F331" s="0" t="n">
        <v>11.6</v>
      </c>
      <c r="G331" s="0" t="n">
        <v>11.3</v>
      </c>
      <c r="H331" s="0" t="n">
        <v>32.8</v>
      </c>
      <c r="I331" s="0" t="n">
        <v>27.8</v>
      </c>
      <c r="J331" s="0" t="n">
        <v>13.9</v>
      </c>
      <c r="K331" s="0" t="n">
        <v>12.473253796</v>
      </c>
      <c r="L331" s="0" t="n">
        <v>0.881214997184</v>
      </c>
      <c r="M331" s="0" t="n">
        <v>25.7368922649</v>
      </c>
      <c r="N331" s="0" t="n">
        <v>19.7744539713</v>
      </c>
      <c r="O331" s="0" t="n">
        <v>41.1341849706</v>
      </c>
      <c r="P331" s="0" t="n">
        <f aca="false">INDEX($F331:$J331,IF(1&lt;$E331,1,1+1))</f>
        <v>11.6</v>
      </c>
      <c r="Q331" s="0" t="n">
        <f aca="false">INDEX($F331:$J331,IF(2&lt;$E331,2,2+1))</f>
        <v>11.3</v>
      </c>
      <c r="R331" s="0" t="n">
        <f aca="false">INDEX($F331:$J331,IF(3&lt;$E331,3,3+1))</f>
        <v>27.8</v>
      </c>
      <c r="S331" s="0" t="n">
        <f aca="false">INDEX($F331:$J331,IF(4&lt;$E331,4,4+1))</f>
        <v>13.9</v>
      </c>
      <c r="T331" s="0" t="n">
        <f aca="false">INDEX($K331:$O331,IF(1&lt;$E331,1,1+1))</f>
        <v>12.473253796</v>
      </c>
      <c r="U331" s="0" t="n">
        <f aca="false">INDEX($K331:$O331,IF(2&lt;$E331,2,2+1))</f>
        <v>0.881214997184</v>
      </c>
      <c r="V331" s="0" t="n">
        <f aca="false">INDEX($K331:$O331,IF(3&lt;$E331,3,3+1))</f>
        <v>19.7744539713</v>
      </c>
      <c r="W331" s="0" t="n">
        <f aca="false">INDEX($K331:$O331,IF(4&lt;$E331,4,4+1))</f>
        <v>41.1341849706</v>
      </c>
      <c r="X331" s="0" t="n">
        <f aca="false">1+COUNTIF($P331:$S331,"&gt;"&amp;$P331)+(COUNTIF($P331:$S331,$P331)-1)/2</f>
        <v>3</v>
      </c>
      <c r="Y331" s="0" t="n">
        <f aca="false">1+COUNTIF($P331:$S331,"&gt;"&amp;$Q331)+(COUNTIF($P331:$S331,$Q331)-1)/2</f>
        <v>4</v>
      </c>
      <c r="Z331" s="0" t="n">
        <f aca="false">1+COUNTIF($P331:$S331,"&gt;"&amp;$R331)+(COUNTIF($P331:$S331,$R331)-1)/2</f>
        <v>1</v>
      </c>
      <c r="AA331" s="0" t="n">
        <f aca="false">1+COUNTIF($P331:$S331,"&gt;"&amp;$S331)+(COUNTIF($P331:$S331,$S331)-1)/2</f>
        <v>2</v>
      </c>
      <c r="AB331" s="0" t="n">
        <f aca="false">1+COUNTIF($T331:$W331,"&gt;"&amp;$T331)+(COUNTIF($T331:$W331,$T331)-1)/2</f>
        <v>3</v>
      </c>
      <c r="AC331" s="0" t="n">
        <f aca="false">1+COUNTIF($T331:$W331,"&gt;"&amp;$U331)+(COUNTIF($T331:$W331,$U331)-1)/2</f>
        <v>4</v>
      </c>
      <c r="AD331" s="0" t="n">
        <f aca="false">1+COUNTIF($T331:$W331,"&gt;"&amp;$V331)+(COUNTIF($T331:$W331,$V331)-1)/2</f>
        <v>2</v>
      </c>
      <c r="AE331" s="0" t="n">
        <f aca="false">1+COUNTIF($T331:$W331,"&gt;"&amp;$W331)+(COUNTIF($T331:$W331,$W331)-1)/2</f>
        <v>1</v>
      </c>
      <c r="AF331" s="0" t="n">
        <f aca="false">IFERROR(CORREL($P331:$S331,$T331:$W331),"")</f>
        <v>0.192446784454808</v>
      </c>
      <c r="AG331" s="0" t="n">
        <f aca="false">IFERROR(CORREL($X331:$AA331,$AB331:$AE331),"")</f>
        <v>0.8</v>
      </c>
      <c r="AH331" s="0" t="n">
        <f aca="false">IFERROR((SIGN($P331-$Q331)*SIGN($T331-$U331)+SIGN($P331-$R331)*SIGN($T331-$V331)+SIGN($P331-$S331)*SIGN($T331-$W331)+SIGN($Q331-$R331)*SIGN($U331-$V331)+SIGN($Q331-$S331)*SIGN($U331-$W331)+SIGN($R331-$S331)*SIGN($V331-$W331))/SQRT((6-(($P331=$Q331)*1+($P331=$R331)*1+($P331=$S331)*1+($Q331=$R331)*1+($Q331=$S331)*1+($R331=$S331)*1))*(6-(($T331=$U331)*1+($T331=$V331)*1+($T331=$W331)*1+($U331=$V331)*1+($U331=$W331)*1+($V331=$W331)*1))),"")</f>
        <v>0.666666666666667</v>
      </c>
      <c r="AI331" s="0" t="n">
        <f aca="false">MATCH(MAX($K331:$O331),$K331:$O331,0)</f>
        <v>5</v>
      </c>
      <c r="AJ331" s="0" t="n">
        <f aca="false">IF(AI331&lt;&gt;$E331,1,0)</f>
        <v>1</v>
      </c>
      <c r="AK331" s="0" t="n">
        <f aca="false">IF(AJ331=1,INDEX($F331:$J331,AI331)/MAX($P331:$S331),"")</f>
        <v>0.5</v>
      </c>
      <c r="AL331" s="0" t="n">
        <f aca="false">IF(AJ331=1,1+COUNTIF($P331:$S331,"&gt;"&amp;INDEX($F331:$J331,AI331)),"")</f>
        <v>2</v>
      </c>
      <c r="AM331" s="0" t="n">
        <f aca="false">AVERAGE($P331:$S331)/MAX($P331:$S331)</f>
        <v>0.580935251798561</v>
      </c>
      <c r="AN331" s="0" t="n">
        <f aca="false">100-INDEX($F331:$J331,$E331)</f>
        <v>67.2</v>
      </c>
    </row>
    <row r="332" customFormat="false" ht="15" hidden="false" customHeight="false" outlineLevel="0" collapsed="false">
      <c r="A332" s="0" t="s">
        <v>40</v>
      </c>
      <c r="B332" s="0" t="n">
        <v>2013</v>
      </c>
      <c r="C332" s="0" t="s">
        <v>50</v>
      </c>
      <c r="D332" s="0" t="s">
        <v>53</v>
      </c>
      <c r="E332" s="0" t="n">
        <v>2</v>
      </c>
      <c r="F332" s="0" t="n">
        <v>13.9</v>
      </c>
      <c r="G332" s="0" t="n">
        <v>39.7</v>
      </c>
      <c r="H332" s="0" t="n">
        <v>27.3</v>
      </c>
      <c r="I332" s="0" t="n">
        <v>8.8</v>
      </c>
      <c r="J332" s="0" t="n">
        <v>7.7</v>
      </c>
      <c r="K332" s="0" t="n">
        <v>7.37867175278</v>
      </c>
      <c r="L332" s="0" t="n">
        <v>40.5143513535</v>
      </c>
      <c r="M332" s="0" t="n">
        <v>23.13910467</v>
      </c>
      <c r="N332" s="0" t="n">
        <v>12.0466586281</v>
      </c>
      <c r="O332" s="0" t="n">
        <v>16.9212135957</v>
      </c>
      <c r="P332" s="0" t="n">
        <f aca="false">INDEX($F332:$J332,IF(1&lt;$E332,1,1+1))</f>
        <v>13.9</v>
      </c>
      <c r="Q332" s="0" t="n">
        <f aca="false">INDEX($F332:$J332,IF(2&lt;$E332,2,2+1))</f>
        <v>27.3</v>
      </c>
      <c r="R332" s="0" t="n">
        <f aca="false">INDEX($F332:$J332,IF(3&lt;$E332,3,3+1))</f>
        <v>8.8</v>
      </c>
      <c r="S332" s="0" t="n">
        <f aca="false">INDEX($F332:$J332,IF(4&lt;$E332,4,4+1))</f>
        <v>7.7</v>
      </c>
      <c r="T332" s="0" t="n">
        <f aca="false">INDEX($K332:$O332,IF(1&lt;$E332,1,1+1))</f>
        <v>7.37867175278</v>
      </c>
      <c r="U332" s="0" t="n">
        <f aca="false">INDEX($K332:$O332,IF(2&lt;$E332,2,2+1))</f>
        <v>23.13910467</v>
      </c>
      <c r="V332" s="0" t="n">
        <f aca="false">INDEX($K332:$O332,IF(3&lt;$E332,3,3+1))</f>
        <v>12.0466586281</v>
      </c>
      <c r="W332" s="0" t="n">
        <f aca="false">INDEX($K332:$O332,IF(4&lt;$E332,4,4+1))</f>
        <v>16.9212135957</v>
      </c>
      <c r="X332" s="0" t="n">
        <f aca="false">1+COUNTIF($P332:$S332,"&gt;"&amp;$P332)+(COUNTIF($P332:$S332,$P332)-1)/2</f>
        <v>2</v>
      </c>
      <c r="Y332" s="0" t="n">
        <f aca="false">1+COUNTIF($P332:$S332,"&gt;"&amp;$Q332)+(COUNTIF($P332:$S332,$Q332)-1)/2</f>
        <v>1</v>
      </c>
      <c r="Z332" s="0" t="n">
        <f aca="false">1+COUNTIF($P332:$S332,"&gt;"&amp;$R332)+(COUNTIF($P332:$S332,$R332)-1)/2</f>
        <v>3</v>
      </c>
      <c r="AA332" s="0" t="n">
        <f aca="false">1+COUNTIF($P332:$S332,"&gt;"&amp;$S332)+(COUNTIF($P332:$S332,$S332)-1)/2</f>
        <v>4</v>
      </c>
      <c r="AB332" s="0" t="n">
        <f aca="false">1+COUNTIF($T332:$W332,"&gt;"&amp;$T332)+(COUNTIF($T332:$W332,$T332)-1)/2</f>
        <v>4</v>
      </c>
      <c r="AC332" s="0" t="n">
        <f aca="false">1+COUNTIF($T332:$W332,"&gt;"&amp;$U332)+(COUNTIF($T332:$W332,$U332)-1)/2</f>
        <v>1</v>
      </c>
      <c r="AD332" s="0" t="n">
        <f aca="false">1+COUNTIF($T332:$W332,"&gt;"&amp;$V332)+(COUNTIF($T332:$W332,$V332)-1)/2</f>
        <v>3</v>
      </c>
      <c r="AE332" s="0" t="n">
        <f aca="false">1+COUNTIF($T332:$W332,"&gt;"&amp;$W332)+(COUNTIF($T332:$W332,$W332)-1)/2</f>
        <v>2</v>
      </c>
      <c r="AF332" s="0" t="n">
        <f aca="false">IFERROR(CORREL($P332:$S332,$T332:$W332),"")</f>
        <v>0.617340827804379</v>
      </c>
      <c r="AG332" s="0" t="n">
        <f aca="false">IFERROR(CORREL($X332:$AA332,$AB332:$AE332),"")</f>
        <v>0.2</v>
      </c>
      <c r="AH332" s="0" t="n">
        <f aca="false">IFERROR((SIGN($P332-$Q332)*SIGN($T332-$U332)+SIGN($P332-$R332)*SIGN($T332-$V332)+SIGN($P332-$S332)*SIGN($T332-$W332)+SIGN($Q332-$R332)*SIGN($U332-$V332)+SIGN($Q332-$S332)*SIGN($U332-$W332)+SIGN($R332-$S332)*SIGN($V332-$W332))/SQRT((6-(($P332=$Q332)*1+($P332=$R332)*1+($P332=$S332)*1+($Q332=$R332)*1+($Q332=$S332)*1+($R332=$S332)*1))*(6-(($T332=$U332)*1+($T332=$V332)*1+($T332=$W332)*1+($U332=$V332)*1+($U332=$W332)*1+($V332=$W332)*1))),"")</f>
        <v>0</v>
      </c>
      <c r="AI332" s="0" t="n">
        <f aca="false">MATCH(MAX($K332:$O332),$K332:$O332,0)</f>
        <v>2</v>
      </c>
      <c r="AJ332" s="0" t="n">
        <f aca="false">IF(AI332&lt;&gt;$E332,1,0)</f>
        <v>0</v>
      </c>
      <c r="AK332" s="0" t="str">
        <f aca="false">IF(AJ332=1,INDEX($F332:$J332,AI332)/MAX($P332:$S332),"")</f>
        <v/>
      </c>
      <c r="AL332" s="0" t="str">
        <f aca="false">IF(AJ332=1,1+COUNTIF($P332:$S332,"&gt;"&amp;INDEX($F332:$J332,AI332)),"")</f>
        <v/>
      </c>
      <c r="AM332" s="0" t="n">
        <f aca="false">AVERAGE($P332:$S332)/MAX($P332:$S332)</f>
        <v>0.528388278388278</v>
      </c>
      <c r="AN332" s="0" t="n">
        <f aca="false">100-INDEX($F332:$J332,$E332)</f>
        <v>60.3</v>
      </c>
    </row>
    <row r="333" customFormat="false" ht="15" hidden="false" customHeight="false" outlineLevel="0" collapsed="false">
      <c r="A333" s="0" t="s">
        <v>40</v>
      </c>
      <c r="B333" s="0" t="n">
        <v>2013</v>
      </c>
      <c r="C333" s="0" t="s">
        <v>50</v>
      </c>
      <c r="D333" s="0" t="s">
        <v>55</v>
      </c>
      <c r="E333" s="0" t="n">
        <v>1</v>
      </c>
      <c r="F333" s="0" t="n">
        <v>33.2</v>
      </c>
      <c r="G333" s="0" t="n">
        <v>11.8</v>
      </c>
      <c r="H333" s="0" t="n">
        <v>20.8</v>
      </c>
      <c r="I333" s="0" t="n">
        <v>12.3</v>
      </c>
      <c r="J333" s="0" t="n">
        <v>19.2</v>
      </c>
      <c r="K333" s="0" t="n">
        <v>72.343151397</v>
      </c>
      <c r="L333" s="0" t="n">
        <v>8.00712617772</v>
      </c>
      <c r="M333" s="0" t="n">
        <v>3.68837294823</v>
      </c>
      <c r="N333" s="0" t="n">
        <v>1.5374980073</v>
      </c>
      <c r="O333" s="0" t="n">
        <v>14.4238514697</v>
      </c>
      <c r="P333" s="0" t="n">
        <f aca="false">INDEX($F333:$J333,IF(1&lt;$E333,1,1+1))</f>
        <v>11.8</v>
      </c>
      <c r="Q333" s="0" t="n">
        <f aca="false">INDEX($F333:$J333,IF(2&lt;$E333,2,2+1))</f>
        <v>20.8</v>
      </c>
      <c r="R333" s="0" t="n">
        <f aca="false">INDEX($F333:$J333,IF(3&lt;$E333,3,3+1))</f>
        <v>12.3</v>
      </c>
      <c r="S333" s="0" t="n">
        <f aca="false">INDEX($F333:$J333,IF(4&lt;$E333,4,4+1))</f>
        <v>19.2</v>
      </c>
      <c r="T333" s="0" t="n">
        <f aca="false">INDEX($K333:$O333,IF(1&lt;$E333,1,1+1))</f>
        <v>8.00712617772</v>
      </c>
      <c r="U333" s="0" t="n">
        <f aca="false">INDEX($K333:$O333,IF(2&lt;$E333,2,2+1))</f>
        <v>3.68837294823</v>
      </c>
      <c r="V333" s="0" t="n">
        <f aca="false">INDEX($K333:$O333,IF(3&lt;$E333,3,3+1))</f>
        <v>1.5374980073</v>
      </c>
      <c r="W333" s="0" t="n">
        <f aca="false">INDEX($K333:$O333,IF(4&lt;$E333,4,4+1))</f>
        <v>14.4238514697</v>
      </c>
      <c r="X333" s="0" t="n">
        <f aca="false">1+COUNTIF($P333:$S333,"&gt;"&amp;$P333)+(COUNTIF($P333:$S333,$P333)-1)/2</f>
        <v>4</v>
      </c>
      <c r="Y333" s="0" t="n">
        <f aca="false">1+COUNTIF($P333:$S333,"&gt;"&amp;$Q333)+(COUNTIF($P333:$S333,$Q333)-1)/2</f>
        <v>1</v>
      </c>
      <c r="Z333" s="0" t="n">
        <f aca="false">1+COUNTIF($P333:$S333,"&gt;"&amp;$R333)+(COUNTIF($P333:$S333,$R333)-1)/2</f>
        <v>3</v>
      </c>
      <c r="AA333" s="0" t="n">
        <f aca="false">1+COUNTIF($P333:$S333,"&gt;"&amp;$S333)+(COUNTIF($P333:$S333,$S333)-1)/2</f>
        <v>2</v>
      </c>
      <c r="AB333" s="0" t="n">
        <f aca="false">1+COUNTIF($T333:$W333,"&gt;"&amp;$T333)+(COUNTIF($T333:$W333,$T333)-1)/2</f>
        <v>2</v>
      </c>
      <c r="AC333" s="0" t="n">
        <f aca="false">1+COUNTIF($T333:$W333,"&gt;"&amp;$U333)+(COUNTIF($T333:$W333,$U333)-1)/2</f>
        <v>3</v>
      </c>
      <c r="AD333" s="0" t="n">
        <f aca="false">1+COUNTIF($T333:$W333,"&gt;"&amp;$V333)+(COUNTIF($T333:$W333,$V333)-1)/2</f>
        <v>4</v>
      </c>
      <c r="AE333" s="0" t="n">
        <f aca="false">1+COUNTIF($T333:$W333,"&gt;"&amp;$W333)+(COUNTIF($T333:$W333,$W333)-1)/2</f>
        <v>1</v>
      </c>
      <c r="AF333" s="0" t="n">
        <f aca="false">IFERROR(CORREL($P333:$S333,$T333:$W333),"")</f>
        <v>0.301427727014015</v>
      </c>
      <c r="AG333" s="0" t="n">
        <f aca="false">IFERROR(CORREL($X333:$AA333,$AB333:$AE333),"")</f>
        <v>0</v>
      </c>
      <c r="AH333" s="0" t="n">
        <f aca="false">IFERROR((SIGN($P333-$Q333)*SIGN($T333-$U333)+SIGN($P333-$R333)*SIGN($T333-$V333)+SIGN($P333-$S333)*SIGN($T333-$W333)+SIGN($Q333-$R333)*SIGN($U333-$V333)+SIGN($Q333-$S333)*SIGN($U333-$W333)+SIGN($R333-$S333)*SIGN($V333-$W333))/SQRT((6-(($P333=$Q333)*1+($P333=$R333)*1+($P333=$S333)*1+($Q333=$R333)*1+($Q333=$S333)*1+($R333=$S333)*1))*(6-(($T333=$U333)*1+($T333=$V333)*1+($T333=$W333)*1+($U333=$V333)*1+($U333=$W333)*1+($V333=$W333)*1))),"")</f>
        <v>0</v>
      </c>
      <c r="AI333" s="0" t="n">
        <f aca="false">MATCH(MAX($K333:$O333),$K333:$O333,0)</f>
        <v>1</v>
      </c>
      <c r="AJ333" s="0" t="n">
        <f aca="false">IF(AI333&lt;&gt;$E333,1,0)</f>
        <v>0</v>
      </c>
      <c r="AK333" s="0" t="str">
        <f aca="false">IF(AJ333=1,INDEX($F333:$J333,AI333)/MAX($P333:$S333),"")</f>
        <v/>
      </c>
      <c r="AL333" s="0" t="str">
        <f aca="false">IF(AJ333=1,1+COUNTIF($P333:$S333,"&gt;"&amp;INDEX($F333:$J333,AI333)),"")</f>
        <v/>
      </c>
      <c r="AM333" s="0" t="n">
        <f aca="false">AVERAGE($P333:$S333)/MAX($P333:$S333)</f>
        <v>0.770432692307692</v>
      </c>
      <c r="AN333" s="0" t="n">
        <f aca="false">100-INDEX($F333:$J333,$E333)</f>
        <v>66.8</v>
      </c>
    </row>
    <row r="334" customFormat="false" ht="15" hidden="false" customHeight="false" outlineLevel="0" collapsed="false">
      <c r="A334" s="0" t="s">
        <v>40</v>
      </c>
      <c r="B334" s="0" t="n">
        <v>2013</v>
      </c>
      <c r="C334" s="0" t="s">
        <v>51</v>
      </c>
      <c r="D334" s="0" t="s">
        <v>45</v>
      </c>
      <c r="E334" s="0" t="n">
        <v>3</v>
      </c>
      <c r="F334" s="0" t="n">
        <v>18.2</v>
      </c>
      <c r="G334" s="0" t="n">
        <v>18.5</v>
      </c>
      <c r="H334" s="0" t="n">
        <v>36.4</v>
      </c>
      <c r="I334" s="0" t="n">
        <v>16.2</v>
      </c>
      <c r="J334" s="0" t="n">
        <v>9</v>
      </c>
      <c r="K334" s="0" t="n">
        <v>4.38713500134</v>
      </c>
      <c r="L334" s="0" t="n">
        <v>7.8526473086</v>
      </c>
      <c r="M334" s="0" t="n">
        <v>87.2013824444</v>
      </c>
      <c r="N334" s="0" t="n">
        <v>0.450244045542</v>
      </c>
      <c r="O334" s="0" t="n">
        <v>0.108591200131</v>
      </c>
      <c r="P334" s="0" t="n">
        <f aca="false">INDEX($F334:$J334,IF(1&lt;$E334,1,1+1))</f>
        <v>18.2</v>
      </c>
      <c r="Q334" s="0" t="n">
        <f aca="false">INDEX($F334:$J334,IF(2&lt;$E334,2,2+1))</f>
        <v>18.5</v>
      </c>
      <c r="R334" s="0" t="n">
        <f aca="false">INDEX($F334:$J334,IF(3&lt;$E334,3,3+1))</f>
        <v>16.2</v>
      </c>
      <c r="S334" s="0" t="n">
        <f aca="false">INDEX($F334:$J334,IF(4&lt;$E334,4,4+1))</f>
        <v>9</v>
      </c>
      <c r="T334" s="0" t="n">
        <f aca="false">INDEX($K334:$O334,IF(1&lt;$E334,1,1+1))</f>
        <v>4.38713500134</v>
      </c>
      <c r="U334" s="0" t="n">
        <f aca="false">INDEX($K334:$O334,IF(2&lt;$E334,2,2+1))</f>
        <v>7.8526473086</v>
      </c>
      <c r="V334" s="0" t="n">
        <f aca="false">INDEX($K334:$O334,IF(3&lt;$E334,3,3+1))</f>
        <v>0.450244045542</v>
      </c>
      <c r="W334" s="0" t="n">
        <f aca="false">INDEX($K334:$O334,IF(4&lt;$E334,4,4+1))</f>
        <v>0.108591200131</v>
      </c>
      <c r="X334" s="0" t="n">
        <f aca="false">1+COUNTIF($P334:$S334,"&gt;"&amp;$P334)+(COUNTIF($P334:$S334,$P334)-1)/2</f>
        <v>2</v>
      </c>
      <c r="Y334" s="0" t="n">
        <f aca="false">1+COUNTIF($P334:$S334,"&gt;"&amp;$Q334)+(COUNTIF($P334:$S334,$Q334)-1)/2</f>
        <v>1</v>
      </c>
      <c r="Z334" s="0" t="n">
        <f aca="false">1+COUNTIF($P334:$S334,"&gt;"&amp;$R334)+(COUNTIF($P334:$S334,$R334)-1)/2</f>
        <v>3</v>
      </c>
      <c r="AA334" s="0" t="n">
        <f aca="false">1+COUNTIF($P334:$S334,"&gt;"&amp;$S334)+(COUNTIF($P334:$S334,$S334)-1)/2</f>
        <v>4</v>
      </c>
      <c r="AB334" s="0" t="n">
        <f aca="false">1+COUNTIF($T334:$W334,"&gt;"&amp;$T334)+(COUNTIF($T334:$W334,$T334)-1)/2</f>
        <v>2</v>
      </c>
      <c r="AC334" s="0" t="n">
        <f aca="false">1+COUNTIF($T334:$W334,"&gt;"&amp;$U334)+(COUNTIF($T334:$W334,$U334)-1)/2</f>
        <v>1</v>
      </c>
      <c r="AD334" s="0" t="n">
        <f aca="false">1+COUNTIF($T334:$W334,"&gt;"&amp;$V334)+(COUNTIF($T334:$W334,$V334)-1)/2</f>
        <v>3</v>
      </c>
      <c r="AE334" s="0" t="n">
        <f aca="false">1+COUNTIF($T334:$W334,"&gt;"&amp;$W334)+(COUNTIF($T334:$W334,$W334)-1)/2</f>
        <v>4</v>
      </c>
      <c r="AF334" s="0" t="n">
        <f aca="false">IFERROR(CORREL($P334:$S334,$T334:$W334),"")</f>
        <v>0.725558723484697</v>
      </c>
      <c r="AG334" s="0" t="n">
        <f aca="false">IFERROR(CORREL($X334:$AA334,$AB334:$AE334),"")</f>
        <v>1</v>
      </c>
      <c r="AH334" s="0" t="n">
        <f aca="false">IFERROR((SIGN($P334-$Q334)*SIGN($T334-$U334)+SIGN($P334-$R334)*SIGN($T334-$V334)+SIGN($P334-$S334)*SIGN($T334-$W334)+SIGN($Q334-$R334)*SIGN($U334-$V334)+SIGN($Q334-$S334)*SIGN($U334-$W334)+SIGN($R334-$S334)*SIGN($V334-$W334))/SQRT((6-(($P334=$Q334)*1+($P334=$R334)*1+($P334=$S334)*1+($Q334=$R334)*1+($Q334=$S334)*1+($R334=$S334)*1))*(6-(($T334=$U334)*1+($T334=$V334)*1+($T334=$W334)*1+($U334=$V334)*1+($U334=$W334)*1+($V334=$W334)*1))),"")</f>
        <v>1</v>
      </c>
      <c r="AI334" s="0" t="n">
        <f aca="false">MATCH(MAX($K334:$O334),$K334:$O334,0)</f>
        <v>3</v>
      </c>
      <c r="AJ334" s="0" t="n">
        <f aca="false">IF(AI334&lt;&gt;$E334,1,0)</f>
        <v>0</v>
      </c>
      <c r="AK334" s="0" t="str">
        <f aca="false">IF(AJ334=1,INDEX($F334:$J334,AI334)/MAX($P334:$S334),"")</f>
        <v/>
      </c>
      <c r="AL334" s="0" t="str">
        <f aca="false">IF(AJ334=1,1+COUNTIF($P334:$S334,"&gt;"&amp;INDEX($F334:$J334,AI334)),"")</f>
        <v/>
      </c>
      <c r="AM334" s="0" t="n">
        <f aca="false">AVERAGE($P334:$S334)/MAX($P334:$S334)</f>
        <v>0.836486486486487</v>
      </c>
      <c r="AN334" s="0" t="n">
        <f aca="false">100-INDEX($F334:$J334,$E334)</f>
        <v>63.6</v>
      </c>
    </row>
    <row r="335" customFormat="false" ht="15" hidden="false" customHeight="false" outlineLevel="0" collapsed="false">
      <c r="A335" s="0" t="s">
        <v>40</v>
      </c>
      <c r="B335" s="0" t="n">
        <v>2013</v>
      </c>
      <c r="C335" s="0" t="s">
        <v>51</v>
      </c>
      <c r="D335" s="0" t="s">
        <v>53</v>
      </c>
      <c r="E335" s="0" t="n">
        <v>1</v>
      </c>
      <c r="F335" s="0" t="n">
        <v>44.6</v>
      </c>
      <c r="G335" s="0" t="n">
        <v>17.8</v>
      </c>
      <c r="H335" s="0" t="n">
        <v>13.7</v>
      </c>
      <c r="I335" s="0" t="n">
        <v>16.8</v>
      </c>
      <c r="J335" s="0" t="n">
        <v>5.5</v>
      </c>
      <c r="K335" s="0" t="n">
        <v>13.8325558094</v>
      </c>
      <c r="L335" s="0" t="n">
        <v>2.63663129458</v>
      </c>
      <c r="M335" s="0" t="n">
        <v>6.64834771966</v>
      </c>
      <c r="N335" s="0" t="n">
        <v>6.0422917234</v>
      </c>
      <c r="O335" s="0" t="n">
        <v>70.840173453</v>
      </c>
      <c r="P335" s="0" t="n">
        <f aca="false">INDEX($F335:$J335,IF(1&lt;$E335,1,1+1))</f>
        <v>17.8</v>
      </c>
      <c r="Q335" s="0" t="n">
        <f aca="false">INDEX($F335:$J335,IF(2&lt;$E335,2,2+1))</f>
        <v>13.7</v>
      </c>
      <c r="R335" s="0" t="n">
        <f aca="false">INDEX($F335:$J335,IF(3&lt;$E335,3,3+1))</f>
        <v>16.8</v>
      </c>
      <c r="S335" s="0" t="n">
        <f aca="false">INDEX($F335:$J335,IF(4&lt;$E335,4,4+1))</f>
        <v>5.5</v>
      </c>
      <c r="T335" s="0" t="n">
        <f aca="false">INDEX($K335:$O335,IF(1&lt;$E335,1,1+1))</f>
        <v>2.63663129458</v>
      </c>
      <c r="U335" s="0" t="n">
        <f aca="false">INDEX($K335:$O335,IF(2&lt;$E335,2,2+1))</f>
        <v>6.64834771966</v>
      </c>
      <c r="V335" s="0" t="n">
        <f aca="false">INDEX($K335:$O335,IF(3&lt;$E335,3,3+1))</f>
        <v>6.0422917234</v>
      </c>
      <c r="W335" s="0" t="n">
        <f aca="false">INDEX($K335:$O335,IF(4&lt;$E335,4,4+1))</f>
        <v>70.840173453</v>
      </c>
      <c r="X335" s="0" t="n">
        <f aca="false">1+COUNTIF($P335:$S335,"&gt;"&amp;$P335)+(COUNTIF($P335:$S335,$P335)-1)/2</f>
        <v>1</v>
      </c>
      <c r="Y335" s="0" t="n">
        <f aca="false">1+COUNTIF($P335:$S335,"&gt;"&amp;$Q335)+(COUNTIF($P335:$S335,$Q335)-1)/2</f>
        <v>3</v>
      </c>
      <c r="Z335" s="0" t="n">
        <f aca="false">1+COUNTIF($P335:$S335,"&gt;"&amp;$R335)+(COUNTIF($P335:$S335,$R335)-1)/2</f>
        <v>2</v>
      </c>
      <c r="AA335" s="0" t="n">
        <f aca="false">1+COUNTIF($P335:$S335,"&gt;"&amp;$S335)+(COUNTIF($P335:$S335,$S335)-1)/2</f>
        <v>4</v>
      </c>
      <c r="AB335" s="0" t="n">
        <f aca="false">1+COUNTIF($T335:$W335,"&gt;"&amp;$T335)+(COUNTIF($T335:$W335,$T335)-1)/2</f>
        <v>4</v>
      </c>
      <c r="AC335" s="0" t="n">
        <f aca="false">1+COUNTIF($T335:$W335,"&gt;"&amp;$U335)+(COUNTIF($T335:$W335,$U335)-1)/2</f>
        <v>2</v>
      </c>
      <c r="AD335" s="0" t="n">
        <f aca="false">1+COUNTIF($T335:$W335,"&gt;"&amp;$V335)+(COUNTIF($T335:$W335,$V335)-1)/2</f>
        <v>3</v>
      </c>
      <c r="AE335" s="0" t="n">
        <f aca="false">1+COUNTIF($T335:$W335,"&gt;"&amp;$W335)+(COUNTIF($T335:$W335,$W335)-1)/2</f>
        <v>1</v>
      </c>
      <c r="AF335" s="0" t="n">
        <f aca="false">IFERROR(CORREL($P335:$S335,$T335:$W335),"")</f>
        <v>-0.961597025371256</v>
      </c>
      <c r="AG335" s="0" t="n">
        <f aca="false">IFERROR(CORREL($X335:$AA335,$AB335:$AE335),"")</f>
        <v>-1</v>
      </c>
      <c r="AH335" s="0" t="n">
        <f aca="false">IFERROR((SIGN($P335-$Q335)*SIGN($T335-$U335)+SIGN($P335-$R335)*SIGN($T335-$V335)+SIGN($P335-$S335)*SIGN($T335-$W335)+SIGN($Q335-$R335)*SIGN($U335-$V335)+SIGN($Q335-$S335)*SIGN($U335-$W335)+SIGN($R335-$S335)*SIGN($V335-$W335))/SQRT((6-(($P335=$Q335)*1+($P335=$R335)*1+($P335=$S335)*1+($Q335=$R335)*1+($Q335=$S335)*1+($R335=$S335)*1))*(6-(($T335=$U335)*1+($T335=$V335)*1+($T335=$W335)*1+($U335=$V335)*1+($U335=$W335)*1+($V335=$W335)*1))),"")</f>
        <v>-1</v>
      </c>
      <c r="AI335" s="0" t="n">
        <f aca="false">MATCH(MAX($K335:$O335),$K335:$O335,0)</f>
        <v>5</v>
      </c>
      <c r="AJ335" s="0" t="n">
        <f aca="false">IF(AI335&lt;&gt;$E335,1,0)</f>
        <v>1</v>
      </c>
      <c r="AK335" s="0" t="n">
        <f aca="false">IF(AJ335=1,INDEX($F335:$J335,AI335)/MAX($P335:$S335),"")</f>
        <v>0.308988764044944</v>
      </c>
      <c r="AL335" s="0" t="n">
        <f aca="false">IF(AJ335=1,1+COUNTIF($P335:$S335,"&gt;"&amp;INDEX($F335:$J335,AI335)),"")</f>
        <v>4</v>
      </c>
      <c r="AM335" s="0" t="n">
        <f aca="false">AVERAGE($P335:$S335)/MAX($P335:$S335)</f>
        <v>0.75561797752809</v>
      </c>
      <c r="AN335" s="0" t="n">
        <f aca="false">100-INDEX($F335:$J335,$E335)</f>
        <v>55.4</v>
      </c>
    </row>
    <row r="336" customFormat="false" ht="15" hidden="false" customHeight="false" outlineLevel="0" collapsed="false">
      <c r="A336" s="0" t="s">
        <v>40</v>
      </c>
      <c r="B336" s="0" t="n">
        <v>2013</v>
      </c>
      <c r="C336" s="0" t="s">
        <v>51</v>
      </c>
      <c r="D336" s="0" t="s">
        <v>55</v>
      </c>
      <c r="E336" s="0" t="n">
        <v>1</v>
      </c>
      <c r="F336" s="0" t="n">
        <v>37.5</v>
      </c>
      <c r="G336" s="0" t="n">
        <v>16</v>
      </c>
      <c r="H336" s="0" t="n">
        <v>17.6</v>
      </c>
      <c r="I336" s="0" t="n">
        <v>21.2</v>
      </c>
      <c r="J336" s="0" t="n">
        <v>6</v>
      </c>
      <c r="K336" s="0" t="n">
        <v>10.4438421785</v>
      </c>
      <c r="L336" s="0" t="n">
        <v>27.0617016943</v>
      </c>
      <c r="M336" s="0" t="n">
        <v>13.1763662489</v>
      </c>
      <c r="N336" s="0" t="n">
        <v>34.4249023436</v>
      </c>
      <c r="O336" s="0" t="n">
        <v>14.8931875347</v>
      </c>
      <c r="P336" s="0" t="n">
        <f aca="false">INDEX($F336:$J336,IF(1&lt;$E336,1,1+1))</f>
        <v>16</v>
      </c>
      <c r="Q336" s="0" t="n">
        <f aca="false">INDEX($F336:$J336,IF(2&lt;$E336,2,2+1))</f>
        <v>17.6</v>
      </c>
      <c r="R336" s="0" t="n">
        <f aca="false">INDEX($F336:$J336,IF(3&lt;$E336,3,3+1))</f>
        <v>21.2</v>
      </c>
      <c r="S336" s="0" t="n">
        <f aca="false">INDEX($F336:$J336,IF(4&lt;$E336,4,4+1))</f>
        <v>6</v>
      </c>
      <c r="T336" s="0" t="n">
        <f aca="false">INDEX($K336:$O336,IF(1&lt;$E336,1,1+1))</f>
        <v>27.0617016943</v>
      </c>
      <c r="U336" s="0" t="n">
        <f aca="false">INDEX($K336:$O336,IF(2&lt;$E336,2,2+1))</f>
        <v>13.1763662489</v>
      </c>
      <c r="V336" s="0" t="n">
        <f aca="false">INDEX($K336:$O336,IF(3&lt;$E336,3,3+1))</f>
        <v>34.4249023436</v>
      </c>
      <c r="W336" s="0" t="n">
        <f aca="false">INDEX($K336:$O336,IF(4&lt;$E336,4,4+1))</f>
        <v>14.8931875347</v>
      </c>
      <c r="X336" s="0" t="n">
        <f aca="false">1+COUNTIF($P336:$S336,"&gt;"&amp;$P336)+(COUNTIF($P336:$S336,$P336)-1)/2</f>
        <v>3</v>
      </c>
      <c r="Y336" s="0" t="n">
        <f aca="false">1+COUNTIF($P336:$S336,"&gt;"&amp;$Q336)+(COUNTIF($P336:$S336,$Q336)-1)/2</f>
        <v>2</v>
      </c>
      <c r="Z336" s="0" t="n">
        <f aca="false">1+COUNTIF($P336:$S336,"&gt;"&amp;$R336)+(COUNTIF($P336:$S336,$R336)-1)/2</f>
        <v>1</v>
      </c>
      <c r="AA336" s="0" t="n">
        <f aca="false">1+COUNTIF($P336:$S336,"&gt;"&amp;$S336)+(COUNTIF($P336:$S336,$S336)-1)/2</f>
        <v>4</v>
      </c>
      <c r="AB336" s="0" t="n">
        <f aca="false">1+COUNTIF($T336:$W336,"&gt;"&amp;$T336)+(COUNTIF($T336:$W336,$T336)-1)/2</f>
        <v>2</v>
      </c>
      <c r="AC336" s="0" t="n">
        <f aca="false">1+COUNTIF($T336:$W336,"&gt;"&amp;$U336)+(COUNTIF($T336:$W336,$U336)-1)/2</f>
        <v>4</v>
      </c>
      <c r="AD336" s="0" t="n">
        <f aca="false">1+COUNTIF($T336:$W336,"&gt;"&amp;$V336)+(COUNTIF($T336:$W336,$V336)-1)/2</f>
        <v>1</v>
      </c>
      <c r="AE336" s="0" t="n">
        <f aca="false">1+COUNTIF($T336:$W336,"&gt;"&amp;$W336)+(COUNTIF($T336:$W336,$W336)-1)/2</f>
        <v>3</v>
      </c>
      <c r="AF336" s="0" t="n">
        <f aca="false">IFERROR(CORREL($P336:$S336,$T336:$W336),"")</f>
        <v>0.621070557275476</v>
      </c>
      <c r="AG336" s="0" t="n">
        <f aca="false">IFERROR(CORREL($X336:$AA336,$AB336:$AE336),"")</f>
        <v>0.4</v>
      </c>
      <c r="AH336" s="0" t="n">
        <f aca="false">IFERROR((SIGN($P336-$Q336)*SIGN($T336-$U336)+SIGN($P336-$R336)*SIGN($T336-$V336)+SIGN($P336-$S336)*SIGN($T336-$W336)+SIGN($Q336-$R336)*SIGN($U336-$V336)+SIGN($Q336-$S336)*SIGN($U336-$W336)+SIGN($R336-$S336)*SIGN($V336-$W336))/SQRT((6-(($P336=$Q336)*1+($P336=$R336)*1+($P336=$S336)*1+($Q336=$R336)*1+($Q336=$S336)*1+($R336=$S336)*1))*(6-(($T336=$U336)*1+($T336=$V336)*1+($T336=$W336)*1+($U336=$V336)*1+($U336=$W336)*1+($V336=$W336)*1))),"")</f>
        <v>0.333333333333333</v>
      </c>
      <c r="AI336" s="0" t="n">
        <f aca="false">MATCH(MAX($K336:$O336),$K336:$O336,0)</f>
        <v>4</v>
      </c>
      <c r="AJ336" s="0" t="n">
        <f aca="false">IF(AI336&lt;&gt;$E336,1,0)</f>
        <v>1</v>
      </c>
      <c r="AK336" s="0" t="n">
        <f aca="false">IF(AJ336=1,INDEX($F336:$J336,AI336)/MAX($P336:$S336),"")</f>
        <v>1</v>
      </c>
      <c r="AL336" s="0" t="n">
        <f aca="false">IF(AJ336=1,1+COUNTIF($P336:$S336,"&gt;"&amp;INDEX($F336:$J336,AI336)),"")</f>
        <v>1</v>
      </c>
      <c r="AM336" s="0" t="n">
        <f aca="false">AVERAGE($P336:$S336)/MAX($P336:$S336)</f>
        <v>0.716981132075472</v>
      </c>
      <c r="AN336" s="0" t="n">
        <f aca="false">100-INDEX($F336:$J336,$E336)</f>
        <v>62.5</v>
      </c>
    </row>
    <row r="337" customFormat="false" ht="15" hidden="false" customHeight="false" outlineLevel="0" collapsed="false">
      <c r="A337" s="0" t="s">
        <v>40</v>
      </c>
      <c r="B337" s="0" t="n">
        <v>2013</v>
      </c>
      <c r="C337" s="0" t="s">
        <v>52</v>
      </c>
      <c r="D337" s="0" t="s">
        <v>44</v>
      </c>
      <c r="E337" s="0" t="n">
        <v>2</v>
      </c>
      <c r="F337" s="0" t="n">
        <v>13.8</v>
      </c>
      <c r="G337" s="0" t="n">
        <v>35.1</v>
      </c>
      <c r="H337" s="0" t="n">
        <v>9.5</v>
      </c>
      <c r="I337" s="0" t="n">
        <v>11.5</v>
      </c>
      <c r="J337" s="0" t="n">
        <v>28.2</v>
      </c>
      <c r="K337" s="0" t="n">
        <v>10.5187550388</v>
      </c>
      <c r="L337" s="0" t="n">
        <v>77.1873251045</v>
      </c>
      <c r="M337" s="0" t="n">
        <v>3.66596257433</v>
      </c>
      <c r="N337" s="0" t="n">
        <v>8.47017664704</v>
      </c>
      <c r="O337" s="0" t="n">
        <v>0.157780635382</v>
      </c>
      <c r="P337" s="0" t="n">
        <f aca="false">INDEX($F337:$J337,IF(1&lt;$E337,1,1+1))</f>
        <v>13.8</v>
      </c>
      <c r="Q337" s="0" t="n">
        <f aca="false">INDEX($F337:$J337,IF(2&lt;$E337,2,2+1))</f>
        <v>9.5</v>
      </c>
      <c r="R337" s="0" t="n">
        <f aca="false">INDEX($F337:$J337,IF(3&lt;$E337,3,3+1))</f>
        <v>11.5</v>
      </c>
      <c r="S337" s="0" t="n">
        <f aca="false">INDEX($F337:$J337,IF(4&lt;$E337,4,4+1))</f>
        <v>28.2</v>
      </c>
      <c r="T337" s="0" t="n">
        <f aca="false">INDEX($K337:$O337,IF(1&lt;$E337,1,1+1))</f>
        <v>10.5187550388</v>
      </c>
      <c r="U337" s="0" t="n">
        <f aca="false">INDEX($K337:$O337,IF(2&lt;$E337,2,2+1))</f>
        <v>3.66596257433</v>
      </c>
      <c r="V337" s="0" t="n">
        <f aca="false">INDEX($K337:$O337,IF(3&lt;$E337,3,3+1))</f>
        <v>8.47017664704</v>
      </c>
      <c r="W337" s="0" t="n">
        <f aca="false">INDEX($K337:$O337,IF(4&lt;$E337,4,4+1))</f>
        <v>0.157780635382</v>
      </c>
      <c r="X337" s="0" t="n">
        <f aca="false">1+COUNTIF($P337:$S337,"&gt;"&amp;$P337)+(COUNTIF($P337:$S337,$P337)-1)/2</f>
        <v>2</v>
      </c>
      <c r="Y337" s="0" t="n">
        <f aca="false">1+COUNTIF($P337:$S337,"&gt;"&amp;$Q337)+(COUNTIF($P337:$S337,$Q337)-1)/2</f>
        <v>4</v>
      </c>
      <c r="Z337" s="0" t="n">
        <f aca="false">1+COUNTIF($P337:$S337,"&gt;"&amp;$R337)+(COUNTIF($P337:$S337,$R337)-1)/2</f>
        <v>3</v>
      </c>
      <c r="AA337" s="0" t="n">
        <f aca="false">1+COUNTIF($P337:$S337,"&gt;"&amp;$S337)+(COUNTIF($P337:$S337,$S337)-1)/2</f>
        <v>1</v>
      </c>
      <c r="AB337" s="0" t="n">
        <f aca="false">1+COUNTIF($T337:$W337,"&gt;"&amp;$T337)+(COUNTIF($T337:$W337,$T337)-1)/2</f>
        <v>1</v>
      </c>
      <c r="AC337" s="0" t="n">
        <f aca="false">1+COUNTIF($T337:$W337,"&gt;"&amp;$U337)+(COUNTIF($T337:$W337,$U337)-1)/2</f>
        <v>3</v>
      </c>
      <c r="AD337" s="0" t="n">
        <f aca="false">1+COUNTIF($T337:$W337,"&gt;"&amp;$V337)+(COUNTIF($T337:$W337,$V337)-1)/2</f>
        <v>2</v>
      </c>
      <c r="AE337" s="0" t="n">
        <f aca="false">1+COUNTIF($T337:$W337,"&gt;"&amp;$W337)+(COUNTIF($T337:$W337,$W337)-1)/2</f>
        <v>4</v>
      </c>
      <c r="AF337" s="0" t="n">
        <f aca="false">IFERROR(CORREL($P337:$S337,$T337:$W337),"")</f>
        <v>-0.650081483348957</v>
      </c>
      <c r="AG337" s="0" t="n">
        <f aca="false">IFERROR(CORREL($X337:$AA337,$AB337:$AE337),"")</f>
        <v>-0.2</v>
      </c>
      <c r="AH337" s="0" t="n">
        <f aca="false">IFERROR((SIGN($P337-$Q337)*SIGN($T337-$U337)+SIGN($P337-$R337)*SIGN($T337-$V337)+SIGN($P337-$S337)*SIGN($T337-$W337)+SIGN($Q337-$R337)*SIGN($U337-$V337)+SIGN($Q337-$S337)*SIGN($U337-$W337)+SIGN($R337-$S337)*SIGN($V337-$W337))/SQRT((6-(($P337=$Q337)*1+($P337=$R337)*1+($P337=$S337)*1+($Q337=$R337)*1+($Q337=$S337)*1+($R337=$S337)*1))*(6-(($T337=$U337)*1+($T337=$V337)*1+($T337=$W337)*1+($U337=$V337)*1+($U337=$W337)*1+($V337=$W337)*1))),"")</f>
        <v>0</v>
      </c>
      <c r="AI337" s="0" t="n">
        <f aca="false">MATCH(MAX($K337:$O337),$K337:$O337,0)</f>
        <v>2</v>
      </c>
      <c r="AJ337" s="0" t="n">
        <f aca="false">IF(AI337&lt;&gt;$E337,1,0)</f>
        <v>0</v>
      </c>
      <c r="AK337" s="0" t="str">
        <f aca="false">IF(AJ337=1,INDEX($F337:$J337,AI337)/MAX($P337:$S337),"")</f>
        <v/>
      </c>
      <c r="AL337" s="0" t="str">
        <f aca="false">IF(AJ337=1,1+COUNTIF($P337:$S337,"&gt;"&amp;INDEX($F337:$J337,AI337)),"")</f>
        <v/>
      </c>
      <c r="AM337" s="0" t="n">
        <f aca="false">AVERAGE($P337:$S337)/MAX($P337:$S337)</f>
        <v>0.558510638297872</v>
      </c>
      <c r="AN337" s="0" t="n">
        <f aca="false">100-INDEX($F337:$J337,$E337)</f>
        <v>64.9</v>
      </c>
    </row>
    <row r="338" customFormat="false" ht="15" hidden="false" customHeight="false" outlineLevel="0" collapsed="false">
      <c r="A338" s="0" t="s">
        <v>40</v>
      </c>
      <c r="B338" s="0" t="n">
        <v>2013</v>
      </c>
      <c r="C338" s="0" t="s">
        <v>52</v>
      </c>
      <c r="D338" s="0" t="s">
        <v>45</v>
      </c>
      <c r="E338" s="0" t="n">
        <v>1</v>
      </c>
      <c r="F338" s="0" t="n">
        <v>32.6</v>
      </c>
      <c r="G338" s="0" t="n">
        <v>14</v>
      </c>
      <c r="H338" s="0" t="n">
        <v>14.3</v>
      </c>
      <c r="I338" s="0" t="n">
        <v>14.3</v>
      </c>
      <c r="J338" s="0" t="n">
        <v>22.9</v>
      </c>
      <c r="K338" s="0" t="n">
        <v>64.9254138253</v>
      </c>
      <c r="L338" s="0" t="n">
        <v>9.11796201713</v>
      </c>
      <c r="M338" s="0" t="n">
        <v>8.45035177241</v>
      </c>
      <c r="N338" s="0" t="n">
        <v>11.8540767582</v>
      </c>
      <c r="O338" s="0" t="n">
        <v>5.65219562696</v>
      </c>
      <c r="P338" s="0" t="n">
        <f aca="false">INDEX($F338:$J338,IF(1&lt;$E338,1,1+1))</f>
        <v>14</v>
      </c>
      <c r="Q338" s="0" t="n">
        <f aca="false">INDEX($F338:$J338,IF(2&lt;$E338,2,2+1))</f>
        <v>14.3</v>
      </c>
      <c r="R338" s="0" t="n">
        <f aca="false">INDEX($F338:$J338,IF(3&lt;$E338,3,3+1))</f>
        <v>14.3</v>
      </c>
      <c r="S338" s="0" t="n">
        <f aca="false">INDEX($F338:$J338,IF(4&lt;$E338,4,4+1))</f>
        <v>22.9</v>
      </c>
      <c r="T338" s="0" t="n">
        <f aca="false">INDEX($K338:$O338,IF(1&lt;$E338,1,1+1))</f>
        <v>9.11796201713</v>
      </c>
      <c r="U338" s="0" t="n">
        <f aca="false">INDEX($K338:$O338,IF(2&lt;$E338,2,2+1))</f>
        <v>8.45035177241</v>
      </c>
      <c r="V338" s="0" t="n">
        <f aca="false">INDEX($K338:$O338,IF(3&lt;$E338,3,3+1))</f>
        <v>11.8540767582</v>
      </c>
      <c r="W338" s="0" t="n">
        <f aca="false">INDEX($K338:$O338,IF(4&lt;$E338,4,4+1))</f>
        <v>5.65219562696</v>
      </c>
      <c r="X338" s="0" t="n">
        <f aca="false">1+COUNTIF($P338:$S338,"&gt;"&amp;$P338)+(COUNTIF($P338:$S338,$P338)-1)/2</f>
        <v>4</v>
      </c>
      <c r="Y338" s="0" t="n">
        <f aca="false">1+COUNTIF($P338:$S338,"&gt;"&amp;$Q338)+(COUNTIF($P338:$S338,$Q338)-1)/2</f>
        <v>2.5</v>
      </c>
      <c r="Z338" s="0" t="n">
        <f aca="false">1+COUNTIF($P338:$S338,"&gt;"&amp;$R338)+(COUNTIF($P338:$S338,$R338)-1)/2</f>
        <v>2.5</v>
      </c>
      <c r="AA338" s="0" t="n">
        <f aca="false">1+COUNTIF($P338:$S338,"&gt;"&amp;$S338)+(COUNTIF($P338:$S338,$S338)-1)/2</f>
        <v>1</v>
      </c>
      <c r="AB338" s="0" t="n">
        <f aca="false">1+COUNTIF($T338:$W338,"&gt;"&amp;$T338)+(COUNTIF($T338:$W338,$T338)-1)/2</f>
        <v>2</v>
      </c>
      <c r="AC338" s="0" t="n">
        <f aca="false">1+COUNTIF($T338:$W338,"&gt;"&amp;$U338)+(COUNTIF($T338:$W338,$U338)-1)/2</f>
        <v>3</v>
      </c>
      <c r="AD338" s="0" t="n">
        <f aca="false">1+COUNTIF($T338:$W338,"&gt;"&amp;$V338)+(COUNTIF($T338:$W338,$V338)-1)/2</f>
        <v>1</v>
      </c>
      <c r="AE338" s="0" t="n">
        <f aca="false">1+COUNTIF($T338:$W338,"&gt;"&amp;$W338)+(COUNTIF($T338:$W338,$W338)-1)/2</f>
        <v>4</v>
      </c>
      <c r="AF338" s="0" t="n">
        <f aca="false">IFERROR(CORREL($P338:$S338,$T338:$W338),"")</f>
        <v>-0.809195203665914</v>
      </c>
      <c r="AG338" s="0" t="n">
        <f aca="false">IFERROR(CORREL($X338:$AA338,$AB338:$AE338),"")</f>
        <v>-0.632455532033676</v>
      </c>
      <c r="AH338" s="0" t="n">
        <f aca="false">IFERROR((SIGN($P338-$Q338)*SIGN($T338-$U338)+SIGN($P338-$R338)*SIGN($T338-$V338)+SIGN($P338-$S338)*SIGN($T338-$W338)+SIGN($Q338-$R338)*SIGN($U338-$V338)+SIGN($Q338-$S338)*SIGN($U338-$W338)+SIGN($R338-$S338)*SIGN($V338-$W338))/SQRT((6-(($P338=$Q338)*1+($P338=$R338)*1+($P338=$S338)*1+($Q338=$R338)*1+($Q338=$S338)*1+($R338=$S338)*1))*(6-(($T338=$U338)*1+($T338=$V338)*1+($T338=$W338)*1+($U338=$V338)*1+($U338=$W338)*1+($V338=$W338)*1))),"")</f>
        <v>-0.547722557505166</v>
      </c>
      <c r="AI338" s="0" t="n">
        <f aca="false">MATCH(MAX($K338:$O338),$K338:$O338,0)</f>
        <v>1</v>
      </c>
      <c r="AJ338" s="0" t="n">
        <f aca="false">IF(AI338&lt;&gt;$E338,1,0)</f>
        <v>0</v>
      </c>
      <c r="AK338" s="0" t="str">
        <f aca="false">IF(AJ338=1,INDEX($F338:$J338,AI338)/MAX($P338:$S338),"")</f>
        <v/>
      </c>
      <c r="AL338" s="0" t="str">
        <f aca="false">IF(AJ338=1,1+COUNTIF($P338:$S338,"&gt;"&amp;INDEX($F338:$J338,AI338)),"")</f>
        <v/>
      </c>
      <c r="AM338" s="0" t="n">
        <f aca="false">AVERAGE($P338:$S338)/MAX($P338:$S338)</f>
        <v>0.715065502183406</v>
      </c>
      <c r="AN338" s="0" t="n">
        <f aca="false">100-INDEX($F338:$J338,$E338)</f>
        <v>67.4</v>
      </c>
    </row>
    <row r="339" customFormat="false" ht="15" hidden="false" customHeight="false" outlineLevel="0" collapsed="false">
      <c r="A339" s="0" t="s">
        <v>40</v>
      </c>
      <c r="B339" s="0" t="n">
        <v>2013</v>
      </c>
      <c r="C339" s="0" t="s">
        <v>52</v>
      </c>
      <c r="D339" s="0" t="s">
        <v>53</v>
      </c>
      <c r="E339" s="0" t="n">
        <v>1</v>
      </c>
      <c r="F339" s="0" t="n">
        <v>28.7</v>
      </c>
      <c r="G339" s="0" t="n">
        <v>12</v>
      </c>
      <c r="H339" s="0" t="n">
        <v>24.4</v>
      </c>
      <c r="I339" s="0" t="n">
        <v>16.5</v>
      </c>
      <c r="J339" s="0" t="n">
        <v>16.5</v>
      </c>
      <c r="K339" s="0" t="n">
        <v>5.89035415642</v>
      </c>
      <c r="L339" s="0" t="n">
        <v>39.5869874601</v>
      </c>
      <c r="M339" s="0" t="n">
        <v>13.7709327723</v>
      </c>
      <c r="N339" s="0" t="n">
        <v>13.6379451109</v>
      </c>
      <c r="O339" s="0" t="n">
        <v>27.1137805002</v>
      </c>
      <c r="P339" s="0" t="n">
        <f aca="false">INDEX($F339:$J339,IF(1&lt;$E339,1,1+1))</f>
        <v>12</v>
      </c>
      <c r="Q339" s="0" t="n">
        <f aca="false">INDEX($F339:$J339,IF(2&lt;$E339,2,2+1))</f>
        <v>24.4</v>
      </c>
      <c r="R339" s="0" t="n">
        <f aca="false">INDEX($F339:$J339,IF(3&lt;$E339,3,3+1))</f>
        <v>16.5</v>
      </c>
      <c r="S339" s="0" t="n">
        <f aca="false">INDEX($F339:$J339,IF(4&lt;$E339,4,4+1))</f>
        <v>16.5</v>
      </c>
      <c r="T339" s="0" t="n">
        <f aca="false">INDEX($K339:$O339,IF(1&lt;$E339,1,1+1))</f>
        <v>39.5869874601</v>
      </c>
      <c r="U339" s="0" t="n">
        <f aca="false">INDEX($K339:$O339,IF(2&lt;$E339,2,2+1))</f>
        <v>13.7709327723</v>
      </c>
      <c r="V339" s="0" t="n">
        <f aca="false">INDEX($K339:$O339,IF(3&lt;$E339,3,3+1))</f>
        <v>13.6379451109</v>
      </c>
      <c r="W339" s="0" t="n">
        <f aca="false">INDEX($K339:$O339,IF(4&lt;$E339,4,4+1))</f>
        <v>27.1137805002</v>
      </c>
      <c r="X339" s="0" t="n">
        <f aca="false">1+COUNTIF($P339:$S339,"&gt;"&amp;$P339)+(COUNTIF($P339:$S339,$P339)-1)/2</f>
        <v>4</v>
      </c>
      <c r="Y339" s="0" t="n">
        <f aca="false">1+COUNTIF($P339:$S339,"&gt;"&amp;$Q339)+(COUNTIF($P339:$S339,$Q339)-1)/2</f>
        <v>1</v>
      </c>
      <c r="Z339" s="0" t="n">
        <f aca="false">1+COUNTIF($P339:$S339,"&gt;"&amp;$R339)+(COUNTIF($P339:$S339,$R339)-1)/2</f>
        <v>2.5</v>
      </c>
      <c r="AA339" s="0" t="n">
        <f aca="false">1+COUNTIF($P339:$S339,"&gt;"&amp;$S339)+(COUNTIF($P339:$S339,$S339)-1)/2</f>
        <v>2.5</v>
      </c>
      <c r="AB339" s="0" t="n">
        <f aca="false">1+COUNTIF($T339:$W339,"&gt;"&amp;$T339)+(COUNTIF($T339:$W339,$T339)-1)/2</f>
        <v>1</v>
      </c>
      <c r="AC339" s="0" t="n">
        <f aca="false">1+COUNTIF($T339:$W339,"&gt;"&amp;$U339)+(COUNTIF($T339:$W339,$U339)-1)/2</f>
        <v>3</v>
      </c>
      <c r="AD339" s="0" t="n">
        <f aca="false">1+COUNTIF($T339:$W339,"&gt;"&amp;$V339)+(COUNTIF($T339:$W339,$V339)-1)/2</f>
        <v>4</v>
      </c>
      <c r="AE339" s="0" t="n">
        <f aca="false">1+COUNTIF($T339:$W339,"&gt;"&amp;$W339)+(COUNTIF($T339:$W339,$W339)-1)/2</f>
        <v>2</v>
      </c>
      <c r="AF339" s="0" t="n">
        <f aca="false">IFERROR(CORREL($P339:$S339,$T339:$W339),"")</f>
        <v>-0.776463401787765</v>
      </c>
      <c r="AG339" s="0" t="n">
        <f aca="false">IFERROR(CORREL($X339:$AA339,$AB339:$AE339),"")</f>
        <v>-0.632455532033676</v>
      </c>
      <c r="AH339" s="0" t="n">
        <f aca="false">IFERROR((SIGN($P339-$Q339)*SIGN($T339-$U339)+SIGN($P339-$R339)*SIGN($T339-$V339)+SIGN($P339-$S339)*SIGN($T339-$W339)+SIGN($Q339-$R339)*SIGN($U339-$V339)+SIGN($Q339-$S339)*SIGN($U339-$W339)+SIGN($R339-$S339)*SIGN($V339-$W339))/SQRT((6-(($P339=$Q339)*1+($P339=$R339)*1+($P339=$S339)*1+($Q339=$R339)*1+($Q339=$S339)*1+($R339=$S339)*1))*(6-(($T339=$U339)*1+($T339=$V339)*1+($T339=$W339)*1+($U339=$V339)*1+($U339=$W339)*1+($V339=$W339)*1))),"")</f>
        <v>-0.547722557505166</v>
      </c>
      <c r="AI339" s="0" t="n">
        <f aca="false">MATCH(MAX($K339:$O339),$K339:$O339,0)</f>
        <v>2</v>
      </c>
      <c r="AJ339" s="0" t="n">
        <f aca="false">IF(AI339&lt;&gt;$E339,1,0)</f>
        <v>1</v>
      </c>
      <c r="AK339" s="0" t="n">
        <f aca="false">IF(AJ339=1,INDEX($F339:$J339,AI339)/MAX($P339:$S339),"")</f>
        <v>0.491803278688525</v>
      </c>
      <c r="AL339" s="0" t="n">
        <f aca="false">IF(AJ339=1,1+COUNTIF($P339:$S339,"&gt;"&amp;INDEX($F339:$J339,AI339)),"")</f>
        <v>4</v>
      </c>
      <c r="AM339" s="0" t="n">
        <f aca="false">AVERAGE($P339:$S339)/MAX($P339:$S339)</f>
        <v>0.711065573770492</v>
      </c>
      <c r="AN339" s="0" t="n">
        <f aca="false">100-INDEX($F339:$J339,$E339)</f>
        <v>71.3</v>
      </c>
    </row>
    <row r="340" customFormat="false" ht="15" hidden="false" customHeight="false" outlineLevel="0" collapsed="false">
      <c r="A340" s="0" t="s">
        <v>40</v>
      </c>
      <c r="B340" s="0" t="n">
        <v>2013</v>
      </c>
      <c r="C340" s="0" t="s">
        <v>46</v>
      </c>
      <c r="D340" s="0" t="s">
        <v>45</v>
      </c>
      <c r="E340" s="0" t="n">
        <v>3</v>
      </c>
      <c r="F340" s="0" t="n">
        <v>17.6</v>
      </c>
      <c r="G340" s="0" t="n">
        <v>13.5</v>
      </c>
      <c r="H340" s="0" t="n">
        <v>28.3</v>
      </c>
      <c r="I340" s="0" t="n">
        <v>12.8</v>
      </c>
      <c r="J340" s="0" t="n">
        <v>25.2</v>
      </c>
      <c r="K340" s="0" t="n">
        <v>8.58620123477</v>
      </c>
      <c r="L340" s="0" t="n">
        <v>0.00303606835052</v>
      </c>
      <c r="M340" s="0" t="n">
        <v>13.0748273009</v>
      </c>
      <c r="N340" s="0" t="n">
        <v>0.372811943816</v>
      </c>
      <c r="O340" s="0" t="n">
        <v>77.9631234522</v>
      </c>
      <c r="P340" s="0" t="n">
        <f aca="false">INDEX($F340:$J340,IF(1&lt;$E340,1,1+1))</f>
        <v>17.6</v>
      </c>
      <c r="Q340" s="0" t="n">
        <f aca="false">INDEX($F340:$J340,IF(2&lt;$E340,2,2+1))</f>
        <v>13.5</v>
      </c>
      <c r="R340" s="0" t="n">
        <f aca="false">INDEX($F340:$J340,IF(3&lt;$E340,3,3+1))</f>
        <v>12.8</v>
      </c>
      <c r="S340" s="0" t="n">
        <f aca="false">INDEX($F340:$J340,IF(4&lt;$E340,4,4+1))</f>
        <v>25.2</v>
      </c>
      <c r="T340" s="0" t="n">
        <f aca="false">INDEX($K340:$O340,IF(1&lt;$E340,1,1+1))</f>
        <v>8.58620123477</v>
      </c>
      <c r="U340" s="0" t="n">
        <f aca="false">INDEX($K340:$O340,IF(2&lt;$E340,2,2+1))</f>
        <v>0.00303606835052</v>
      </c>
      <c r="V340" s="0" t="n">
        <f aca="false">INDEX($K340:$O340,IF(3&lt;$E340,3,3+1))</f>
        <v>0.372811943816</v>
      </c>
      <c r="W340" s="0" t="n">
        <f aca="false">INDEX($K340:$O340,IF(4&lt;$E340,4,4+1))</f>
        <v>77.9631234522</v>
      </c>
      <c r="X340" s="0" t="n">
        <f aca="false">1+COUNTIF($P340:$S340,"&gt;"&amp;$P340)+(COUNTIF($P340:$S340,$P340)-1)/2</f>
        <v>2</v>
      </c>
      <c r="Y340" s="0" t="n">
        <f aca="false">1+COUNTIF($P340:$S340,"&gt;"&amp;$Q340)+(COUNTIF($P340:$S340,$Q340)-1)/2</f>
        <v>3</v>
      </c>
      <c r="Z340" s="0" t="n">
        <f aca="false">1+COUNTIF($P340:$S340,"&gt;"&amp;$R340)+(COUNTIF($P340:$S340,$R340)-1)/2</f>
        <v>4</v>
      </c>
      <c r="AA340" s="0" t="n">
        <f aca="false">1+COUNTIF($P340:$S340,"&gt;"&amp;$S340)+(COUNTIF($P340:$S340,$S340)-1)/2</f>
        <v>1</v>
      </c>
      <c r="AB340" s="0" t="n">
        <f aca="false">1+COUNTIF($T340:$W340,"&gt;"&amp;$T340)+(COUNTIF($T340:$W340,$T340)-1)/2</f>
        <v>2</v>
      </c>
      <c r="AC340" s="0" t="n">
        <f aca="false">1+COUNTIF($T340:$W340,"&gt;"&amp;$U340)+(COUNTIF($T340:$W340,$U340)-1)/2</f>
        <v>4</v>
      </c>
      <c r="AD340" s="0" t="n">
        <f aca="false">1+COUNTIF($T340:$W340,"&gt;"&amp;$V340)+(COUNTIF($T340:$W340,$V340)-1)/2</f>
        <v>3</v>
      </c>
      <c r="AE340" s="0" t="n">
        <f aca="false">1+COUNTIF($T340:$W340,"&gt;"&amp;$W340)+(COUNTIF($T340:$W340,$W340)-1)/2</f>
        <v>1</v>
      </c>
      <c r="AF340" s="0" t="n">
        <f aca="false">IFERROR(CORREL($P340:$S340,$T340:$W340),"")</f>
        <v>0.961611942663918</v>
      </c>
      <c r="AG340" s="0" t="n">
        <f aca="false">IFERROR(CORREL($X340:$AA340,$AB340:$AE340),"")</f>
        <v>0.8</v>
      </c>
      <c r="AH340" s="0" t="n">
        <f aca="false">IFERROR((SIGN($P340-$Q340)*SIGN($T340-$U340)+SIGN($P340-$R340)*SIGN($T340-$V340)+SIGN($P340-$S340)*SIGN($T340-$W340)+SIGN($Q340-$R340)*SIGN($U340-$V340)+SIGN($Q340-$S340)*SIGN($U340-$W340)+SIGN($R340-$S340)*SIGN($V340-$W340))/SQRT((6-(($P340=$Q340)*1+($P340=$R340)*1+($P340=$S340)*1+($Q340=$R340)*1+($Q340=$S340)*1+($R340=$S340)*1))*(6-(($T340=$U340)*1+($T340=$V340)*1+($T340=$W340)*1+($U340=$V340)*1+($U340=$W340)*1+($V340=$W340)*1))),"")</f>
        <v>0.666666666666667</v>
      </c>
      <c r="AI340" s="0" t="n">
        <f aca="false">MATCH(MAX($K340:$O340),$K340:$O340,0)</f>
        <v>5</v>
      </c>
      <c r="AJ340" s="0" t="n">
        <f aca="false">IF(AI340&lt;&gt;$E340,1,0)</f>
        <v>1</v>
      </c>
      <c r="AK340" s="0" t="n">
        <f aca="false">IF(AJ340=1,INDEX($F340:$J340,AI340)/MAX($P340:$S340),"")</f>
        <v>1</v>
      </c>
      <c r="AL340" s="0" t="n">
        <f aca="false">IF(AJ340=1,1+COUNTIF($P340:$S340,"&gt;"&amp;INDEX($F340:$J340,AI340)),"")</f>
        <v>1</v>
      </c>
      <c r="AM340" s="0" t="n">
        <f aca="false">AVERAGE($P340:$S340)/MAX($P340:$S340)</f>
        <v>0.685515873015873</v>
      </c>
      <c r="AN340" s="0" t="n">
        <f aca="false">100-INDEX($F340:$J340,$E340)</f>
        <v>71.7</v>
      </c>
    </row>
    <row r="341" customFormat="false" ht="15" hidden="false" customHeight="false" outlineLevel="0" collapsed="false">
      <c r="A341" s="0" t="s">
        <v>40</v>
      </c>
      <c r="B341" s="0" t="n">
        <v>2013</v>
      </c>
      <c r="C341" s="0" t="s">
        <v>46</v>
      </c>
      <c r="D341" s="0" t="s">
        <v>53</v>
      </c>
      <c r="E341" s="0" t="n">
        <v>3</v>
      </c>
      <c r="F341" s="0" t="n">
        <v>22.6</v>
      </c>
      <c r="G341" s="0" t="n">
        <v>10.8</v>
      </c>
      <c r="H341" s="0" t="n">
        <v>46.8</v>
      </c>
      <c r="I341" s="0" t="n">
        <v>8</v>
      </c>
      <c r="J341" s="0" t="n">
        <v>9.2</v>
      </c>
      <c r="K341" s="0" t="n">
        <v>11.3192658741</v>
      </c>
      <c r="L341" s="0" t="n">
        <v>11.9613513843</v>
      </c>
      <c r="M341" s="0" t="n">
        <v>31.8055909761</v>
      </c>
      <c r="N341" s="0" t="n">
        <v>0.488526418779</v>
      </c>
      <c r="O341" s="0" t="n">
        <v>44.4252653467</v>
      </c>
      <c r="P341" s="0" t="n">
        <f aca="false">INDEX($F341:$J341,IF(1&lt;$E341,1,1+1))</f>
        <v>22.6</v>
      </c>
      <c r="Q341" s="0" t="n">
        <f aca="false">INDEX($F341:$J341,IF(2&lt;$E341,2,2+1))</f>
        <v>10.8</v>
      </c>
      <c r="R341" s="0" t="n">
        <f aca="false">INDEX($F341:$J341,IF(3&lt;$E341,3,3+1))</f>
        <v>8</v>
      </c>
      <c r="S341" s="0" t="n">
        <f aca="false">INDEX($F341:$J341,IF(4&lt;$E341,4,4+1))</f>
        <v>9.2</v>
      </c>
      <c r="T341" s="0" t="n">
        <f aca="false">INDEX($K341:$O341,IF(1&lt;$E341,1,1+1))</f>
        <v>11.3192658741</v>
      </c>
      <c r="U341" s="0" t="n">
        <f aca="false">INDEX($K341:$O341,IF(2&lt;$E341,2,2+1))</f>
        <v>11.9613513843</v>
      </c>
      <c r="V341" s="0" t="n">
        <f aca="false">INDEX($K341:$O341,IF(3&lt;$E341,3,3+1))</f>
        <v>0.488526418779</v>
      </c>
      <c r="W341" s="0" t="n">
        <f aca="false">INDEX($K341:$O341,IF(4&lt;$E341,4,4+1))</f>
        <v>44.4252653467</v>
      </c>
      <c r="X341" s="0" t="n">
        <f aca="false">1+COUNTIF($P341:$S341,"&gt;"&amp;$P341)+(COUNTIF($P341:$S341,$P341)-1)/2</f>
        <v>1</v>
      </c>
      <c r="Y341" s="0" t="n">
        <f aca="false">1+COUNTIF($P341:$S341,"&gt;"&amp;$Q341)+(COUNTIF($P341:$S341,$Q341)-1)/2</f>
        <v>2</v>
      </c>
      <c r="Z341" s="0" t="n">
        <f aca="false">1+COUNTIF($P341:$S341,"&gt;"&amp;$R341)+(COUNTIF($P341:$S341,$R341)-1)/2</f>
        <v>4</v>
      </c>
      <c r="AA341" s="0" t="n">
        <f aca="false">1+COUNTIF($P341:$S341,"&gt;"&amp;$S341)+(COUNTIF($P341:$S341,$S341)-1)/2</f>
        <v>3</v>
      </c>
      <c r="AB341" s="0" t="n">
        <f aca="false">1+COUNTIF($T341:$W341,"&gt;"&amp;$T341)+(COUNTIF($T341:$W341,$T341)-1)/2</f>
        <v>3</v>
      </c>
      <c r="AC341" s="0" t="n">
        <f aca="false">1+COUNTIF($T341:$W341,"&gt;"&amp;$U341)+(COUNTIF($T341:$W341,$U341)-1)/2</f>
        <v>2</v>
      </c>
      <c r="AD341" s="0" t="n">
        <f aca="false">1+COUNTIF($T341:$W341,"&gt;"&amp;$V341)+(COUNTIF($T341:$W341,$V341)-1)/2</f>
        <v>4</v>
      </c>
      <c r="AE341" s="0" t="n">
        <f aca="false">1+COUNTIF($T341:$W341,"&gt;"&amp;$W341)+(COUNTIF($T341:$W341,$W341)-1)/2</f>
        <v>1</v>
      </c>
      <c r="AF341" s="0" t="n">
        <f aca="false">IFERROR(CORREL($P341:$S341,$T341:$W341),"")</f>
        <v>-0.169549496501988</v>
      </c>
      <c r="AG341" s="0" t="n">
        <f aca="false">IFERROR(CORREL($X341:$AA341,$AB341:$AE341),"")</f>
        <v>0.2</v>
      </c>
      <c r="AH341" s="0" t="n">
        <f aca="false">IFERROR((SIGN($P341-$Q341)*SIGN($T341-$U341)+SIGN($P341-$R341)*SIGN($T341-$V341)+SIGN($P341-$S341)*SIGN($T341-$W341)+SIGN($Q341-$R341)*SIGN($U341-$V341)+SIGN($Q341-$S341)*SIGN($U341-$W341)+SIGN($R341-$S341)*SIGN($V341-$W341))/SQRT((6-(($P341=$Q341)*1+($P341=$R341)*1+($P341=$S341)*1+($Q341=$R341)*1+($Q341=$S341)*1+($R341=$S341)*1))*(6-(($T341=$U341)*1+($T341=$V341)*1+($T341=$W341)*1+($U341=$V341)*1+($U341=$W341)*1+($V341=$W341)*1))),"")</f>
        <v>0</v>
      </c>
      <c r="AI341" s="0" t="n">
        <f aca="false">MATCH(MAX($K341:$O341),$K341:$O341,0)</f>
        <v>5</v>
      </c>
      <c r="AJ341" s="0" t="n">
        <f aca="false">IF(AI341&lt;&gt;$E341,1,0)</f>
        <v>1</v>
      </c>
      <c r="AK341" s="0" t="n">
        <f aca="false">IF(AJ341=1,INDEX($F341:$J341,AI341)/MAX($P341:$S341),"")</f>
        <v>0.407079646017699</v>
      </c>
      <c r="AL341" s="0" t="n">
        <f aca="false">IF(AJ341=1,1+COUNTIF($P341:$S341,"&gt;"&amp;INDEX($F341:$J341,AI341)),"")</f>
        <v>3</v>
      </c>
      <c r="AM341" s="0" t="n">
        <f aca="false">AVERAGE($P341:$S341)/MAX($P341:$S341)</f>
        <v>0.559734513274336</v>
      </c>
      <c r="AN341" s="0" t="n">
        <f aca="false">100-INDEX($F341:$J341,$E341)</f>
        <v>53.2</v>
      </c>
    </row>
    <row r="342" customFormat="false" ht="15" hidden="false" customHeight="false" outlineLevel="0" collapsed="false">
      <c r="A342" s="0" t="s">
        <v>40</v>
      </c>
      <c r="B342" s="0" t="n">
        <v>2013</v>
      </c>
      <c r="C342" s="0" t="s">
        <v>46</v>
      </c>
      <c r="D342" s="0" t="s">
        <v>55</v>
      </c>
      <c r="E342" s="0" t="n">
        <v>5</v>
      </c>
      <c r="F342" s="0" t="n">
        <v>14.9</v>
      </c>
      <c r="G342" s="0" t="n">
        <v>11.3</v>
      </c>
      <c r="H342" s="0" t="n">
        <v>15.3</v>
      </c>
      <c r="I342" s="0" t="n">
        <v>15.2</v>
      </c>
      <c r="J342" s="0" t="n">
        <v>40.7</v>
      </c>
      <c r="K342" s="0" t="n">
        <v>4.29715588894</v>
      </c>
      <c r="L342" s="0" t="n">
        <v>28.9257430526</v>
      </c>
      <c r="M342" s="0" t="n">
        <v>0.30251574035</v>
      </c>
      <c r="N342" s="0" t="n">
        <v>22.7072661104</v>
      </c>
      <c r="O342" s="0" t="n">
        <v>43.7673192077</v>
      </c>
      <c r="P342" s="0" t="n">
        <f aca="false">INDEX($F342:$J342,IF(1&lt;$E342,1,1+1))</f>
        <v>14.9</v>
      </c>
      <c r="Q342" s="0" t="n">
        <f aca="false">INDEX($F342:$J342,IF(2&lt;$E342,2,2+1))</f>
        <v>11.3</v>
      </c>
      <c r="R342" s="0" t="n">
        <f aca="false">INDEX($F342:$J342,IF(3&lt;$E342,3,3+1))</f>
        <v>15.3</v>
      </c>
      <c r="S342" s="0" t="n">
        <f aca="false">INDEX($F342:$J342,IF(4&lt;$E342,4,4+1))</f>
        <v>15.2</v>
      </c>
      <c r="T342" s="0" t="n">
        <f aca="false">INDEX($K342:$O342,IF(1&lt;$E342,1,1+1))</f>
        <v>4.29715588894</v>
      </c>
      <c r="U342" s="0" t="n">
        <f aca="false">INDEX($K342:$O342,IF(2&lt;$E342,2,2+1))</f>
        <v>28.9257430526</v>
      </c>
      <c r="V342" s="0" t="n">
        <f aca="false">INDEX($K342:$O342,IF(3&lt;$E342,3,3+1))</f>
        <v>0.30251574035</v>
      </c>
      <c r="W342" s="0" t="n">
        <f aca="false">INDEX($K342:$O342,IF(4&lt;$E342,4,4+1))</f>
        <v>22.7072661104</v>
      </c>
      <c r="X342" s="0" t="n">
        <f aca="false">1+COUNTIF($P342:$S342,"&gt;"&amp;$P342)+(COUNTIF($P342:$S342,$P342)-1)/2</f>
        <v>3</v>
      </c>
      <c r="Y342" s="0" t="n">
        <f aca="false">1+COUNTIF($P342:$S342,"&gt;"&amp;$Q342)+(COUNTIF($P342:$S342,$Q342)-1)/2</f>
        <v>4</v>
      </c>
      <c r="Z342" s="0" t="n">
        <f aca="false">1+COUNTIF($P342:$S342,"&gt;"&amp;$R342)+(COUNTIF($P342:$S342,$R342)-1)/2</f>
        <v>1</v>
      </c>
      <c r="AA342" s="0" t="n">
        <f aca="false">1+COUNTIF($P342:$S342,"&gt;"&amp;$S342)+(COUNTIF($P342:$S342,$S342)-1)/2</f>
        <v>2</v>
      </c>
      <c r="AB342" s="0" t="n">
        <f aca="false">1+COUNTIF($T342:$W342,"&gt;"&amp;$T342)+(COUNTIF($T342:$W342,$T342)-1)/2</f>
        <v>3</v>
      </c>
      <c r="AC342" s="0" t="n">
        <f aca="false">1+COUNTIF($T342:$W342,"&gt;"&amp;$U342)+(COUNTIF($T342:$W342,$U342)-1)/2</f>
        <v>1</v>
      </c>
      <c r="AD342" s="0" t="n">
        <f aca="false">1+COUNTIF($T342:$W342,"&gt;"&amp;$V342)+(COUNTIF($T342:$W342,$V342)-1)/2</f>
        <v>4</v>
      </c>
      <c r="AE342" s="0" t="n">
        <f aca="false">1+COUNTIF($T342:$W342,"&gt;"&amp;$W342)+(COUNTIF($T342:$W342,$W342)-1)/2</f>
        <v>2</v>
      </c>
      <c r="AF342" s="0" t="n">
        <f aca="false">IFERROR(CORREL($P342:$S342,$T342:$W342),"")</f>
        <v>-0.702852401914235</v>
      </c>
      <c r="AG342" s="0" t="n">
        <f aca="false">IFERROR(CORREL($X342:$AA342,$AB342:$AE342),"")</f>
        <v>-0.8</v>
      </c>
      <c r="AH342" s="0" t="n">
        <f aca="false">IFERROR((SIGN($P342-$Q342)*SIGN($T342-$U342)+SIGN($P342-$R342)*SIGN($T342-$V342)+SIGN($P342-$S342)*SIGN($T342-$W342)+SIGN($Q342-$R342)*SIGN($U342-$V342)+SIGN($Q342-$S342)*SIGN($U342-$W342)+SIGN($R342-$S342)*SIGN($V342-$W342))/SQRT((6-(($P342=$Q342)*1+($P342=$R342)*1+($P342=$S342)*1+($Q342=$R342)*1+($Q342=$S342)*1+($R342=$S342)*1))*(6-(($T342=$U342)*1+($T342=$V342)*1+($T342=$W342)*1+($U342=$V342)*1+($U342=$W342)*1+($V342=$W342)*1))),"")</f>
        <v>-0.666666666666667</v>
      </c>
      <c r="AI342" s="0" t="n">
        <f aca="false">MATCH(MAX($K342:$O342),$K342:$O342,0)</f>
        <v>5</v>
      </c>
      <c r="AJ342" s="0" t="n">
        <f aca="false">IF(AI342&lt;&gt;$E342,1,0)</f>
        <v>0</v>
      </c>
      <c r="AK342" s="0" t="str">
        <f aca="false">IF(AJ342=1,INDEX($F342:$J342,AI342)/MAX($P342:$S342),"")</f>
        <v/>
      </c>
      <c r="AL342" s="0" t="str">
        <f aca="false">IF(AJ342=1,1+COUNTIF($P342:$S342,"&gt;"&amp;INDEX($F342:$J342,AI342)),"")</f>
        <v/>
      </c>
      <c r="AM342" s="0" t="n">
        <f aca="false">AVERAGE($P342:$S342)/MAX($P342:$S342)</f>
        <v>0.926470588235294</v>
      </c>
      <c r="AN342" s="0" t="n">
        <f aca="false">100-INDEX($F342:$J342,$E342)</f>
        <v>59.3</v>
      </c>
    </row>
    <row r="343" customFormat="false" ht="15" hidden="false" customHeight="false" outlineLevel="0" collapsed="false">
      <c r="A343" s="0" t="s">
        <v>57</v>
      </c>
      <c r="B343" s="0" t="n">
        <v>2026</v>
      </c>
      <c r="C343" s="0" t="s">
        <v>46</v>
      </c>
      <c r="D343" s="0" t="s">
        <v>42</v>
      </c>
      <c r="E343" s="0" t="n">
        <v>1</v>
      </c>
      <c r="F343" s="0" t="n">
        <v>43.3</v>
      </c>
      <c r="G343" s="0" t="n">
        <v>22.6</v>
      </c>
      <c r="H343" s="0" t="n">
        <v>7.8</v>
      </c>
      <c r="I343" s="0" t="n">
        <v>19</v>
      </c>
      <c r="J343" s="0" t="n">
        <v>7.4</v>
      </c>
      <c r="K343" s="0" t="n">
        <v>4.55866210631</v>
      </c>
      <c r="L343" s="0" t="n">
        <v>36.6644623543</v>
      </c>
      <c r="M343" s="0" t="n">
        <v>3.99227327744</v>
      </c>
      <c r="N343" s="0" t="n">
        <v>42.6747406037</v>
      </c>
      <c r="O343" s="0" t="n">
        <v>12.1098616582</v>
      </c>
      <c r="P343" s="0" t="n">
        <f aca="false">INDEX($F343:$J343,IF(1&lt;$E343,1,1+1))</f>
        <v>22.6</v>
      </c>
      <c r="Q343" s="0" t="n">
        <f aca="false">INDEX($F343:$J343,IF(2&lt;$E343,2,2+1))</f>
        <v>7.8</v>
      </c>
      <c r="R343" s="0" t="n">
        <f aca="false">INDEX($F343:$J343,IF(3&lt;$E343,3,3+1))</f>
        <v>19</v>
      </c>
      <c r="S343" s="0" t="n">
        <f aca="false">INDEX($F343:$J343,IF(4&lt;$E343,4,4+1))</f>
        <v>7.4</v>
      </c>
      <c r="T343" s="0" t="n">
        <f aca="false">INDEX($K343:$O343,IF(1&lt;$E343,1,1+1))</f>
        <v>36.6644623543</v>
      </c>
      <c r="U343" s="0" t="n">
        <f aca="false">INDEX($K343:$O343,IF(2&lt;$E343,2,2+1))</f>
        <v>3.99227327744</v>
      </c>
      <c r="V343" s="0" t="n">
        <f aca="false">INDEX($K343:$O343,IF(3&lt;$E343,3,3+1))</f>
        <v>42.6747406037</v>
      </c>
      <c r="W343" s="0" t="n">
        <f aca="false">INDEX($K343:$O343,IF(4&lt;$E343,4,4+1))</f>
        <v>12.1098616582</v>
      </c>
      <c r="X343" s="0" t="n">
        <f aca="false">1+COUNTIF($P343:$S343,"&gt;"&amp;$P343)+(COUNTIF($P343:$S343,$P343)-1)/2</f>
        <v>1</v>
      </c>
      <c r="Y343" s="0" t="n">
        <f aca="false">1+COUNTIF($P343:$S343,"&gt;"&amp;$Q343)+(COUNTIF($P343:$S343,$Q343)-1)/2</f>
        <v>3</v>
      </c>
      <c r="Z343" s="0" t="n">
        <f aca="false">1+COUNTIF($P343:$S343,"&gt;"&amp;$R343)+(COUNTIF($P343:$S343,$R343)-1)/2</f>
        <v>2</v>
      </c>
      <c r="AA343" s="0" t="n">
        <f aca="false">1+COUNTIF($P343:$S343,"&gt;"&amp;$S343)+(COUNTIF($P343:$S343,$S343)-1)/2</f>
        <v>4</v>
      </c>
      <c r="AB343" s="0" t="n">
        <f aca="false">1+COUNTIF($T343:$W343,"&gt;"&amp;$T343)+(COUNTIF($T343:$W343,$T343)-1)/2</f>
        <v>2</v>
      </c>
      <c r="AC343" s="0" t="n">
        <f aca="false">1+COUNTIF($T343:$W343,"&gt;"&amp;$U343)+(COUNTIF($T343:$W343,$U343)-1)/2</f>
        <v>4</v>
      </c>
      <c r="AD343" s="0" t="n">
        <f aca="false">1+COUNTIF($T343:$W343,"&gt;"&amp;$V343)+(COUNTIF($T343:$W343,$V343)-1)/2</f>
        <v>1</v>
      </c>
      <c r="AE343" s="0" t="n">
        <f aca="false">1+COUNTIF($T343:$W343,"&gt;"&amp;$W343)+(COUNTIF($T343:$W343,$W343)-1)/2</f>
        <v>3</v>
      </c>
      <c r="AF343" s="0" t="n">
        <f aca="false">IFERROR(CORREL($P343:$S343,$T343:$W343),"")</f>
        <v>0.929019841518137</v>
      </c>
      <c r="AG343" s="0" t="n">
        <f aca="false">IFERROR(CORREL($X343:$AA343,$AB343:$AE343),"")</f>
        <v>0.6</v>
      </c>
      <c r="AH343" s="0" t="n">
        <f aca="false">IFERROR((SIGN($P343-$Q343)*SIGN($T343-$U343)+SIGN($P343-$R343)*SIGN($T343-$V343)+SIGN($P343-$S343)*SIGN($T343-$W343)+SIGN($Q343-$R343)*SIGN($U343-$V343)+SIGN($Q343-$S343)*SIGN($U343-$W343)+SIGN($R343-$S343)*SIGN($V343-$W343))/SQRT((6-(($P343=$Q343)*1+($P343=$R343)*1+($P343=$S343)*1+($Q343=$R343)*1+($Q343=$S343)*1+($R343=$S343)*1))*(6-(($T343=$U343)*1+($T343=$V343)*1+($T343=$W343)*1+($U343=$V343)*1+($U343=$W343)*1+($V343=$W343)*1))),"")</f>
        <v>0.333333333333333</v>
      </c>
      <c r="AI343" s="0" t="n">
        <f aca="false">MATCH(MAX($K343:$O343),$K343:$O343,0)</f>
        <v>4</v>
      </c>
      <c r="AJ343" s="0" t="n">
        <f aca="false">IF(AI343&lt;&gt;$E343,1,0)</f>
        <v>1</v>
      </c>
      <c r="AK343" s="0" t="n">
        <f aca="false">IF(AJ343=1,INDEX($F343:$J343,AI343)/MAX($P343:$S343),"")</f>
        <v>0.84070796460177</v>
      </c>
      <c r="AL343" s="0" t="n">
        <f aca="false">IF(AJ343=1,1+COUNTIF($P343:$S343,"&gt;"&amp;INDEX($F343:$J343,AI343)),"")</f>
        <v>2</v>
      </c>
      <c r="AM343" s="0" t="n">
        <f aca="false">AVERAGE($P343:$S343)/MAX($P343:$S343)</f>
        <v>0.628318584070796</v>
      </c>
      <c r="AN343" s="0" t="n">
        <f aca="false">100-INDEX($F343:$J343,$E343)</f>
        <v>56.7</v>
      </c>
    </row>
    <row r="344" customFormat="false" ht="15" hidden="false" customHeight="false" outlineLevel="0" collapsed="false">
      <c r="A344" s="0" t="s">
        <v>57</v>
      </c>
      <c r="B344" s="0" t="n">
        <v>2026</v>
      </c>
      <c r="C344" s="0" t="s">
        <v>46</v>
      </c>
      <c r="D344" s="0" t="s">
        <v>43</v>
      </c>
      <c r="E344" s="0" t="n">
        <v>5</v>
      </c>
      <c r="F344" s="0" t="n">
        <v>23.8</v>
      </c>
      <c r="G344" s="0" t="n">
        <v>17.9</v>
      </c>
      <c r="H344" s="0" t="n">
        <v>25.9</v>
      </c>
      <c r="I344" s="0" t="n">
        <v>8.3</v>
      </c>
      <c r="J344" s="0" t="n">
        <v>24.1</v>
      </c>
      <c r="K344" s="0" t="n">
        <v>4.73707944576</v>
      </c>
      <c r="L344" s="0" t="n">
        <v>4.83527474587</v>
      </c>
      <c r="M344" s="0" t="n">
        <v>6.55682716976</v>
      </c>
      <c r="N344" s="0" t="n">
        <v>11.762296579</v>
      </c>
      <c r="O344" s="0" t="n">
        <v>72.1085220596</v>
      </c>
      <c r="P344" s="0" t="n">
        <f aca="false">INDEX($F344:$J344,IF(1&lt;$E344,1,1+1))</f>
        <v>23.8</v>
      </c>
      <c r="Q344" s="0" t="n">
        <f aca="false">INDEX($F344:$J344,IF(2&lt;$E344,2,2+1))</f>
        <v>17.9</v>
      </c>
      <c r="R344" s="0" t="n">
        <f aca="false">INDEX($F344:$J344,IF(3&lt;$E344,3,3+1))</f>
        <v>25.9</v>
      </c>
      <c r="S344" s="0" t="n">
        <f aca="false">INDEX($F344:$J344,IF(4&lt;$E344,4,4+1))</f>
        <v>8.3</v>
      </c>
      <c r="T344" s="0" t="n">
        <f aca="false">INDEX($K344:$O344,IF(1&lt;$E344,1,1+1))</f>
        <v>4.73707944576</v>
      </c>
      <c r="U344" s="0" t="n">
        <f aca="false">INDEX($K344:$O344,IF(2&lt;$E344,2,2+1))</f>
        <v>4.83527474587</v>
      </c>
      <c r="V344" s="0" t="n">
        <f aca="false">INDEX($K344:$O344,IF(3&lt;$E344,3,3+1))</f>
        <v>6.55682716976</v>
      </c>
      <c r="W344" s="0" t="n">
        <f aca="false">INDEX($K344:$O344,IF(4&lt;$E344,4,4+1))</f>
        <v>11.762296579</v>
      </c>
      <c r="X344" s="0" t="n">
        <f aca="false">1+COUNTIF($P344:$S344,"&gt;"&amp;$P344)+(COUNTIF($P344:$S344,$P344)-1)/2</f>
        <v>2</v>
      </c>
      <c r="Y344" s="0" t="n">
        <f aca="false">1+COUNTIF($P344:$S344,"&gt;"&amp;$Q344)+(COUNTIF($P344:$S344,$Q344)-1)/2</f>
        <v>3</v>
      </c>
      <c r="Z344" s="0" t="n">
        <f aca="false">1+COUNTIF($P344:$S344,"&gt;"&amp;$R344)+(COUNTIF($P344:$S344,$R344)-1)/2</f>
        <v>1</v>
      </c>
      <c r="AA344" s="0" t="n">
        <f aca="false">1+COUNTIF($P344:$S344,"&gt;"&amp;$S344)+(COUNTIF($P344:$S344,$S344)-1)/2</f>
        <v>4</v>
      </c>
      <c r="AB344" s="0" t="n">
        <f aca="false">1+COUNTIF($T344:$W344,"&gt;"&amp;$T344)+(COUNTIF($T344:$W344,$T344)-1)/2</f>
        <v>4</v>
      </c>
      <c r="AC344" s="0" t="n">
        <f aca="false">1+COUNTIF($T344:$W344,"&gt;"&amp;$U344)+(COUNTIF($T344:$W344,$U344)-1)/2</f>
        <v>3</v>
      </c>
      <c r="AD344" s="0" t="n">
        <f aca="false">1+COUNTIF($T344:$W344,"&gt;"&amp;$V344)+(COUNTIF($T344:$W344,$V344)-1)/2</f>
        <v>2</v>
      </c>
      <c r="AE344" s="0" t="n">
        <f aca="false">1+COUNTIF($T344:$W344,"&gt;"&amp;$W344)+(COUNTIF($T344:$W344,$W344)-1)/2</f>
        <v>1</v>
      </c>
      <c r="AF344" s="0" t="n">
        <f aca="false">IFERROR(CORREL($P344:$S344,$T344:$W344),"")</f>
        <v>-0.80087516771556</v>
      </c>
      <c r="AG344" s="0" t="n">
        <f aca="false">IFERROR(CORREL($X344:$AA344,$AB344:$AE344),"")</f>
        <v>-0.4</v>
      </c>
      <c r="AH344" s="0" t="n">
        <f aca="false">IFERROR((SIGN($P344-$Q344)*SIGN($T344-$U344)+SIGN($P344-$R344)*SIGN($T344-$V344)+SIGN($P344-$S344)*SIGN($T344-$W344)+SIGN($Q344-$R344)*SIGN($U344-$V344)+SIGN($Q344-$S344)*SIGN($U344-$W344)+SIGN($R344-$S344)*SIGN($V344-$W344))/SQRT((6-(($P344=$Q344)*1+($P344=$R344)*1+($P344=$S344)*1+($Q344=$R344)*1+($Q344=$S344)*1+($R344=$S344)*1))*(6-(($T344=$U344)*1+($T344=$V344)*1+($T344=$W344)*1+($U344=$V344)*1+($U344=$W344)*1+($V344=$W344)*1))),"")</f>
        <v>-0.333333333333333</v>
      </c>
      <c r="AI344" s="0" t="n">
        <f aca="false">MATCH(MAX($K344:$O344),$K344:$O344,0)</f>
        <v>5</v>
      </c>
      <c r="AJ344" s="0" t="n">
        <f aca="false">IF(AI344&lt;&gt;$E344,1,0)</f>
        <v>0</v>
      </c>
      <c r="AK344" s="0" t="str">
        <f aca="false">IF(AJ344=1,INDEX($F344:$J344,AI344)/MAX($P344:$S344),"")</f>
        <v/>
      </c>
      <c r="AL344" s="0" t="str">
        <f aca="false">IF(AJ344=1,1+COUNTIF($P344:$S344,"&gt;"&amp;INDEX($F344:$J344,AI344)),"")</f>
        <v/>
      </c>
      <c r="AM344" s="0" t="n">
        <f aca="false">AVERAGE($P344:$S344)/MAX($P344:$S344)</f>
        <v>0.732625482625483</v>
      </c>
      <c r="AN344" s="0" t="n">
        <f aca="false">100-INDEX($F344:$J344,$E344)</f>
        <v>75.9</v>
      </c>
    </row>
    <row r="345" customFormat="false" ht="15" hidden="false" customHeight="false" outlineLevel="0" collapsed="false">
      <c r="A345" s="0" t="s">
        <v>57</v>
      </c>
      <c r="B345" s="0" t="n">
        <v>2026</v>
      </c>
      <c r="C345" s="0" t="s">
        <v>46</v>
      </c>
      <c r="D345" s="0" t="s">
        <v>44</v>
      </c>
      <c r="E345" s="0" t="n">
        <v>5</v>
      </c>
      <c r="F345" s="0" t="n">
        <v>13.6</v>
      </c>
      <c r="G345" s="0" t="n">
        <v>14.2</v>
      </c>
      <c r="H345" s="0" t="n">
        <v>21.7</v>
      </c>
      <c r="I345" s="0" t="n">
        <v>23.8</v>
      </c>
      <c r="J345" s="0" t="n">
        <v>26.7</v>
      </c>
      <c r="K345" s="0" t="n">
        <v>16.248507069</v>
      </c>
      <c r="L345" s="0" t="n">
        <v>5.41077504764</v>
      </c>
      <c r="M345" s="0" t="n">
        <v>26.7234665948</v>
      </c>
      <c r="N345" s="0" t="n">
        <v>21.6641129798</v>
      </c>
      <c r="O345" s="0" t="n">
        <v>29.9531383087</v>
      </c>
      <c r="P345" s="0" t="n">
        <f aca="false">INDEX($F345:$J345,IF(1&lt;$E345,1,1+1))</f>
        <v>13.6</v>
      </c>
      <c r="Q345" s="0" t="n">
        <f aca="false">INDEX($F345:$J345,IF(2&lt;$E345,2,2+1))</f>
        <v>14.2</v>
      </c>
      <c r="R345" s="0" t="n">
        <f aca="false">INDEX($F345:$J345,IF(3&lt;$E345,3,3+1))</f>
        <v>21.7</v>
      </c>
      <c r="S345" s="0" t="n">
        <f aca="false">INDEX($F345:$J345,IF(4&lt;$E345,4,4+1))</f>
        <v>23.8</v>
      </c>
      <c r="T345" s="0" t="n">
        <f aca="false">INDEX($K345:$O345,IF(1&lt;$E345,1,1+1))</f>
        <v>16.248507069</v>
      </c>
      <c r="U345" s="0" t="n">
        <f aca="false">INDEX($K345:$O345,IF(2&lt;$E345,2,2+1))</f>
        <v>5.41077504764</v>
      </c>
      <c r="V345" s="0" t="n">
        <f aca="false">INDEX($K345:$O345,IF(3&lt;$E345,3,3+1))</f>
        <v>26.7234665948</v>
      </c>
      <c r="W345" s="0" t="n">
        <f aca="false">INDEX($K345:$O345,IF(4&lt;$E345,4,4+1))</f>
        <v>21.6641129798</v>
      </c>
      <c r="X345" s="0" t="n">
        <f aca="false">1+COUNTIF($P345:$S345,"&gt;"&amp;$P345)+(COUNTIF($P345:$S345,$P345)-1)/2</f>
        <v>4</v>
      </c>
      <c r="Y345" s="0" t="n">
        <f aca="false">1+COUNTIF($P345:$S345,"&gt;"&amp;$Q345)+(COUNTIF($P345:$S345,$Q345)-1)/2</f>
        <v>3</v>
      </c>
      <c r="Z345" s="0" t="n">
        <f aca="false">1+COUNTIF($P345:$S345,"&gt;"&amp;$R345)+(COUNTIF($P345:$S345,$R345)-1)/2</f>
        <v>2</v>
      </c>
      <c r="AA345" s="0" t="n">
        <f aca="false">1+COUNTIF($P345:$S345,"&gt;"&amp;$S345)+(COUNTIF($P345:$S345,$S345)-1)/2</f>
        <v>1</v>
      </c>
      <c r="AB345" s="0" t="n">
        <f aca="false">1+COUNTIF($T345:$W345,"&gt;"&amp;$T345)+(COUNTIF($T345:$W345,$T345)-1)/2</f>
        <v>3</v>
      </c>
      <c r="AC345" s="0" t="n">
        <f aca="false">1+COUNTIF($T345:$W345,"&gt;"&amp;$U345)+(COUNTIF($T345:$W345,$U345)-1)/2</f>
        <v>4</v>
      </c>
      <c r="AD345" s="0" t="n">
        <f aca="false">1+COUNTIF($T345:$W345,"&gt;"&amp;$V345)+(COUNTIF($T345:$W345,$V345)-1)/2</f>
        <v>1</v>
      </c>
      <c r="AE345" s="0" t="n">
        <f aca="false">1+COUNTIF($T345:$W345,"&gt;"&amp;$W345)+(COUNTIF($T345:$W345,$W345)-1)/2</f>
        <v>2</v>
      </c>
      <c r="AF345" s="0" t="n">
        <f aca="false">IFERROR(CORREL($P345:$S345,$T345:$W345),"")</f>
        <v>0.772156142483724</v>
      </c>
      <c r="AG345" s="0" t="n">
        <f aca="false">IFERROR(CORREL($X345:$AA345,$AB345:$AE345),"")</f>
        <v>0.6</v>
      </c>
      <c r="AH345" s="0" t="n">
        <f aca="false">IFERROR((SIGN($P345-$Q345)*SIGN($T345-$U345)+SIGN($P345-$R345)*SIGN($T345-$V345)+SIGN($P345-$S345)*SIGN($T345-$W345)+SIGN($Q345-$R345)*SIGN($U345-$V345)+SIGN($Q345-$S345)*SIGN($U345-$W345)+SIGN($R345-$S345)*SIGN($V345-$W345))/SQRT((6-(($P345=$Q345)*1+($P345=$R345)*1+($P345=$S345)*1+($Q345=$R345)*1+($Q345=$S345)*1+($R345=$S345)*1))*(6-(($T345=$U345)*1+($T345=$V345)*1+($T345=$W345)*1+($U345=$V345)*1+($U345=$W345)*1+($V345=$W345)*1))),"")</f>
        <v>0.333333333333333</v>
      </c>
      <c r="AI345" s="0" t="n">
        <f aca="false">MATCH(MAX($K345:$O345),$K345:$O345,0)</f>
        <v>5</v>
      </c>
      <c r="AJ345" s="0" t="n">
        <f aca="false">IF(AI345&lt;&gt;$E345,1,0)</f>
        <v>0</v>
      </c>
      <c r="AK345" s="0" t="str">
        <f aca="false">IF(AJ345=1,INDEX($F345:$J345,AI345)/MAX($P345:$S345),"")</f>
        <v/>
      </c>
      <c r="AL345" s="0" t="str">
        <f aca="false">IF(AJ345=1,1+COUNTIF($P345:$S345,"&gt;"&amp;INDEX($F345:$J345,AI345)),"")</f>
        <v/>
      </c>
      <c r="AM345" s="0" t="n">
        <f aca="false">AVERAGE($P345:$S345)/MAX($P345:$S345)</f>
        <v>0.769957983193277</v>
      </c>
      <c r="AN345" s="0" t="n">
        <f aca="false">100-INDEX($F345:$J345,$E345)</f>
        <v>73.3</v>
      </c>
    </row>
    <row r="346" customFormat="false" ht="15" hidden="false" customHeight="false" outlineLevel="0" collapsed="false">
      <c r="A346" s="0" t="s">
        <v>57</v>
      </c>
      <c r="B346" s="0" t="n">
        <v>2026</v>
      </c>
      <c r="C346" s="0" t="s">
        <v>46</v>
      </c>
      <c r="D346" s="0" t="s">
        <v>45</v>
      </c>
      <c r="E346" s="0" t="n">
        <v>4</v>
      </c>
      <c r="F346" s="0" t="n">
        <v>13.2</v>
      </c>
      <c r="G346" s="0" t="n">
        <v>21.7</v>
      </c>
      <c r="H346" s="0" t="n">
        <v>19.8</v>
      </c>
      <c r="I346" s="0" t="n">
        <v>29.3</v>
      </c>
      <c r="J346" s="0" t="n">
        <v>16.1</v>
      </c>
      <c r="K346" s="0" t="n">
        <v>6.49527840425</v>
      </c>
      <c r="L346" s="0" t="n">
        <v>18.8460642819</v>
      </c>
      <c r="M346" s="0" t="n">
        <v>41.714913959</v>
      </c>
      <c r="N346" s="0" t="n">
        <v>27.6094714534</v>
      </c>
      <c r="O346" s="0" t="n">
        <v>5.33427190141</v>
      </c>
      <c r="P346" s="0" t="n">
        <f aca="false">INDEX($F346:$J346,IF(1&lt;$E346,1,1+1))</f>
        <v>13.2</v>
      </c>
      <c r="Q346" s="0" t="n">
        <f aca="false">INDEX($F346:$J346,IF(2&lt;$E346,2,2+1))</f>
        <v>21.7</v>
      </c>
      <c r="R346" s="0" t="n">
        <f aca="false">INDEX($F346:$J346,IF(3&lt;$E346,3,3+1))</f>
        <v>19.8</v>
      </c>
      <c r="S346" s="0" t="n">
        <f aca="false">INDEX($F346:$J346,IF(4&lt;$E346,4,4+1))</f>
        <v>16.1</v>
      </c>
      <c r="T346" s="0" t="n">
        <f aca="false">INDEX($K346:$O346,IF(1&lt;$E346,1,1+1))</f>
        <v>6.49527840425</v>
      </c>
      <c r="U346" s="0" t="n">
        <f aca="false">INDEX($K346:$O346,IF(2&lt;$E346,2,2+1))</f>
        <v>18.8460642819</v>
      </c>
      <c r="V346" s="0" t="n">
        <f aca="false">INDEX($K346:$O346,IF(3&lt;$E346,3,3+1))</f>
        <v>41.714913959</v>
      </c>
      <c r="W346" s="0" t="n">
        <f aca="false">INDEX($K346:$O346,IF(4&lt;$E346,4,4+1))</f>
        <v>5.33427190141</v>
      </c>
      <c r="X346" s="0" t="n">
        <f aca="false">1+COUNTIF($P346:$S346,"&gt;"&amp;$P346)+(COUNTIF($P346:$S346,$P346)-1)/2</f>
        <v>4</v>
      </c>
      <c r="Y346" s="0" t="n">
        <f aca="false">1+COUNTIF($P346:$S346,"&gt;"&amp;$Q346)+(COUNTIF($P346:$S346,$Q346)-1)/2</f>
        <v>1</v>
      </c>
      <c r="Z346" s="0" t="n">
        <f aca="false">1+COUNTIF($P346:$S346,"&gt;"&amp;$R346)+(COUNTIF($P346:$S346,$R346)-1)/2</f>
        <v>2</v>
      </c>
      <c r="AA346" s="0" t="n">
        <f aca="false">1+COUNTIF($P346:$S346,"&gt;"&amp;$S346)+(COUNTIF($P346:$S346,$S346)-1)/2</f>
        <v>3</v>
      </c>
      <c r="AB346" s="0" t="n">
        <f aca="false">1+COUNTIF($T346:$W346,"&gt;"&amp;$T346)+(COUNTIF($T346:$W346,$T346)-1)/2</f>
        <v>3</v>
      </c>
      <c r="AC346" s="0" t="n">
        <f aca="false">1+COUNTIF($T346:$W346,"&gt;"&amp;$U346)+(COUNTIF($T346:$W346,$U346)-1)/2</f>
        <v>2</v>
      </c>
      <c r="AD346" s="0" t="n">
        <f aca="false">1+COUNTIF($T346:$W346,"&gt;"&amp;$V346)+(COUNTIF($T346:$W346,$V346)-1)/2</f>
        <v>1</v>
      </c>
      <c r="AE346" s="0" t="n">
        <f aca="false">1+COUNTIF($T346:$W346,"&gt;"&amp;$W346)+(COUNTIF($T346:$W346,$W346)-1)/2</f>
        <v>4</v>
      </c>
      <c r="AF346" s="0" t="n">
        <f aca="false">IFERROR(CORREL($P346:$S346,$T346:$W346),"")</f>
        <v>0.651085974735569</v>
      </c>
      <c r="AG346" s="0" t="n">
        <f aca="false">IFERROR(CORREL($X346:$AA346,$AB346:$AE346),"")</f>
        <v>0.6</v>
      </c>
      <c r="AH346" s="0" t="n">
        <f aca="false">IFERROR((SIGN($P346-$Q346)*SIGN($T346-$U346)+SIGN($P346-$R346)*SIGN($T346-$V346)+SIGN($P346-$S346)*SIGN($T346-$W346)+SIGN($Q346-$R346)*SIGN($U346-$V346)+SIGN($Q346-$S346)*SIGN($U346-$W346)+SIGN($R346-$S346)*SIGN($V346-$W346))/SQRT((6-(($P346=$Q346)*1+($P346=$R346)*1+($P346=$S346)*1+($Q346=$R346)*1+($Q346=$S346)*1+($R346=$S346)*1))*(6-(($T346=$U346)*1+($T346=$V346)*1+($T346=$W346)*1+($U346=$V346)*1+($U346=$W346)*1+($V346=$W346)*1))),"")</f>
        <v>0.333333333333333</v>
      </c>
      <c r="AI346" s="0" t="n">
        <f aca="false">MATCH(MAX($K346:$O346),$K346:$O346,0)</f>
        <v>3</v>
      </c>
      <c r="AJ346" s="0" t="n">
        <f aca="false">IF(AI346&lt;&gt;$E346,1,0)</f>
        <v>1</v>
      </c>
      <c r="AK346" s="0" t="n">
        <f aca="false">IF(AJ346=1,INDEX($F346:$J346,AI346)/MAX($P346:$S346),"")</f>
        <v>0.912442396313364</v>
      </c>
      <c r="AL346" s="0" t="n">
        <f aca="false">IF(AJ346=1,1+COUNTIF($P346:$S346,"&gt;"&amp;INDEX($F346:$J346,AI346)),"")</f>
        <v>2</v>
      </c>
      <c r="AM346" s="0" t="n">
        <f aca="false">AVERAGE($P346:$S346)/MAX($P346:$S346)</f>
        <v>0.815668202764977</v>
      </c>
      <c r="AN346" s="0" t="n">
        <f aca="false">100-INDEX($F346:$J346,$E346)</f>
        <v>70.7</v>
      </c>
    </row>
    <row r="347" customFormat="false" ht="15" hidden="false" customHeight="false" outlineLevel="0" collapsed="false">
      <c r="A347" s="0" t="s">
        <v>57</v>
      </c>
      <c r="B347" s="0" t="n">
        <v>2025</v>
      </c>
      <c r="C347" s="0" t="s">
        <v>48</v>
      </c>
      <c r="D347" s="0" t="s">
        <v>42</v>
      </c>
      <c r="E347" s="0" t="n">
        <v>3</v>
      </c>
      <c r="F347" s="0" t="n">
        <v>14</v>
      </c>
      <c r="G347" s="0" t="n">
        <v>21.9</v>
      </c>
      <c r="H347" s="0" t="n">
        <v>41.6</v>
      </c>
      <c r="I347" s="0" t="n">
        <v>16.1</v>
      </c>
      <c r="J347" s="0" t="n">
        <v>6.3</v>
      </c>
      <c r="K347" s="0" t="n">
        <v>43.1036897709</v>
      </c>
      <c r="L347" s="0" t="n">
        <v>14.7203438604</v>
      </c>
      <c r="M347" s="0" t="n">
        <v>29.7030560429</v>
      </c>
      <c r="N347" s="0" t="n">
        <v>11.3935029375</v>
      </c>
      <c r="O347" s="0" t="n">
        <v>1.07940738829</v>
      </c>
      <c r="P347" s="0" t="n">
        <f aca="false">INDEX($F347:$J347,IF(1&lt;$E347,1,1+1))</f>
        <v>14</v>
      </c>
      <c r="Q347" s="0" t="n">
        <f aca="false">INDEX($F347:$J347,IF(2&lt;$E347,2,2+1))</f>
        <v>21.9</v>
      </c>
      <c r="R347" s="0" t="n">
        <f aca="false">INDEX($F347:$J347,IF(3&lt;$E347,3,3+1))</f>
        <v>16.1</v>
      </c>
      <c r="S347" s="0" t="n">
        <f aca="false">INDEX($F347:$J347,IF(4&lt;$E347,4,4+1))</f>
        <v>6.3</v>
      </c>
      <c r="T347" s="0" t="n">
        <f aca="false">INDEX($K347:$O347,IF(1&lt;$E347,1,1+1))</f>
        <v>43.1036897709</v>
      </c>
      <c r="U347" s="0" t="n">
        <f aca="false">INDEX($K347:$O347,IF(2&lt;$E347,2,2+1))</f>
        <v>14.7203438604</v>
      </c>
      <c r="V347" s="0" t="n">
        <f aca="false">INDEX($K347:$O347,IF(3&lt;$E347,3,3+1))</f>
        <v>11.3935029375</v>
      </c>
      <c r="W347" s="0" t="n">
        <f aca="false">INDEX($K347:$O347,IF(4&lt;$E347,4,4+1))</f>
        <v>1.07940738829</v>
      </c>
      <c r="X347" s="0" t="n">
        <f aca="false">1+COUNTIF($P347:$S347,"&gt;"&amp;$P347)+(COUNTIF($P347:$S347,$P347)-1)/2</f>
        <v>3</v>
      </c>
      <c r="Y347" s="0" t="n">
        <f aca="false">1+COUNTIF($P347:$S347,"&gt;"&amp;$Q347)+(COUNTIF($P347:$S347,$Q347)-1)/2</f>
        <v>1</v>
      </c>
      <c r="Z347" s="0" t="n">
        <f aca="false">1+COUNTIF($P347:$S347,"&gt;"&amp;$R347)+(COUNTIF($P347:$S347,$R347)-1)/2</f>
        <v>2</v>
      </c>
      <c r="AA347" s="0" t="n">
        <f aca="false">1+COUNTIF($P347:$S347,"&gt;"&amp;$S347)+(COUNTIF($P347:$S347,$S347)-1)/2</f>
        <v>4</v>
      </c>
      <c r="AB347" s="0" t="n">
        <f aca="false">1+COUNTIF($T347:$W347,"&gt;"&amp;$T347)+(COUNTIF($T347:$W347,$T347)-1)/2</f>
        <v>1</v>
      </c>
      <c r="AC347" s="0" t="n">
        <f aca="false">1+COUNTIF($T347:$W347,"&gt;"&amp;$U347)+(COUNTIF($T347:$W347,$U347)-1)/2</f>
        <v>2</v>
      </c>
      <c r="AD347" s="0" t="n">
        <f aca="false">1+COUNTIF($T347:$W347,"&gt;"&amp;$V347)+(COUNTIF($T347:$W347,$V347)-1)/2</f>
        <v>3</v>
      </c>
      <c r="AE347" s="0" t="n">
        <f aca="false">1+COUNTIF($T347:$W347,"&gt;"&amp;$W347)+(COUNTIF($T347:$W347,$W347)-1)/2</f>
        <v>4</v>
      </c>
      <c r="AF347" s="0" t="n">
        <f aca="false">IFERROR(CORREL($P347:$S347,$T347:$W347),"")</f>
        <v>0.262928709551536</v>
      </c>
      <c r="AG347" s="0" t="n">
        <f aca="false">IFERROR(CORREL($X347:$AA347,$AB347:$AE347),"")</f>
        <v>0.4</v>
      </c>
      <c r="AH347" s="0" t="n">
        <f aca="false">IFERROR((SIGN($P347-$Q347)*SIGN($T347-$U347)+SIGN($P347-$R347)*SIGN($T347-$V347)+SIGN($P347-$S347)*SIGN($T347-$W347)+SIGN($Q347-$R347)*SIGN($U347-$V347)+SIGN($Q347-$S347)*SIGN($U347-$W347)+SIGN($R347-$S347)*SIGN($V347-$W347))/SQRT((6-(($P347=$Q347)*1+($P347=$R347)*1+($P347=$S347)*1+($Q347=$R347)*1+($Q347=$S347)*1+($R347=$S347)*1))*(6-(($T347=$U347)*1+($T347=$V347)*1+($T347=$W347)*1+($U347=$V347)*1+($U347=$W347)*1+($V347=$W347)*1))),"")</f>
        <v>0.333333333333333</v>
      </c>
      <c r="AI347" s="0" t="n">
        <f aca="false">MATCH(MAX($K347:$O347),$K347:$O347,0)</f>
        <v>1</v>
      </c>
      <c r="AJ347" s="0" t="n">
        <f aca="false">IF(AI347&lt;&gt;$E347,1,0)</f>
        <v>1</v>
      </c>
      <c r="AK347" s="0" t="n">
        <f aca="false">IF(AJ347=1,INDEX($F347:$J347,AI347)/MAX($P347:$S347),"")</f>
        <v>0.639269406392694</v>
      </c>
      <c r="AL347" s="0" t="n">
        <f aca="false">IF(AJ347=1,1+COUNTIF($P347:$S347,"&gt;"&amp;INDEX($F347:$J347,AI347)),"")</f>
        <v>3</v>
      </c>
      <c r="AM347" s="0" t="n">
        <f aca="false">AVERAGE($P347:$S347)/MAX($P347:$S347)</f>
        <v>0.665525114155251</v>
      </c>
      <c r="AN347" s="0" t="n">
        <f aca="false">100-INDEX($F347:$J347,$E347)</f>
        <v>58.4</v>
      </c>
    </row>
    <row r="348" customFormat="false" ht="15" hidden="false" customHeight="false" outlineLevel="0" collapsed="false">
      <c r="A348" s="0" t="s">
        <v>57</v>
      </c>
      <c r="B348" s="0" t="n">
        <v>2025</v>
      </c>
      <c r="C348" s="0" t="s">
        <v>48</v>
      </c>
      <c r="D348" s="0" t="s">
        <v>43</v>
      </c>
      <c r="E348" s="0" t="n">
        <v>2</v>
      </c>
      <c r="F348" s="0" t="n">
        <v>21</v>
      </c>
      <c r="G348" s="0" t="n">
        <v>33.8</v>
      </c>
      <c r="H348" s="0" t="n">
        <v>18</v>
      </c>
      <c r="I348" s="0" t="n">
        <v>19</v>
      </c>
      <c r="J348" s="0" t="n">
        <v>8.3</v>
      </c>
      <c r="K348" s="0" t="n">
        <v>13.087350088</v>
      </c>
      <c r="L348" s="0" t="n">
        <v>24.9160092231</v>
      </c>
      <c r="M348" s="0" t="n">
        <v>31.2590300186</v>
      </c>
      <c r="N348" s="0" t="n">
        <v>29.4052348234</v>
      </c>
      <c r="O348" s="0" t="n">
        <v>1.33237584694</v>
      </c>
      <c r="P348" s="0" t="n">
        <f aca="false">INDEX($F348:$J348,IF(1&lt;$E348,1,1+1))</f>
        <v>21</v>
      </c>
      <c r="Q348" s="0" t="n">
        <f aca="false">INDEX($F348:$J348,IF(2&lt;$E348,2,2+1))</f>
        <v>18</v>
      </c>
      <c r="R348" s="0" t="n">
        <f aca="false">INDEX($F348:$J348,IF(3&lt;$E348,3,3+1))</f>
        <v>19</v>
      </c>
      <c r="S348" s="0" t="n">
        <f aca="false">INDEX($F348:$J348,IF(4&lt;$E348,4,4+1))</f>
        <v>8.3</v>
      </c>
      <c r="T348" s="0" t="n">
        <f aca="false">INDEX($K348:$O348,IF(1&lt;$E348,1,1+1))</f>
        <v>13.087350088</v>
      </c>
      <c r="U348" s="0" t="n">
        <f aca="false">INDEX($K348:$O348,IF(2&lt;$E348,2,2+1))</f>
        <v>31.2590300186</v>
      </c>
      <c r="V348" s="0" t="n">
        <f aca="false">INDEX($K348:$O348,IF(3&lt;$E348,3,3+1))</f>
        <v>29.4052348234</v>
      </c>
      <c r="W348" s="0" t="n">
        <f aca="false">INDEX($K348:$O348,IF(4&lt;$E348,4,4+1))</f>
        <v>1.33237584694</v>
      </c>
      <c r="X348" s="0" t="n">
        <f aca="false">1+COUNTIF($P348:$S348,"&gt;"&amp;$P348)+(COUNTIF($P348:$S348,$P348)-1)/2</f>
        <v>1</v>
      </c>
      <c r="Y348" s="0" t="n">
        <f aca="false">1+COUNTIF($P348:$S348,"&gt;"&amp;$Q348)+(COUNTIF($P348:$S348,$Q348)-1)/2</f>
        <v>3</v>
      </c>
      <c r="Z348" s="0" t="n">
        <f aca="false">1+COUNTIF($P348:$S348,"&gt;"&amp;$R348)+(COUNTIF($P348:$S348,$R348)-1)/2</f>
        <v>2</v>
      </c>
      <c r="AA348" s="0" t="n">
        <f aca="false">1+COUNTIF($P348:$S348,"&gt;"&amp;$S348)+(COUNTIF($P348:$S348,$S348)-1)/2</f>
        <v>4</v>
      </c>
      <c r="AB348" s="0" t="n">
        <f aca="false">1+COUNTIF($T348:$W348,"&gt;"&amp;$T348)+(COUNTIF($T348:$W348,$T348)-1)/2</f>
        <v>3</v>
      </c>
      <c r="AC348" s="0" t="n">
        <f aca="false">1+COUNTIF($T348:$W348,"&gt;"&amp;$U348)+(COUNTIF($T348:$W348,$U348)-1)/2</f>
        <v>1</v>
      </c>
      <c r="AD348" s="0" t="n">
        <f aca="false">1+COUNTIF($T348:$W348,"&gt;"&amp;$V348)+(COUNTIF($T348:$W348,$V348)-1)/2</f>
        <v>2</v>
      </c>
      <c r="AE348" s="0" t="n">
        <f aca="false">1+COUNTIF($T348:$W348,"&gt;"&amp;$W348)+(COUNTIF($T348:$W348,$W348)-1)/2</f>
        <v>4</v>
      </c>
      <c r="AF348" s="0" t="n">
        <f aca="false">IFERROR(CORREL($P348:$S348,$T348:$W348),"")</f>
        <v>0.675131702212773</v>
      </c>
      <c r="AG348" s="0" t="n">
        <f aca="false">IFERROR(CORREL($X348:$AA348,$AB348:$AE348),"")</f>
        <v>0.2</v>
      </c>
      <c r="AH348" s="0" t="n">
        <f aca="false">IFERROR((SIGN($P348-$Q348)*SIGN($T348-$U348)+SIGN($P348-$R348)*SIGN($T348-$V348)+SIGN($P348-$S348)*SIGN($T348-$W348)+SIGN($Q348-$R348)*SIGN($U348-$V348)+SIGN($Q348-$S348)*SIGN($U348-$W348)+SIGN($R348-$S348)*SIGN($V348-$W348))/SQRT((6-(($P348=$Q348)*1+($P348=$R348)*1+($P348=$S348)*1+($Q348=$R348)*1+($Q348=$S348)*1+($R348=$S348)*1))*(6-(($T348=$U348)*1+($T348=$V348)*1+($T348=$W348)*1+($U348=$V348)*1+($U348=$W348)*1+($V348=$W348)*1))),"")</f>
        <v>0</v>
      </c>
      <c r="AI348" s="0" t="n">
        <f aca="false">MATCH(MAX($K348:$O348),$K348:$O348,0)</f>
        <v>3</v>
      </c>
      <c r="AJ348" s="0" t="n">
        <f aca="false">IF(AI348&lt;&gt;$E348,1,0)</f>
        <v>1</v>
      </c>
      <c r="AK348" s="0" t="n">
        <f aca="false">IF(AJ348=1,INDEX($F348:$J348,AI348)/MAX($P348:$S348),"")</f>
        <v>0.857142857142857</v>
      </c>
      <c r="AL348" s="0" t="n">
        <f aca="false">IF(AJ348=1,1+COUNTIF($P348:$S348,"&gt;"&amp;INDEX($F348:$J348,AI348)),"")</f>
        <v>3</v>
      </c>
      <c r="AM348" s="0" t="n">
        <f aca="false">AVERAGE($P348:$S348)/MAX($P348:$S348)</f>
        <v>0.789285714285714</v>
      </c>
      <c r="AN348" s="0" t="n">
        <f aca="false">100-INDEX($F348:$J348,$E348)</f>
        <v>66.2</v>
      </c>
    </row>
    <row r="349" customFormat="false" ht="15" hidden="false" customHeight="false" outlineLevel="0" collapsed="false">
      <c r="A349" s="0" t="s">
        <v>57</v>
      </c>
      <c r="B349" s="0" t="n">
        <v>2025</v>
      </c>
      <c r="C349" s="0" t="s">
        <v>48</v>
      </c>
      <c r="D349" s="0" t="s">
        <v>44</v>
      </c>
      <c r="E349" s="0" t="n">
        <v>1</v>
      </c>
      <c r="F349" s="0" t="n">
        <v>44.5</v>
      </c>
      <c r="G349" s="0" t="n">
        <v>10.8</v>
      </c>
      <c r="H349" s="0" t="n">
        <v>14.1</v>
      </c>
      <c r="I349" s="0" t="n">
        <v>17.7</v>
      </c>
      <c r="J349" s="0" t="n">
        <v>12.9</v>
      </c>
      <c r="K349" s="0" t="n">
        <v>17.4469265717</v>
      </c>
      <c r="L349" s="0" t="n">
        <v>26.3439725814</v>
      </c>
      <c r="M349" s="0" t="n">
        <v>18.237056769</v>
      </c>
      <c r="N349" s="0" t="n">
        <v>12.688951963</v>
      </c>
      <c r="O349" s="0" t="n">
        <v>25.283092115</v>
      </c>
      <c r="P349" s="0" t="n">
        <f aca="false">INDEX($F349:$J349,IF(1&lt;$E349,1,1+1))</f>
        <v>10.8</v>
      </c>
      <c r="Q349" s="0" t="n">
        <f aca="false">INDEX($F349:$J349,IF(2&lt;$E349,2,2+1))</f>
        <v>14.1</v>
      </c>
      <c r="R349" s="0" t="n">
        <f aca="false">INDEX($F349:$J349,IF(3&lt;$E349,3,3+1))</f>
        <v>17.7</v>
      </c>
      <c r="S349" s="0" t="n">
        <f aca="false">INDEX($F349:$J349,IF(4&lt;$E349,4,4+1))</f>
        <v>12.9</v>
      </c>
      <c r="T349" s="0" t="n">
        <f aca="false">INDEX($K349:$O349,IF(1&lt;$E349,1,1+1))</f>
        <v>26.3439725814</v>
      </c>
      <c r="U349" s="0" t="n">
        <f aca="false">INDEX($K349:$O349,IF(2&lt;$E349,2,2+1))</f>
        <v>18.237056769</v>
      </c>
      <c r="V349" s="0" t="n">
        <f aca="false">INDEX($K349:$O349,IF(3&lt;$E349,3,3+1))</f>
        <v>12.688951963</v>
      </c>
      <c r="W349" s="0" t="n">
        <f aca="false">INDEX($K349:$O349,IF(4&lt;$E349,4,4+1))</f>
        <v>25.283092115</v>
      </c>
      <c r="X349" s="0" t="n">
        <f aca="false">1+COUNTIF($P349:$S349,"&gt;"&amp;$P349)+(COUNTIF($P349:$S349,$P349)-1)/2</f>
        <v>4</v>
      </c>
      <c r="Y349" s="0" t="n">
        <f aca="false">1+COUNTIF($P349:$S349,"&gt;"&amp;$Q349)+(COUNTIF($P349:$S349,$Q349)-1)/2</f>
        <v>2</v>
      </c>
      <c r="Z349" s="0" t="n">
        <f aca="false">1+COUNTIF($P349:$S349,"&gt;"&amp;$R349)+(COUNTIF($P349:$S349,$R349)-1)/2</f>
        <v>1</v>
      </c>
      <c r="AA349" s="0" t="n">
        <f aca="false">1+COUNTIF($P349:$S349,"&gt;"&amp;$S349)+(COUNTIF($P349:$S349,$S349)-1)/2</f>
        <v>3</v>
      </c>
      <c r="AB349" s="0" t="n">
        <f aca="false">1+COUNTIF($T349:$W349,"&gt;"&amp;$T349)+(COUNTIF($T349:$W349,$T349)-1)/2</f>
        <v>1</v>
      </c>
      <c r="AC349" s="0" t="n">
        <f aca="false">1+COUNTIF($T349:$W349,"&gt;"&amp;$U349)+(COUNTIF($T349:$W349,$U349)-1)/2</f>
        <v>3</v>
      </c>
      <c r="AD349" s="0" t="n">
        <f aca="false">1+COUNTIF($T349:$W349,"&gt;"&amp;$V349)+(COUNTIF($T349:$W349,$V349)-1)/2</f>
        <v>4</v>
      </c>
      <c r="AE349" s="0" t="n">
        <f aca="false">1+COUNTIF($T349:$W349,"&gt;"&amp;$W349)+(COUNTIF($T349:$W349,$W349)-1)/2</f>
        <v>2</v>
      </c>
      <c r="AF349" s="0" t="n">
        <f aca="false">IFERROR(CORREL($P349:$S349,$T349:$W349),"")</f>
        <v>-0.954127383452165</v>
      </c>
      <c r="AG349" s="0" t="n">
        <f aca="false">IFERROR(CORREL($X349:$AA349,$AB349:$AE349),"")</f>
        <v>-1</v>
      </c>
      <c r="AH349" s="0" t="n">
        <f aca="false">IFERROR((SIGN($P349-$Q349)*SIGN($T349-$U349)+SIGN($P349-$R349)*SIGN($T349-$V349)+SIGN($P349-$S349)*SIGN($T349-$W349)+SIGN($Q349-$R349)*SIGN($U349-$V349)+SIGN($Q349-$S349)*SIGN($U349-$W349)+SIGN($R349-$S349)*SIGN($V349-$W349))/SQRT((6-(($P349=$Q349)*1+($P349=$R349)*1+($P349=$S349)*1+($Q349=$R349)*1+($Q349=$S349)*1+($R349=$S349)*1))*(6-(($T349=$U349)*1+($T349=$V349)*1+($T349=$W349)*1+($U349=$V349)*1+($U349=$W349)*1+($V349=$W349)*1))),"")</f>
        <v>-1</v>
      </c>
      <c r="AI349" s="0" t="n">
        <f aca="false">MATCH(MAX($K349:$O349),$K349:$O349,0)</f>
        <v>2</v>
      </c>
      <c r="AJ349" s="0" t="n">
        <f aca="false">IF(AI349&lt;&gt;$E349,1,0)</f>
        <v>1</v>
      </c>
      <c r="AK349" s="0" t="n">
        <f aca="false">IF(AJ349=1,INDEX($F349:$J349,AI349)/MAX($P349:$S349),"")</f>
        <v>0.610169491525424</v>
      </c>
      <c r="AL349" s="0" t="n">
        <f aca="false">IF(AJ349=1,1+COUNTIF($P349:$S349,"&gt;"&amp;INDEX($F349:$J349,AI349)),"")</f>
        <v>4</v>
      </c>
      <c r="AM349" s="0" t="n">
        <f aca="false">AVERAGE($P349:$S349)/MAX($P349:$S349)</f>
        <v>0.783898305084746</v>
      </c>
      <c r="AN349" s="0" t="n">
        <f aca="false">100-INDEX($F349:$J349,$E349)</f>
        <v>55.5</v>
      </c>
    </row>
    <row r="350" customFormat="false" ht="15" hidden="false" customHeight="false" outlineLevel="0" collapsed="false">
      <c r="A350" s="0" t="s">
        <v>57</v>
      </c>
      <c r="B350" s="0" t="n">
        <v>2025</v>
      </c>
      <c r="C350" s="0" t="s">
        <v>48</v>
      </c>
      <c r="D350" s="0" t="s">
        <v>45</v>
      </c>
      <c r="E350" s="0" t="n">
        <v>2</v>
      </c>
      <c r="F350" s="0" t="n">
        <v>17.9</v>
      </c>
      <c r="G350" s="0" t="n">
        <v>38.7</v>
      </c>
      <c r="H350" s="0" t="n">
        <v>11.9</v>
      </c>
      <c r="I350" s="0" t="n">
        <v>13.2</v>
      </c>
      <c r="J350" s="0" t="n">
        <v>18.3</v>
      </c>
      <c r="K350" s="0" t="n">
        <v>4.06963259842</v>
      </c>
      <c r="L350" s="0" t="n">
        <v>84.9415515131</v>
      </c>
      <c r="M350" s="0" t="n">
        <v>1.90897545822</v>
      </c>
      <c r="N350" s="0" t="n">
        <v>1.81365312471</v>
      </c>
      <c r="O350" s="0" t="n">
        <v>7.26618730555</v>
      </c>
      <c r="P350" s="0" t="n">
        <f aca="false">INDEX($F350:$J350,IF(1&lt;$E350,1,1+1))</f>
        <v>17.9</v>
      </c>
      <c r="Q350" s="0" t="n">
        <f aca="false">INDEX($F350:$J350,IF(2&lt;$E350,2,2+1))</f>
        <v>11.9</v>
      </c>
      <c r="R350" s="0" t="n">
        <f aca="false">INDEX($F350:$J350,IF(3&lt;$E350,3,3+1))</f>
        <v>13.2</v>
      </c>
      <c r="S350" s="0" t="n">
        <f aca="false">INDEX($F350:$J350,IF(4&lt;$E350,4,4+1))</f>
        <v>18.3</v>
      </c>
      <c r="T350" s="0" t="n">
        <f aca="false">INDEX($K350:$O350,IF(1&lt;$E350,1,1+1))</f>
        <v>4.06963259842</v>
      </c>
      <c r="U350" s="0" t="n">
        <f aca="false">INDEX($K350:$O350,IF(2&lt;$E350,2,2+1))</f>
        <v>1.90897545822</v>
      </c>
      <c r="V350" s="0" t="n">
        <f aca="false">INDEX($K350:$O350,IF(3&lt;$E350,3,3+1))</f>
        <v>1.81365312471</v>
      </c>
      <c r="W350" s="0" t="n">
        <f aca="false">INDEX($K350:$O350,IF(4&lt;$E350,4,4+1))</f>
        <v>7.26618730555</v>
      </c>
      <c r="X350" s="0" t="n">
        <f aca="false">1+COUNTIF($P350:$S350,"&gt;"&amp;$P350)+(COUNTIF($P350:$S350,$P350)-1)/2</f>
        <v>2</v>
      </c>
      <c r="Y350" s="0" t="n">
        <f aca="false">1+COUNTIF($P350:$S350,"&gt;"&amp;$Q350)+(COUNTIF($P350:$S350,$Q350)-1)/2</f>
        <v>4</v>
      </c>
      <c r="Z350" s="0" t="n">
        <f aca="false">1+COUNTIF($P350:$S350,"&gt;"&amp;$R350)+(COUNTIF($P350:$S350,$R350)-1)/2</f>
        <v>3</v>
      </c>
      <c r="AA350" s="0" t="n">
        <f aca="false">1+COUNTIF($P350:$S350,"&gt;"&amp;$S350)+(COUNTIF($P350:$S350,$S350)-1)/2</f>
        <v>1</v>
      </c>
      <c r="AB350" s="0" t="n">
        <f aca="false">1+COUNTIF($T350:$W350,"&gt;"&amp;$T350)+(COUNTIF($T350:$W350,$T350)-1)/2</f>
        <v>2</v>
      </c>
      <c r="AC350" s="0" t="n">
        <f aca="false">1+COUNTIF($T350:$W350,"&gt;"&amp;$U350)+(COUNTIF($T350:$W350,$U350)-1)/2</f>
        <v>3</v>
      </c>
      <c r="AD350" s="0" t="n">
        <f aca="false">1+COUNTIF($T350:$W350,"&gt;"&amp;$V350)+(COUNTIF($T350:$W350,$V350)-1)/2</f>
        <v>4</v>
      </c>
      <c r="AE350" s="0" t="n">
        <f aca="false">1+COUNTIF($T350:$W350,"&gt;"&amp;$W350)+(COUNTIF($T350:$W350,$W350)-1)/2</f>
        <v>1</v>
      </c>
      <c r="AF350" s="0" t="n">
        <f aca="false">IFERROR(CORREL($P350:$S350,$T350:$W350),"")</f>
        <v>0.870266038110744</v>
      </c>
      <c r="AG350" s="0" t="n">
        <f aca="false">IFERROR(CORREL($X350:$AA350,$AB350:$AE350),"")</f>
        <v>0.8</v>
      </c>
      <c r="AH350" s="0" t="n">
        <f aca="false">IFERROR((SIGN($P350-$Q350)*SIGN($T350-$U350)+SIGN($P350-$R350)*SIGN($T350-$V350)+SIGN($P350-$S350)*SIGN($T350-$W350)+SIGN($Q350-$R350)*SIGN($U350-$V350)+SIGN($Q350-$S350)*SIGN($U350-$W350)+SIGN($R350-$S350)*SIGN($V350-$W350))/SQRT((6-(($P350=$Q350)*1+($P350=$R350)*1+($P350=$S350)*1+($Q350=$R350)*1+($Q350=$S350)*1+($R350=$S350)*1))*(6-(($T350=$U350)*1+($T350=$V350)*1+($T350=$W350)*1+($U350=$V350)*1+($U350=$W350)*1+($V350=$W350)*1))),"")</f>
        <v>0.666666666666667</v>
      </c>
      <c r="AI350" s="0" t="n">
        <f aca="false">MATCH(MAX($K350:$O350),$K350:$O350,0)</f>
        <v>2</v>
      </c>
      <c r="AJ350" s="0" t="n">
        <f aca="false">IF(AI350&lt;&gt;$E350,1,0)</f>
        <v>0</v>
      </c>
      <c r="AK350" s="0" t="str">
        <f aca="false">IF(AJ350=1,INDEX($F350:$J350,AI350)/MAX($P350:$S350),"")</f>
        <v/>
      </c>
      <c r="AL350" s="0" t="str">
        <f aca="false">IF(AJ350=1,1+COUNTIF($P350:$S350,"&gt;"&amp;INDEX($F350:$J350,AI350)),"")</f>
        <v/>
      </c>
      <c r="AM350" s="0" t="n">
        <f aca="false">AVERAGE($P350:$S350)/MAX($P350:$S350)</f>
        <v>0.837431693989071</v>
      </c>
      <c r="AN350" s="0" t="n">
        <f aca="false">100-INDEX($F350:$J350,$E350)</f>
        <v>61.3</v>
      </c>
    </row>
    <row r="351" customFormat="false" ht="15" hidden="false" customHeight="false" outlineLevel="0" collapsed="false">
      <c r="A351" s="0" t="s">
        <v>57</v>
      </c>
      <c r="B351" s="0" t="n">
        <v>2025</v>
      </c>
      <c r="C351" s="0" t="s">
        <v>49</v>
      </c>
      <c r="D351" s="0" t="s">
        <v>43</v>
      </c>
      <c r="E351" s="0" t="n">
        <v>5</v>
      </c>
      <c r="F351" s="0" t="n">
        <v>13.6</v>
      </c>
      <c r="G351" s="0" t="n">
        <v>13.1</v>
      </c>
      <c r="H351" s="0" t="n">
        <v>29.1</v>
      </c>
      <c r="I351" s="0" t="n">
        <v>15.3</v>
      </c>
      <c r="J351" s="0" t="n">
        <v>28.8</v>
      </c>
      <c r="K351" s="0" t="n">
        <v>33.8180447469</v>
      </c>
      <c r="L351" s="0" t="n">
        <v>12.9431901786</v>
      </c>
      <c r="M351" s="0" t="n">
        <v>23.2816490732</v>
      </c>
      <c r="N351" s="0" t="n">
        <v>9.58927234776</v>
      </c>
      <c r="O351" s="0" t="n">
        <v>20.3678436536</v>
      </c>
      <c r="P351" s="0" t="n">
        <f aca="false">INDEX($F351:$J351,IF(1&lt;$E351,1,1+1))</f>
        <v>13.6</v>
      </c>
      <c r="Q351" s="0" t="n">
        <f aca="false">INDEX($F351:$J351,IF(2&lt;$E351,2,2+1))</f>
        <v>13.1</v>
      </c>
      <c r="R351" s="0" t="n">
        <f aca="false">INDEX($F351:$J351,IF(3&lt;$E351,3,3+1))</f>
        <v>29.1</v>
      </c>
      <c r="S351" s="0" t="n">
        <f aca="false">INDEX($F351:$J351,IF(4&lt;$E351,4,4+1))</f>
        <v>15.3</v>
      </c>
      <c r="T351" s="0" t="n">
        <f aca="false">INDEX($K351:$O351,IF(1&lt;$E351,1,1+1))</f>
        <v>33.8180447469</v>
      </c>
      <c r="U351" s="0" t="n">
        <f aca="false">INDEX($K351:$O351,IF(2&lt;$E351,2,2+1))</f>
        <v>12.9431901786</v>
      </c>
      <c r="V351" s="0" t="n">
        <f aca="false">INDEX($K351:$O351,IF(3&lt;$E351,3,3+1))</f>
        <v>23.2816490732</v>
      </c>
      <c r="W351" s="0" t="n">
        <f aca="false">INDEX($K351:$O351,IF(4&lt;$E351,4,4+1))</f>
        <v>9.58927234776</v>
      </c>
      <c r="X351" s="0" t="n">
        <f aca="false">1+COUNTIF($P351:$S351,"&gt;"&amp;$P351)+(COUNTIF($P351:$S351,$P351)-1)/2</f>
        <v>3</v>
      </c>
      <c r="Y351" s="0" t="n">
        <f aca="false">1+COUNTIF($P351:$S351,"&gt;"&amp;$Q351)+(COUNTIF($P351:$S351,$Q351)-1)/2</f>
        <v>4</v>
      </c>
      <c r="Z351" s="0" t="n">
        <f aca="false">1+COUNTIF($P351:$S351,"&gt;"&amp;$R351)+(COUNTIF($P351:$S351,$R351)-1)/2</f>
        <v>1</v>
      </c>
      <c r="AA351" s="0" t="n">
        <f aca="false">1+COUNTIF($P351:$S351,"&gt;"&amp;$S351)+(COUNTIF($P351:$S351,$S351)-1)/2</f>
        <v>2</v>
      </c>
      <c r="AB351" s="0" t="n">
        <f aca="false">1+COUNTIF($T351:$W351,"&gt;"&amp;$T351)+(COUNTIF($T351:$W351,$T351)-1)/2</f>
        <v>1</v>
      </c>
      <c r="AC351" s="0" t="n">
        <f aca="false">1+COUNTIF($T351:$W351,"&gt;"&amp;$U351)+(COUNTIF($T351:$W351,$U351)-1)/2</f>
        <v>3</v>
      </c>
      <c r="AD351" s="0" t="n">
        <f aca="false">1+COUNTIF($T351:$W351,"&gt;"&amp;$V351)+(COUNTIF($T351:$W351,$V351)-1)/2</f>
        <v>2</v>
      </c>
      <c r="AE351" s="0" t="n">
        <f aca="false">1+COUNTIF($T351:$W351,"&gt;"&amp;$W351)+(COUNTIF($T351:$W351,$W351)-1)/2</f>
        <v>4</v>
      </c>
      <c r="AF351" s="0" t="n">
        <f aca="false">IFERROR(CORREL($P351:$S351,$T351:$W351),"")</f>
        <v>0.152931754988575</v>
      </c>
      <c r="AG351" s="0" t="n">
        <f aca="false">IFERROR(CORREL($X351:$AA351,$AB351:$AE351),"")</f>
        <v>0</v>
      </c>
      <c r="AH351" s="0" t="n">
        <f aca="false">IFERROR((SIGN($P351-$Q351)*SIGN($T351-$U351)+SIGN($P351-$R351)*SIGN($T351-$V351)+SIGN($P351-$S351)*SIGN($T351-$W351)+SIGN($Q351-$R351)*SIGN($U351-$V351)+SIGN($Q351-$S351)*SIGN($U351-$W351)+SIGN($R351-$S351)*SIGN($V351-$W351))/SQRT((6-(($P351=$Q351)*1+($P351=$R351)*1+($P351=$S351)*1+($Q351=$R351)*1+($Q351=$S351)*1+($R351=$S351)*1))*(6-(($T351=$U351)*1+($T351=$V351)*1+($T351=$W351)*1+($U351=$V351)*1+($U351=$W351)*1+($V351=$W351)*1))),"")</f>
        <v>0</v>
      </c>
      <c r="AI351" s="0" t="n">
        <f aca="false">MATCH(MAX($K351:$O351),$K351:$O351,0)</f>
        <v>1</v>
      </c>
      <c r="AJ351" s="0" t="n">
        <f aca="false">IF(AI351&lt;&gt;$E351,1,0)</f>
        <v>1</v>
      </c>
      <c r="AK351" s="0" t="n">
        <f aca="false">IF(AJ351=1,INDEX($F351:$J351,AI351)/MAX($P351:$S351),"")</f>
        <v>0.467353951890034</v>
      </c>
      <c r="AL351" s="0" t="n">
        <f aca="false">IF(AJ351=1,1+COUNTIF($P351:$S351,"&gt;"&amp;INDEX($F351:$J351,AI351)),"")</f>
        <v>3</v>
      </c>
      <c r="AM351" s="0" t="n">
        <f aca="false">AVERAGE($P351:$S351)/MAX($P351:$S351)</f>
        <v>0.610824742268041</v>
      </c>
      <c r="AN351" s="0" t="n">
        <f aca="false">100-INDEX($F351:$J351,$E351)</f>
        <v>71.2</v>
      </c>
    </row>
    <row r="352" customFormat="false" ht="15" hidden="false" customHeight="false" outlineLevel="0" collapsed="false">
      <c r="A352" s="0" t="s">
        <v>57</v>
      </c>
      <c r="B352" s="0" t="n">
        <v>2025</v>
      </c>
      <c r="C352" s="0" t="s">
        <v>49</v>
      </c>
      <c r="D352" s="0" t="s">
        <v>44</v>
      </c>
      <c r="E352" s="0" t="n">
        <v>5</v>
      </c>
      <c r="F352" s="0" t="n">
        <v>10</v>
      </c>
      <c r="G352" s="0" t="n">
        <v>17.1</v>
      </c>
      <c r="H352" s="0" t="n">
        <v>13.7</v>
      </c>
      <c r="I352" s="0" t="n">
        <v>13.4</v>
      </c>
      <c r="J352" s="0" t="n">
        <v>45.7</v>
      </c>
      <c r="K352" s="0" t="n">
        <v>11.8841918508</v>
      </c>
      <c r="L352" s="0" t="n">
        <v>14.7329241449</v>
      </c>
      <c r="M352" s="0" t="n">
        <v>6.24660322649</v>
      </c>
      <c r="N352" s="0" t="n">
        <v>49.4388025519</v>
      </c>
      <c r="O352" s="0" t="n">
        <v>17.6974782259</v>
      </c>
      <c r="P352" s="0" t="n">
        <f aca="false">INDEX($F352:$J352,IF(1&lt;$E352,1,1+1))</f>
        <v>10</v>
      </c>
      <c r="Q352" s="0" t="n">
        <f aca="false">INDEX($F352:$J352,IF(2&lt;$E352,2,2+1))</f>
        <v>17.1</v>
      </c>
      <c r="R352" s="0" t="n">
        <f aca="false">INDEX($F352:$J352,IF(3&lt;$E352,3,3+1))</f>
        <v>13.7</v>
      </c>
      <c r="S352" s="0" t="n">
        <f aca="false">INDEX($F352:$J352,IF(4&lt;$E352,4,4+1))</f>
        <v>13.4</v>
      </c>
      <c r="T352" s="0" t="n">
        <f aca="false">INDEX($K352:$O352,IF(1&lt;$E352,1,1+1))</f>
        <v>11.8841918508</v>
      </c>
      <c r="U352" s="0" t="n">
        <f aca="false">INDEX($K352:$O352,IF(2&lt;$E352,2,2+1))</f>
        <v>14.7329241449</v>
      </c>
      <c r="V352" s="0" t="n">
        <f aca="false">INDEX($K352:$O352,IF(3&lt;$E352,3,3+1))</f>
        <v>6.24660322649</v>
      </c>
      <c r="W352" s="0" t="n">
        <f aca="false">INDEX($K352:$O352,IF(4&lt;$E352,4,4+1))</f>
        <v>49.4388025519</v>
      </c>
      <c r="X352" s="0" t="n">
        <f aca="false">1+COUNTIF($P352:$S352,"&gt;"&amp;$P352)+(COUNTIF($P352:$S352,$P352)-1)/2</f>
        <v>4</v>
      </c>
      <c r="Y352" s="0" t="n">
        <f aca="false">1+COUNTIF($P352:$S352,"&gt;"&amp;$Q352)+(COUNTIF($P352:$S352,$Q352)-1)/2</f>
        <v>1</v>
      </c>
      <c r="Z352" s="0" t="n">
        <f aca="false">1+COUNTIF($P352:$S352,"&gt;"&amp;$R352)+(COUNTIF($P352:$S352,$R352)-1)/2</f>
        <v>2</v>
      </c>
      <c r="AA352" s="0" t="n">
        <f aca="false">1+COUNTIF($P352:$S352,"&gt;"&amp;$S352)+(COUNTIF($P352:$S352,$S352)-1)/2</f>
        <v>3</v>
      </c>
      <c r="AB352" s="0" t="n">
        <f aca="false">1+COUNTIF($T352:$W352,"&gt;"&amp;$T352)+(COUNTIF($T352:$W352,$T352)-1)/2</f>
        <v>3</v>
      </c>
      <c r="AC352" s="0" t="n">
        <f aca="false">1+COUNTIF($T352:$W352,"&gt;"&amp;$U352)+(COUNTIF($T352:$W352,$U352)-1)/2</f>
        <v>2</v>
      </c>
      <c r="AD352" s="0" t="n">
        <f aca="false">1+COUNTIF($T352:$W352,"&gt;"&amp;$V352)+(COUNTIF($T352:$W352,$V352)-1)/2</f>
        <v>4</v>
      </c>
      <c r="AE352" s="0" t="n">
        <f aca="false">1+COUNTIF($T352:$W352,"&gt;"&amp;$W352)+(COUNTIF($T352:$W352,$W352)-1)/2</f>
        <v>1</v>
      </c>
      <c r="AF352" s="0" t="n">
        <f aca="false">IFERROR(CORREL($P352:$S352,$T352:$W352),"")</f>
        <v>0.0213446016685741</v>
      </c>
      <c r="AG352" s="0" t="n">
        <f aca="false">IFERROR(CORREL($X352:$AA352,$AB352:$AE352),"")</f>
        <v>0</v>
      </c>
      <c r="AH352" s="0" t="n">
        <f aca="false">IFERROR((SIGN($P352-$Q352)*SIGN($T352-$U352)+SIGN($P352-$R352)*SIGN($T352-$V352)+SIGN($P352-$S352)*SIGN($T352-$W352)+SIGN($Q352-$R352)*SIGN($U352-$V352)+SIGN($Q352-$S352)*SIGN($U352-$W352)+SIGN($R352-$S352)*SIGN($V352-$W352))/SQRT((6-(($P352=$Q352)*1+($P352=$R352)*1+($P352=$S352)*1+($Q352=$R352)*1+($Q352=$S352)*1+($R352=$S352)*1))*(6-(($T352=$U352)*1+($T352=$V352)*1+($T352=$W352)*1+($U352=$V352)*1+($U352=$W352)*1+($V352=$W352)*1))),"")</f>
        <v>0</v>
      </c>
      <c r="AI352" s="0" t="n">
        <f aca="false">MATCH(MAX($K352:$O352),$K352:$O352,0)</f>
        <v>4</v>
      </c>
      <c r="AJ352" s="0" t="n">
        <f aca="false">IF(AI352&lt;&gt;$E352,1,0)</f>
        <v>1</v>
      </c>
      <c r="AK352" s="0" t="n">
        <f aca="false">IF(AJ352=1,INDEX($F352:$J352,AI352)/MAX($P352:$S352),"")</f>
        <v>0.783625730994152</v>
      </c>
      <c r="AL352" s="0" t="n">
        <f aca="false">IF(AJ352=1,1+COUNTIF($P352:$S352,"&gt;"&amp;INDEX($F352:$J352,AI352)),"")</f>
        <v>3</v>
      </c>
      <c r="AM352" s="0" t="n">
        <f aca="false">AVERAGE($P352:$S352)/MAX($P352:$S352)</f>
        <v>0.792397660818713</v>
      </c>
      <c r="AN352" s="0" t="n">
        <f aca="false">100-INDEX($F352:$J352,$E352)</f>
        <v>54.3</v>
      </c>
    </row>
    <row r="353" customFormat="false" ht="15" hidden="false" customHeight="false" outlineLevel="0" collapsed="false">
      <c r="A353" s="0" t="s">
        <v>57</v>
      </c>
      <c r="B353" s="0" t="n">
        <v>2025</v>
      </c>
      <c r="C353" s="0" t="s">
        <v>49</v>
      </c>
      <c r="D353" s="0" t="s">
        <v>45</v>
      </c>
      <c r="E353" s="0" t="n">
        <v>1</v>
      </c>
      <c r="F353" s="0" t="n">
        <v>21.7</v>
      </c>
      <c r="G353" s="0" t="n">
        <v>16.4</v>
      </c>
      <c r="H353" s="0" t="n">
        <v>21.8</v>
      </c>
      <c r="I353" s="0" t="n">
        <v>20.6</v>
      </c>
      <c r="J353" s="0" t="n">
        <v>19.4</v>
      </c>
      <c r="K353" s="0" t="n">
        <v>4.57199649062</v>
      </c>
      <c r="L353" s="0" t="n">
        <v>14.3226277044</v>
      </c>
      <c r="M353" s="0" t="n">
        <v>24.7322964125</v>
      </c>
      <c r="N353" s="0" t="n">
        <v>41.9478305999</v>
      </c>
      <c r="O353" s="0" t="n">
        <v>14.4252487926</v>
      </c>
      <c r="P353" s="0" t="n">
        <f aca="false">INDEX($F353:$J353,IF(1&lt;$E353,1,1+1))</f>
        <v>16.4</v>
      </c>
      <c r="Q353" s="0" t="n">
        <f aca="false">INDEX($F353:$J353,IF(2&lt;$E353,2,2+1))</f>
        <v>21.8</v>
      </c>
      <c r="R353" s="0" t="n">
        <f aca="false">INDEX($F353:$J353,IF(3&lt;$E353,3,3+1))</f>
        <v>20.6</v>
      </c>
      <c r="S353" s="0" t="n">
        <f aca="false">INDEX($F353:$J353,IF(4&lt;$E353,4,4+1))</f>
        <v>19.4</v>
      </c>
      <c r="T353" s="0" t="n">
        <f aca="false">INDEX($K353:$O353,IF(1&lt;$E353,1,1+1))</f>
        <v>14.3226277044</v>
      </c>
      <c r="U353" s="0" t="n">
        <f aca="false">INDEX($K353:$O353,IF(2&lt;$E353,2,2+1))</f>
        <v>24.7322964125</v>
      </c>
      <c r="V353" s="0" t="n">
        <f aca="false">INDEX($K353:$O353,IF(3&lt;$E353,3,3+1))</f>
        <v>41.9478305999</v>
      </c>
      <c r="W353" s="0" t="n">
        <f aca="false">INDEX($K353:$O353,IF(4&lt;$E353,4,4+1))</f>
        <v>14.4252487926</v>
      </c>
      <c r="X353" s="0" t="n">
        <f aca="false">1+COUNTIF($P353:$S353,"&gt;"&amp;$P353)+(COUNTIF($P353:$S353,$P353)-1)/2</f>
        <v>4</v>
      </c>
      <c r="Y353" s="0" t="n">
        <f aca="false">1+COUNTIF($P353:$S353,"&gt;"&amp;$Q353)+(COUNTIF($P353:$S353,$Q353)-1)/2</f>
        <v>1</v>
      </c>
      <c r="Z353" s="0" t="n">
        <f aca="false">1+COUNTIF($P353:$S353,"&gt;"&amp;$R353)+(COUNTIF($P353:$S353,$R353)-1)/2</f>
        <v>2</v>
      </c>
      <c r="AA353" s="0" t="n">
        <f aca="false">1+COUNTIF($P353:$S353,"&gt;"&amp;$S353)+(COUNTIF($P353:$S353,$S353)-1)/2</f>
        <v>3</v>
      </c>
      <c r="AB353" s="0" t="n">
        <f aca="false">1+COUNTIF($T353:$W353,"&gt;"&amp;$T353)+(COUNTIF($T353:$W353,$T353)-1)/2</f>
        <v>4</v>
      </c>
      <c r="AC353" s="0" t="n">
        <f aca="false">1+COUNTIF($T353:$W353,"&gt;"&amp;$U353)+(COUNTIF($T353:$W353,$U353)-1)/2</f>
        <v>2</v>
      </c>
      <c r="AD353" s="0" t="n">
        <f aca="false">1+COUNTIF($T353:$W353,"&gt;"&amp;$V353)+(COUNTIF($T353:$W353,$V353)-1)/2</f>
        <v>1</v>
      </c>
      <c r="AE353" s="0" t="n">
        <f aca="false">1+COUNTIF($T353:$W353,"&gt;"&amp;$W353)+(COUNTIF($T353:$W353,$W353)-1)/2</f>
        <v>3</v>
      </c>
      <c r="AF353" s="0" t="n">
        <f aca="false">IFERROR(CORREL($P353:$S353,$T353:$W353),"")</f>
        <v>0.579425916372642</v>
      </c>
      <c r="AG353" s="0" t="n">
        <f aca="false">IFERROR(CORREL($X353:$AA353,$AB353:$AE353),"")</f>
        <v>0.8</v>
      </c>
      <c r="AH353" s="0" t="n">
        <f aca="false">IFERROR((SIGN($P353-$Q353)*SIGN($T353-$U353)+SIGN($P353-$R353)*SIGN($T353-$V353)+SIGN($P353-$S353)*SIGN($T353-$W353)+SIGN($Q353-$R353)*SIGN($U353-$V353)+SIGN($Q353-$S353)*SIGN($U353-$W353)+SIGN($R353-$S353)*SIGN($V353-$W353))/SQRT((6-(($P353=$Q353)*1+($P353=$R353)*1+($P353=$S353)*1+($Q353=$R353)*1+($Q353=$S353)*1+($R353=$S353)*1))*(6-(($T353=$U353)*1+($T353=$V353)*1+($T353=$W353)*1+($U353=$V353)*1+($U353=$W353)*1+($V353=$W353)*1))),"")</f>
        <v>0.666666666666667</v>
      </c>
      <c r="AI353" s="0" t="n">
        <f aca="false">MATCH(MAX($K353:$O353),$K353:$O353,0)</f>
        <v>4</v>
      </c>
      <c r="AJ353" s="0" t="n">
        <f aca="false">IF(AI353&lt;&gt;$E353,1,0)</f>
        <v>1</v>
      </c>
      <c r="AK353" s="0" t="n">
        <f aca="false">IF(AJ353=1,INDEX($F353:$J353,AI353)/MAX($P353:$S353),"")</f>
        <v>0.944954128440367</v>
      </c>
      <c r="AL353" s="0" t="n">
        <f aca="false">IF(AJ353=1,1+COUNTIF($P353:$S353,"&gt;"&amp;INDEX($F353:$J353,AI353)),"")</f>
        <v>2</v>
      </c>
      <c r="AM353" s="0" t="n">
        <f aca="false">AVERAGE($P353:$S353)/MAX($P353:$S353)</f>
        <v>0.896788990825688</v>
      </c>
      <c r="AN353" s="0" t="n">
        <f aca="false">100-INDEX($F353:$J353,$E353)</f>
        <v>78.3</v>
      </c>
    </row>
    <row r="354" customFormat="false" ht="15" hidden="false" customHeight="false" outlineLevel="0" collapsed="false">
      <c r="A354" s="0" t="s">
        <v>57</v>
      </c>
      <c r="B354" s="0" t="n">
        <v>2025</v>
      </c>
      <c r="C354" s="0" t="s">
        <v>51</v>
      </c>
      <c r="D354" s="0" t="s">
        <v>42</v>
      </c>
      <c r="E354" s="0" t="n">
        <v>3</v>
      </c>
      <c r="F354" s="0" t="n">
        <v>22.2</v>
      </c>
      <c r="G354" s="0" t="n">
        <v>17.1</v>
      </c>
      <c r="H354" s="0" t="n">
        <v>38.9</v>
      </c>
      <c r="I354" s="0" t="n">
        <v>9.8</v>
      </c>
      <c r="J354" s="0" t="n">
        <v>12</v>
      </c>
      <c r="K354" s="0" t="n">
        <v>0.521422067694</v>
      </c>
      <c r="L354" s="0" t="n">
        <v>2.59930071013</v>
      </c>
      <c r="M354" s="0" t="n">
        <v>86.9565951889</v>
      </c>
      <c r="N354" s="0" t="n">
        <v>0.839337850805</v>
      </c>
      <c r="O354" s="0" t="n">
        <v>9.08334418246</v>
      </c>
      <c r="P354" s="0" t="n">
        <f aca="false">INDEX($F354:$J354,IF(1&lt;$E354,1,1+1))</f>
        <v>22.2</v>
      </c>
      <c r="Q354" s="0" t="n">
        <f aca="false">INDEX($F354:$J354,IF(2&lt;$E354,2,2+1))</f>
        <v>17.1</v>
      </c>
      <c r="R354" s="0" t="n">
        <f aca="false">INDEX($F354:$J354,IF(3&lt;$E354,3,3+1))</f>
        <v>9.8</v>
      </c>
      <c r="S354" s="0" t="n">
        <f aca="false">INDEX($F354:$J354,IF(4&lt;$E354,4,4+1))</f>
        <v>12</v>
      </c>
      <c r="T354" s="0" t="n">
        <f aca="false">INDEX($K354:$O354,IF(1&lt;$E354,1,1+1))</f>
        <v>0.521422067694</v>
      </c>
      <c r="U354" s="0" t="n">
        <f aca="false">INDEX($K354:$O354,IF(2&lt;$E354,2,2+1))</f>
        <v>2.59930071013</v>
      </c>
      <c r="V354" s="0" t="n">
        <f aca="false">INDEX($K354:$O354,IF(3&lt;$E354,3,3+1))</f>
        <v>0.839337850805</v>
      </c>
      <c r="W354" s="0" t="n">
        <f aca="false">INDEX($K354:$O354,IF(4&lt;$E354,4,4+1))</f>
        <v>9.08334418246</v>
      </c>
      <c r="X354" s="0" t="n">
        <f aca="false">1+COUNTIF($P354:$S354,"&gt;"&amp;$P354)+(COUNTIF($P354:$S354,$P354)-1)/2</f>
        <v>1</v>
      </c>
      <c r="Y354" s="0" t="n">
        <f aca="false">1+COUNTIF($P354:$S354,"&gt;"&amp;$Q354)+(COUNTIF($P354:$S354,$Q354)-1)/2</f>
        <v>2</v>
      </c>
      <c r="Z354" s="0" t="n">
        <f aca="false">1+COUNTIF($P354:$S354,"&gt;"&amp;$R354)+(COUNTIF($P354:$S354,$R354)-1)/2</f>
        <v>4</v>
      </c>
      <c r="AA354" s="0" t="n">
        <f aca="false">1+COUNTIF($P354:$S354,"&gt;"&amp;$S354)+(COUNTIF($P354:$S354,$S354)-1)/2</f>
        <v>3</v>
      </c>
      <c r="AB354" s="0" t="n">
        <f aca="false">1+COUNTIF($T354:$W354,"&gt;"&amp;$T354)+(COUNTIF($T354:$W354,$T354)-1)/2</f>
        <v>4</v>
      </c>
      <c r="AC354" s="0" t="n">
        <f aca="false">1+COUNTIF($T354:$W354,"&gt;"&amp;$U354)+(COUNTIF($T354:$W354,$U354)-1)/2</f>
        <v>2</v>
      </c>
      <c r="AD354" s="0" t="n">
        <f aca="false">1+COUNTIF($T354:$W354,"&gt;"&amp;$V354)+(COUNTIF($T354:$W354,$V354)-1)/2</f>
        <v>3</v>
      </c>
      <c r="AE354" s="0" t="n">
        <f aca="false">1+COUNTIF($T354:$W354,"&gt;"&amp;$W354)+(COUNTIF($T354:$W354,$W354)-1)/2</f>
        <v>1</v>
      </c>
      <c r="AF354" s="0" t="n">
        <f aca="false">IFERROR(CORREL($P354:$S354,$T354:$W354),"")</f>
        <v>-0.392309458061666</v>
      </c>
      <c r="AG354" s="0" t="n">
        <f aca="false">IFERROR(CORREL($X354:$AA354,$AB354:$AE354),"")</f>
        <v>-0.4</v>
      </c>
      <c r="AH354" s="0" t="n">
        <f aca="false">IFERROR((SIGN($P354-$Q354)*SIGN($T354-$U354)+SIGN($P354-$R354)*SIGN($T354-$V354)+SIGN($P354-$S354)*SIGN($T354-$W354)+SIGN($Q354-$R354)*SIGN($U354-$V354)+SIGN($Q354-$S354)*SIGN($U354-$W354)+SIGN($R354-$S354)*SIGN($V354-$W354))/SQRT((6-(($P354=$Q354)*1+($P354=$R354)*1+($P354=$S354)*1+($Q354=$R354)*1+($Q354=$S354)*1+($R354=$S354)*1))*(6-(($T354=$U354)*1+($T354=$V354)*1+($T354=$W354)*1+($U354=$V354)*1+($U354=$W354)*1+($V354=$W354)*1))),"")</f>
        <v>-0.333333333333333</v>
      </c>
      <c r="AI354" s="0" t="n">
        <f aca="false">MATCH(MAX($K354:$O354),$K354:$O354,0)</f>
        <v>3</v>
      </c>
      <c r="AJ354" s="0" t="n">
        <f aca="false">IF(AI354&lt;&gt;$E354,1,0)</f>
        <v>0</v>
      </c>
      <c r="AK354" s="0" t="str">
        <f aca="false">IF(AJ354=1,INDEX($F354:$J354,AI354)/MAX($P354:$S354),"")</f>
        <v/>
      </c>
      <c r="AL354" s="0" t="str">
        <f aca="false">IF(AJ354=1,1+COUNTIF($P354:$S354,"&gt;"&amp;INDEX($F354:$J354,AI354)),"")</f>
        <v/>
      </c>
      <c r="AM354" s="0" t="n">
        <f aca="false">AVERAGE($P354:$S354)/MAX($P354:$S354)</f>
        <v>0.688063063063063</v>
      </c>
      <c r="AN354" s="0" t="n">
        <f aca="false">100-INDEX($F354:$J354,$E354)</f>
        <v>61.1</v>
      </c>
    </row>
    <row r="355" customFormat="false" ht="15" hidden="false" customHeight="false" outlineLevel="0" collapsed="false">
      <c r="A355" s="0" t="s">
        <v>57</v>
      </c>
      <c r="B355" s="0" t="n">
        <v>2025</v>
      </c>
      <c r="C355" s="0" t="s">
        <v>51</v>
      </c>
      <c r="D355" s="0" t="s">
        <v>43</v>
      </c>
      <c r="E355" s="0" t="n">
        <v>1</v>
      </c>
      <c r="F355" s="0" t="n">
        <v>62.3</v>
      </c>
      <c r="G355" s="0" t="n">
        <v>13.2</v>
      </c>
      <c r="H355" s="0" t="n">
        <v>9.7</v>
      </c>
      <c r="I355" s="0" t="n">
        <v>9.6</v>
      </c>
      <c r="J355" s="0" t="n">
        <v>5.3</v>
      </c>
      <c r="K355" s="0" t="n">
        <v>59.5399158912</v>
      </c>
      <c r="L355" s="0" t="n">
        <v>24.8622555028</v>
      </c>
      <c r="M355" s="0" t="n">
        <v>12.2319734769</v>
      </c>
      <c r="N355" s="0" t="n">
        <v>2.42164145686</v>
      </c>
      <c r="O355" s="0" t="n">
        <v>0.944213672226</v>
      </c>
      <c r="P355" s="0" t="n">
        <f aca="false">INDEX($F355:$J355,IF(1&lt;$E355,1,1+1))</f>
        <v>13.2</v>
      </c>
      <c r="Q355" s="0" t="n">
        <f aca="false">INDEX($F355:$J355,IF(2&lt;$E355,2,2+1))</f>
        <v>9.7</v>
      </c>
      <c r="R355" s="0" t="n">
        <f aca="false">INDEX($F355:$J355,IF(3&lt;$E355,3,3+1))</f>
        <v>9.6</v>
      </c>
      <c r="S355" s="0" t="n">
        <f aca="false">INDEX($F355:$J355,IF(4&lt;$E355,4,4+1))</f>
        <v>5.3</v>
      </c>
      <c r="T355" s="0" t="n">
        <f aca="false">INDEX($K355:$O355,IF(1&lt;$E355,1,1+1))</f>
        <v>24.8622555028</v>
      </c>
      <c r="U355" s="0" t="n">
        <f aca="false">INDEX($K355:$O355,IF(2&lt;$E355,2,2+1))</f>
        <v>12.2319734769</v>
      </c>
      <c r="V355" s="0" t="n">
        <f aca="false">INDEX($K355:$O355,IF(3&lt;$E355,3,3+1))</f>
        <v>2.42164145686</v>
      </c>
      <c r="W355" s="0" t="n">
        <f aca="false">INDEX($K355:$O355,IF(4&lt;$E355,4,4+1))</f>
        <v>0.944213672226</v>
      </c>
      <c r="X355" s="0" t="n">
        <f aca="false">1+COUNTIF($P355:$S355,"&gt;"&amp;$P355)+(COUNTIF($P355:$S355,$P355)-1)/2</f>
        <v>1</v>
      </c>
      <c r="Y355" s="0" t="n">
        <f aca="false">1+COUNTIF($P355:$S355,"&gt;"&amp;$Q355)+(COUNTIF($P355:$S355,$Q355)-1)/2</f>
        <v>2</v>
      </c>
      <c r="Z355" s="0" t="n">
        <f aca="false">1+COUNTIF($P355:$S355,"&gt;"&amp;$R355)+(COUNTIF($P355:$S355,$R355)-1)/2</f>
        <v>3</v>
      </c>
      <c r="AA355" s="0" t="n">
        <f aca="false">1+COUNTIF($P355:$S355,"&gt;"&amp;$S355)+(COUNTIF($P355:$S355,$S355)-1)/2</f>
        <v>4</v>
      </c>
      <c r="AB355" s="0" t="n">
        <f aca="false">1+COUNTIF($T355:$W355,"&gt;"&amp;$T355)+(COUNTIF($T355:$W355,$T355)-1)/2</f>
        <v>1</v>
      </c>
      <c r="AC355" s="0" t="n">
        <f aca="false">1+COUNTIF($T355:$W355,"&gt;"&amp;$U355)+(COUNTIF($T355:$W355,$U355)-1)/2</f>
        <v>2</v>
      </c>
      <c r="AD355" s="0" t="n">
        <f aca="false">1+COUNTIF($T355:$W355,"&gt;"&amp;$V355)+(COUNTIF($T355:$W355,$V355)-1)/2</f>
        <v>3</v>
      </c>
      <c r="AE355" s="0" t="n">
        <f aca="false">1+COUNTIF($T355:$W355,"&gt;"&amp;$W355)+(COUNTIF($T355:$W355,$W355)-1)/2</f>
        <v>4</v>
      </c>
      <c r="AF355" s="0" t="n">
        <f aca="false">IFERROR(CORREL($P355:$S355,$T355:$W355),"")</f>
        <v>0.866352181888682</v>
      </c>
      <c r="AG355" s="0" t="n">
        <f aca="false">IFERROR(CORREL($X355:$AA355,$AB355:$AE355),"")</f>
        <v>1</v>
      </c>
      <c r="AH355" s="0" t="n">
        <f aca="false">IFERROR((SIGN($P355-$Q355)*SIGN($T355-$U355)+SIGN($P355-$R355)*SIGN($T355-$V355)+SIGN($P355-$S355)*SIGN($T355-$W355)+SIGN($Q355-$R355)*SIGN($U355-$V355)+SIGN($Q355-$S355)*SIGN($U355-$W355)+SIGN($R355-$S355)*SIGN($V355-$W355))/SQRT((6-(($P355=$Q355)*1+($P355=$R355)*1+($P355=$S355)*1+($Q355=$R355)*1+($Q355=$S355)*1+($R355=$S355)*1))*(6-(($T355=$U355)*1+($T355=$V355)*1+($T355=$W355)*1+($U355=$V355)*1+($U355=$W355)*1+($V355=$W355)*1))),"")</f>
        <v>1</v>
      </c>
      <c r="AI355" s="0" t="n">
        <f aca="false">MATCH(MAX($K355:$O355),$K355:$O355,0)</f>
        <v>1</v>
      </c>
      <c r="AJ355" s="0" t="n">
        <f aca="false">IF(AI355&lt;&gt;$E355,1,0)</f>
        <v>0</v>
      </c>
      <c r="AK355" s="0" t="str">
        <f aca="false">IF(AJ355=1,INDEX($F355:$J355,AI355)/MAX($P355:$S355),"")</f>
        <v/>
      </c>
      <c r="AL355" s="0" t="str">
        <f aca="false">IF(AJ355=1,1+COUNTIF($P355:$S355,"&gt;"&amp;INDEX($F355:$J355,AI355)),"")</f>
        <v/>
      </c>
      <c r="AM355" s="0" t="n">
        <f aca="false">AVERAGE($P355:$S355)/MAX($P355:$S355)</f>
        <v>0.715909090909091</v>
      </c>
      <c r="AN355" s="0" t="n">
        <f aca="false">100-INDEX($F355:$J355,$E355)</f>
        <v>37.7</v>
      </c>
    </row>
    <row r="356" customFormat="false" ht="15" hidden="false" customHeight="false" outlineLevel="0" collapsed="false">
      <c r="A356" s="0" t="s">
        <v>57</v>
      </c>
      <c r="B356" s="0" t="n">
        <v>2025</v>
      </c>
      <c r="C356" s="0" t="s">
        <v>51</v>
      </c>
      <c r="D356" s="0" t="s">
        <v>44</v>
      </c>
      <c r="E356" s="0" t="n">
        <v>3</v>
      </c>
      <c r="F356" s="0" t="n">
        <v>8.2</v>
      </c>
      <c r="G356" s="0" t="n">
        <v>11.5</v>
      </c>
      <c r="H356" s="0" t="n">
        <v>48.7</v>
      </c>
      <c r="I356" s="0" t="n">
        <v>18.4</v>
      </c>
      <c r="J356" s="0" t="n">
        <v>13.2</v>
      </c>
      <c r="K356" s="0" t="n">
        <v>19.4243273379</v>
      </c>
      <c r="L356" s="0" t="n">
        <v>3.14747023348</v>
      </c>
      <c r="M356" s="0" t="n">
        <v>17.4782972014</v>
      </c>
      <c r="N356" s="0" t="n">
        <v>43.0634719226</v>
      </c>
      <c r="O356" s="0" t="n">
        <v>16.8864333046</v>
      </c>
      <c r="P356" s="0" t="n">
        <f aca="false">INDEX($F356:$J356,IF(1&lt;$E356,1,1+1))</f>
        <v>8.2</v>
      </c>
      <c r="Q356" s="0" t="n">
        <f aca="false">INDEX($F356:$J356,IF(2&lt;$E356,2,2+1))</f>
        <v>11.5</v>
      </c>
      <c r="R356" s="0" t="n">
        <f aca="false">INDEX($F356:$J356,IF(3&lt;$E356,3,3+1))</f>
        <v>18.4</v>
      </c>
      <c r="S356" s="0" t="n">
        <f aca="false">INDEX($F356:$J356,IF(4&lt;$E356,4,4+1))</f>
        <v>13.2</v>
      </c>
      <c r="T356" s="0" t="n">
        <f aca="false">INDEX($K356:$O356,IF(1&lt;$E356,1,1+1))</f>
        <v>19.4243273379</v>
      </c>
      <c r="U356" s="0" t="n">
        <f aca="false">INDEX($K356:$O356,IF(2&lt;$E356,2,2+1))</f>
        <v>3.14747023348</v>
      </c>
      <c r="V356" s="0" t="n">
        <f aca="false">INDEX($K356:$O356,IF(3&lt;$E356,3,3+1))</f>
        <v>43.0634719226</v>
      </c>
      <c r="W356" s="0" t="n">
        <f aca="false">INDEX($K356:$O356,IF(4&lt;$E356,4,4+1))</f>
        <v>16.8864333046</v>
      </c>
      <c r="X356" s="0" t="n">
        <f aca="false">1+COUNTIF($P356:$S356,"&gt;"&amp;$P356)+(COUNTIF($P356:$S356,$P356)-1)/2</f>
        <v>4</v>
      </c>
      <c r="Y356" s="0" t="n">
        <f aca="false">1+COUNTIF($P356:$S356,"&gt;"&amp;$Q356)+(COUNTIF($P356:$S356,$Q356)-1)/2</f>
        <v>3</v>
      </c>
      <c r="Z356" s="0" t="n">
        <f aca="false">1+COUNTIF($P356:$S356,"&gt;"&amp;$R356)+(COUNTIF($P356:$S356,$R356)-1)/2</f>
        <v>1</v>
      </c>
      <c r="AA356" s="0" t="n">
        <f aca="false">1+COUNTIF($P356:$S356,"&gt;"&amp;$S356)+(COUNTIF($P356:$S356,$S356)-1)/2</f>
        <v>2</v>
      </c>
      <c r="AB356" s="0" t="n">
        <f aca="false">1+COUNTIF($T356:$W356,"&gt;"&amp;$T356)+(COUNTIF($T356:$W356,$T356)-1)/2</f>
        <v>2</v>
      </c>
      <c r="AC356" s="0" t="n">
        <f aca="false">1+COUNTIF($T356:$W356,"&gt;"&amp;$U356)+(COUNTIF($T356:$W356,$U356)-1)/2</f>
        <v>4</v>
      </c>
      <c r="AD356" s="0" t="n">
        <f aca="false">1+COUNTIF($T356:$W356,"&gt;"&amp;$V356)+(COUNTIF($T356:$W356,$V356)-1)/2</f>
        <v>1</v>
      </c>
      <c r="AE356" s="0" t="n">
        <f aca="false">1+COUNTIF($T356:$W356,"&gt;"&amp;$W356)+(COUNTIF($T356:$W356,$W356)-1)/2</f>
        <v>3</v>
      </c>
      <c r="AF356" s="0" t="n">
        <f aca="false">IFERROR(CORREL($P356:$S356,$T356:$W356),"")</f>
        <v>0.719887169657806</v>
      </c>
      <c r="AG356" s="0" t="n">
        <f aca="false">IFERROR(CORREL($X356:$AA356,$AB356:$AE356),"")</f>
        <v>0.4</v>
      </c>
      <c r="AH356" s="0" t="n">
        <f aca="false">IFERROR((SIGN($P356-$Q356)*SIGN($T356-$U356)+SIGN($P356-$R356)*SIGN($T356-$V356)+SIGN($P356-$S356)*SIGN($T356-$W356)+SIGN($Q356-$R356)*SIGN($U356-$V356)+SIGN($Q356-$S356)*SIGN($U356-$W356)+SIGN($R356-$S356)*SIGN($V356-$W356))/SQRT((6-(($P356=$Q356)*1+($P356=$R356)*1+($P356=$S356)*1+($Q356=$R356)*1+($Q356=$S356)*1+($R356=$S356)*1))*(6-(($T356=$U356)*1+($T356=$V356)*1+($T356=$W356)*1+($U356=$V356)*1+($U356=$W356)*1+($V356=$W356)*1))),"")</f>
        <v>0.333333333333333</v>
      </c>
      <c r="AI356" s="0" t="n">
        <f aca="false">MATCH(MAX($K356:$O356),$K356:$O356,0)</f>
        <v>4</v>
      </c>
      <c r="AJ356" s="0" t="n">
        <f aca="false">IF(AI356&lt;&gt;$E356,1,0)</f>
        <v>1</v>
      </c>
      <c r="AK356" s="0" t="n">
        <f aca="false">IF(AJ356=1,INDEX($F356:$J356,AI356)/MAX($P356:$S356),"")</f>
        <v>1</v>
      </c>
      <c r="AL356" s="0" t="n">
        <f aca="false">IF(AJ356=1,1+COUNTIF($P356:$S356,"&gt;"&amp;INDEX($F356:$J356,AI356)),"")</f>
        <v>1</v>
      </c>
      <c r="AM356" s="0" t="n">
        <f aca="false">AVERAGE($P356:$S356)/MAX($P356:$S356)</f>
        <v>0.697010869565217</v>
      </c>
      <c r="AN356" s="0" t="n">
        <f aca="false">100-INDEX($F356:$J356,$E356)</f>
        <v>51.3</v>
      </c>
    </row>
    <row r="357" customFormat="false" ht="15" hidden="false" customHeight="false" outlineLevel="0" collapsed="false">
      <c r="A357" s="0" t="s">
        <v>57</v>
      </c>
      <c r="B357" s="0" t="n">
        <v>2025</v>
      </c>
      <c r="C357" s="0" t="s">
        <v>51</v>
      </c>
      <c r="D357" s="0" t="s">
        <v>45</v>
      </c>
      <c r="E357" s="0" t="n">
        <v>1</v>
      </c>
      <c r="F357" s="0" t="n">
        <v>29.1</v>
      </c>
      <c r="G357" s="0" t="n">
        <v>16</v>
      </c>
      <c r="H357" s="0" t="n">
        <v>14.8</v>
      </c>
      <c r="I357" s="0" t="n">
        <v>22.6</v>
      </c>
      <c r="J357" s="0" t="n">
        <v>17.5</v>
      </c>
      <c r="K357" s="0" t="n">
        <v>24.3159939141</v>
      </c>
      <c r="L357" s="0" t="n">
        <v>21.342150633</v>
      </c>
      <c r="M357" s="0" t="n">
        <v>7.46495548703</v>
      </c>
      <c r="N357" s="0" t="n">
        <v>20.6180166997</v>
      </c>
      <c r="O357" s="0" t="n">
        <v>26.2588832661</v>
      </c>
      <c r="P357" s="0" t="n">
        <f aca="false">INDEX($F357:$J357,IF(1&lt;$E357,1,1+1))</f>
        <v>16</v>
      </c>
      <c r="Q357" s="0" t="n">
        <f aca="false">INDEX($F357:$J357,IF(2&lt;$E357,2,2+1))</f>
        <v>14.8</v>
      </c>
      <c r="R357" s="0" t="n">
        <f aca="false">INDEX($F357:$J357,IF(3&lt;$E357,3,3+1))</f>
        <v>22.6</v>
      </c>
      <c r="S357" s="0" t="n">
        <f aca="false">INDEX($F357:$J357,IF(4&lt;$E357,4,4+1))</f>
        <v>17.5</v>
      </c>
      <c r="T357" s="0" t="n">
        <f aca="false">INDEX($K357:$O357,IF(1&lt;$E357,1,1+1))</f>
        <v>21.342150633</v>
      </c>
      <c r="U357" s="0" t="n">
        <f aca="false">INDEX($K357:$O357,IF(2&lt;$E357,2,2+1))</f>
        <v>7.46495548703</v>
      </c>
      <c r="V357" s="0" t="n">
        <f aca="false">INDEX($K357:$O357,IF(3&lt;$E357,3,3+1))</f>
        <v>20.6180166997</v>
      </c>
      <c r="W357" s="0" t="n">
        <f aca="false">INDEX($K357:$O357,IF(4&lt;$E357,4,4+1))</f>
        <v>26.2588832661</v>
      </c>
      <c r="X357" s="0" t="n">
        <f aca="false">1+COUNTIF($P357:$S357,"&gt;"&amp;$P357)+(COUNTIF($P357:$S357,$P357)-1)/2</f>
        <v>3</v>
      </c>
      <c r="Y357" s="0" t="n">
        <f aca="false">1+COUNTIF($P357:$S357,"&gt;"&amp;$Q357)+(COUNTIF($P357:$S357,$Q357)-1)/2</f>
        <v>4</v>
      </c>
      <c r="Z357" s="0" t="n">
        <f aca="false">1+COUNTIF($P357:$S357,"&gt;"&amp;$R357)+(COUNTIF($P357:$S357,$R357)-1)/2</f>
        <v>1</v>
      </c>
      <c r="AA357" s="0" t="n">
        <f aca="false">1+COUNTIF($P357:$S357,"&gt;"&amp;$S357)+(COUNTIF($P357:$S357,$S357)-1)/2</f>
        <v>2</v>
      </c>
      <c r="AB357" s="0" t="n">
        <f aca="false">1+COUNTIF($T357:$W357,"&gt;"&amp;$T357)+(COUNTIF($T357:$W357,$T357)-1)/2</f>
        <v>2</v>
      </c>
      <c r="AC357" s="0" t="n">
        <f aca="false">1+COUNTIF($T357:$W357,"&gt;"&amp;$U357)+(COUNTIF($T357:$W357,$U357)-1)/2</f>
        <v>4</v>
      </c>
      <c r="AD357" s="0" t="n">
        <f aca="false">1+COUNTIF($T357:$W357,"&gt;"&amp;$V357)+(COUNTIF($T357:$W357,$V357)-1)/2</f>
        <v>3</v>
      </c>
      <c r="AE357" s="0" t="n">
        <f aca="false">1+COUNTIF($T357:$W357,"&gt;"&amp;$W357)+(COUNTIF($T357:$W357,$W357)-1)/2</f>
        <v>1</v>
      </c>
      <c r="AF357" s="0" t="n">
        <f aca="false">IFERROR(CORREL($P357:$S357,$T357:$W357),"")</f>
        <v>0.43437510834556</v>
      </c>
      <c r="AG357" s="0" t="n">
        <f aca="false">IFERROR(CORREL($X357:$AA357,$AB357:$AE357),"")</f>
        <v>0.4</v>
      </c>
      <c r="AH357" s="0" t="n">
        <f aca="false">IFERROR((SIGN($P357-$Q357)*SIGN($T357-$U357)+SIGN($P357-$R357)*SIGN($T357-$V357)+SIGN($P357-$S357)*SIGN($T357-$W357)+SIGN($Q357-$R357)*SIGN($U357-$V357)+SIGN($Q357-$S357)*SIGN($U357-$W357)+SIGN($R357-$S357)*SIGN($V357-$W357))/SQRT((6-(($P357=$Q357)*1+($P357=$R357)*1+($P357=$S357)*1+($Q357=$R357)*1+($Q357=$S357)*1+($R357=$S357)*1))*(6-(($T357=$U357)*1+($T357=$V357)*1+($T357=$W357)*1+($U357=$V357)*1+($U357=$W357)*1+($V357=$W357)*1))),"")</f>
        <v>0.333333333333333</v>
      </c>
      <c r="AI357" s="0" t="n">
        <f aca="false">MATCH(MAX($K357:$O357),$K357:$O357,0)</f>
        <v>5</v>
      </c>
      <c r="AJ357" s="0" t="n">
        <f aca="false">IF(AI357&lt;&gt;$E357,1,0)</f>
        <v>1</v>
      </c>
      <c r="AK357" s="0" t="n">
        <f aca="false">IF(AJ357=1,INDEX($F357:$J357,AI357)/MAX($P357:$S357),"")</f>
        <v>0.774336283185841</v>
      </c>
      <c r="AL357" s="0" t="n">
        <f aca="false">IF(AJ357=1,1+COUNTIF($P357:$S357,"&gt;"&amp;INDEX($F357:$J357,AI357)),"")</f>
        <v>2</v>
      </c>
      <c r="AM357" s="0" t="n">
        <f aca="false">AVERAGE($P357:$S357)/MAX($P357:$S357)</f>
        <v>0.78429203539823</v>
      </c>
      <c r="AN357" s="0" t="n">
        <f aca="false">100-INDEX($F357:$J357,$E357)</f>
        <v>70.9</v>
      </c>
    </row>
    <row r="358" customFormat="false" ht="15" hidden="false" customHeight="false" outlineLevel="0" collapsed="false">
      <c r="A358" s="0" t="s">
        <v>57</v>
      </c>
      <c r="B358" s="0" t="n">
        <v>2025</v>
      </c>
      <c r="C358" s="0" t="s">
        <v>46</v>
      </c>
      <c r="D358" s="0" t="s">
        <v>42</v>
      </c>
      <c r="E358" s="0" t="n">
        <v>1</v>
      </c>
      <c r="F358" s="0" t="n">
        <v>55.3</v>
      </c>
      <c r="G358" s="0" t="n">
        <v>13.7</v>
      </c>
      <c r="H358" s="0" t="n">
        <v>12.2</v>
      </c>
      <c r="I358" s="0" t="n">
        <v>9</v>
      </c>
      <c r="J358" s="0" t="n">
        <v>9.9</v>
      </c>
      <c r="K358" s="0" t="n">
        <v>1.52018877482</v>
      </c>
      <c r="L358" s="0" t="n">
        <v>1.31171153678</v>
      </c>
      <c r="M358" s="0" t="n">
        <v>0.222156843109</v>
      </c>
      <c r="N358" s="0" t="n">
        <v>0.211987409446</v>
      </c>
      <c r="O358" s="0" t="n">
        <v>96.7339554358</v>
      </c>
      <c r="P358" s="0" t="n">
        <f aca="false">INDEX($F358:$J358,IF(1&lt;$E358,1,1+1))</f>
        <v>13.7</v>
      </c>
      <c r="Q358" s="0" t="n">
        <f aca="false">INDEX($F358:$J358,IF(2&lt;$E358,2,2+1))</f>
        <v>12.2</v>
      </c>
      <c r="R358" s="0" t="n">
        <f aca="false">INDEX($F358:$J358,IF(3&lt;$E358,3,3+1))</f>
        <v>9</v>
      </c>
      <c r="S358" s="0" t="n">
        <f aca="false">INDEX($F358:$J358,IF(4&lt;$E358,4,4+1))</f>
        <v>9.9</v>
      </c>
      <c r="T358" s="0" t="n">
        <f aca="false">INDEX($K358:$O358,IF(1&lt;$E358,1,1+1))</f>
        <v>1.31171153678</v>
      </c>
      <c r="U358" s="0" t="n">
        <f aca="false">INDEX($K358:$O358,IF(2&lt;$E358,2,2+1))</f>
        <v>0.222156843109</v>
      </c>
      <c r="V358" s="0" t="n">
        <f aca="false">INDEX($K358:$O358,IF(3&lt;$E358,3,3+1))</f>
        <v>0.211987409446</v>
      </c>
      <c r="W358" s="0" t="n">
        <f aca="false">INDEX($K358:$O358,IF(4&lt;$E358,4,4+1))</f>
        <v>96.7339554358</v>
      </c>
      <c r="X358" s="0" t="n">
        <f aca="false">1+COUNTIF($P358:$S358,"&gt;"&amp;$P358)+(COUNTIF($P358:$S358,$P358)-1)/2</f>
        <v>1</v>
      </c>
      <c r="Y358" s="0" t="n">
        <f aca="false">1+COUNTIF($P358:$S358,"&gt;"&amp;$Q358)+(COUNTIF($P358:$S358,$Q358)-1)/2</f>
        <v>2</v>
      </c>
      <c r="Z358" s="0" t="n">
        <f aca="false">1+COUNTIF($P358:$S358,"&gt;"&amp;$R358)+(COUNTIF($P358:$S358,$R358)-1)/2</f>
        <v>4</v>
      </c>
      <c r="AA358" s="0" t="n">
        <f aca="false">1+COUNTIF($P358:$S358,"&gt;"&amp;$S358)+(COUNTIF($P358:$S358,$S358)-1)/2</f>
        <v>3</v>
      </c>
      <c r="AB358" s="0" t="n">
        <f aca="false">1+COUNTIF($T358:$W358,"&gt;"&amp;$T358)+(COUNTIF($T358:$W358,$T358)-1)/2</f>
        <v>2</v>
      </c>
      <c r="AC358" s="0" t="n">
        <f aca="false">1+COUNTIF($T358:$W358,"&gt;"&amp;$U358)+(COUNTIF($T358:$W358,$U358)-1)/2</f>
        <v>3</v>
      </c>
      <c r="AD358" s="0" t="n">
        <f aca="false">1+COUNTIF($T358:$W358,"&gt;"&amp;$V358)+(COUNTIF($T358:$W358,$V358)-1)/2</f>
        <v>4</v>
      </c>
      <c r="AE358" s="0" t="n">
        <f aca="false">1+COUNTIF($T358:$W358,"&gt;"&amp;$W358)+(COUNTIF($T358:$W358,$W358)-1)/2</f>
        <v>1</v>
      </c>
      <c r="AF358" s="0" t="n">
        <f aca="false">IFERROR(CORREL($P358:$S358,$T358:$W358),"")</f>
        <v>-0.396984445685771</v>
      </c>
      <c r="AG358" s="0" t="n">
        <f aca="false">IFERROR(CORREL($X358:$AA358,$AB358:$AE358),"")</f>
        <v>0.4</v>
      </c>
      <c r="AH358" s="0" t="n">
        <f aca="false">IFERROR((SIGN($P358-$Q358)*SIGN($T358-$U358)+SIGN($P358-$R358)*SIGN($T358-$V358)+SIGN($P358-$S358)*SIGN($T358-$W358)+SIGN($Q358-$R358)*SIGN($U358-$V358)+SIGN($Q358-$S358)*SIGN($U358-$W358)+SIGN($R358-$S358)*SIGN($V358-$W358))/SQRT((6-(($P358=$Q358)*1+($P358=$R358)*1+($P358=$S358)*1+($Q358=$R358)*1+($Q358=$S358)*1+($R358=$S358)*1))*(6-(($T358=$U358)*1+($T358=$V358)*1+($T358=$W358)*1+($U358=$V358)*1+($U358=$W358)*1+($V358=$W358)*1))),"")</f>
        <v>0.333333333333333</v>
      </c>
      <c r="AI358" s="0" t="n">
        <f aca="false">MATCH(MAX($K358:$O358),$K358:$O358,0)</f>
        <v>5</v>
      </c>
      <c r="AJ358" s="0" t="n">
        <f aca="false">IF(AI358&lt;&gt;$E358,1,0)</f>
        <v>1</v>
      </c>
      <c r="AK358" s="0" t="n">
        <f aca="false">IF(AJ358=1,INDEX($F358:$J358,AI358)/MAX($P358:$S358),"")</f>
        <v>0.722627737226278</v>
      </c>
      <c r="AL358" s="0" t="n">
        <f aca="false">IF(AJ358=1,1+COUNTIF($P358:$S358,"&gt;"&amp;INDEX($F358:$J358,AI358)),"")</f>
        <v>3</v>
      </c>
      <c r="AM358" s="0" t="n">
        <f aca="false">AVERAGE($P358:$S358)/MAX($P358:$S358)</f>
        <v>0.817518248175183</v>
      </c>
      <c r="AN358" s="0" t="n">
        <f aca="false">100-INDEX($F358:$J358,$E358)</f>
        <v>44.7</v>
      </c>
    </row>
    <row r="359" customFormat="false" ht="15" hidden="false" customHeight="false" outlineLevel="0" collapsed="false">
      <c r="A359" s="0" t="s">
        <v>57</v>
      </c>
      <c r="B359" s="0" t="n">
        <v>2025</v>
      </c>
      <c r="C359" s="0" t="s">
        <v>46</v>
      </c>
      <c r="D359" s="0" t="s">
        <v>43</v>
      </c>
      <c r="E359" s="0" t="n">
        <v>5</v>
      </c>
      <c r="F359" s="0" t="n">
        <v>20.9</v>
      </c>
      <c r="G359" s="0" t="n">
        <v>23.1</v>
      </c>
      <c r="H359" s="0" t="n">
        <v>12</v>
      </c>
      <c r="I359" s="0" t="n">
        <v>15.7</v>
      </c>
      <c r="J359" s="0" t="n">
        <v>28.3</v>
      </c>
      <c r="K359" s="0" t="n">
        <v>11.7869816939</v>
      </c>
      <c r="L359" s="0" t="n">
        <v>29.4627957004</v>
      </c>
      <c r="M359" s="0" t="n">
        <v>14.1734830242</v>
      </c>
      <c r="N359" s="0" t="n">
        <v>7.64927188543</v>
      </c>
      <c r="O359" s="0" t="n">
        <v>36.9274676961</v>
      </c>
      <c r="P359" s="0" t="n">
        <f aca="false">INDEX($F359:$J359,IF(1&lt;$E359,1,1+1))</f>
        <v>20.9</v>
      </c>
      <c r="Q359" s="0" t="n">
        <f aca="false">INDEX($F359:$J359,IF(2&lt;$E359,2,2+1))</f>
        <v>23.1</v>
      </c>
      <c r="R359" s="0" t="n">
        <f aca="false">INDEX($F359:$J359,IF(3&lt;$E359,3,3+1))</f>
        <v>12</v>
      </c>
      <c r="S359" s="0" t="n">
        <f aca="false">INDEX($F359:$J359,IF(4&lt;$E359,4,4+1))</f>
        <v>15.7</v>
      </c>
      <c r="T359" s="0" t="n">
        <f aca="false">INDEX($K359:$O359,IF(1&lt;$E359,1,1+1))</f>
        <v>11.7869816939</v>
      </c>
      <c r="U359" s="0" t="n">
        <f aca="false">INDEX($K359:$O359,IF(2&lt;$E359,2,2+1))</f>
        <v>29.4627957004</v>
      </c>
      <c r="V359" s="0" t="n">
        <f aca="false">INDEX($K359:$O359,IF(3&lt;$E359,3,3+1))</f>
        <v>14.1734830242</v>
      </c>
      <c r="W359" s="0" t="n">
        <f aca="false">INDEX($K359:$O359,IF(4&lt;$E359,4,4+1))</f>
        <v>7.64927188543</v>
      </c>
      <c r="X359" s="0" t="n">
        <f aca="false">1+COUNTIF($P359:$S359,"&gt;"&amp;$P359)+(COUNTIF($P359:$S359,$P359)-1)/2</f>
        <v>2</v>
      </c>
      <c r="Y359" s="0" t="n">
        <f aca="false">1+COUNTIF($P359:$S359,"&gt;"&amp;$Q359)+(COUNTIF($P359:$S359,$Q359)-1)/2</f>
        <v>1</v>
      </c>
      <c r="Z359" s="0" t="n">
        <f aca="false">1+COUNTIF($P359:$S359,"&gt;"&amp;$R359)+(COUNTIF($P359:$S359,$R359)-1)/2</f>
        <v>4</v>
      </c>
      <c r="AA359" s="0" t="n">
        <f aca="false">1+COUNTIF($P359:$S359,"&gt;"&amp;$S359)+(COUNTIF($P359:$S359,$S359)-1)/2</f>
        <v>3</v>
      </c>
      <c r="AB359" s="0" t="n">
        <f aca="false">1+COUNTIF($T359:$W359,"&gt;"&amp;$T359)+(COUNTIF($T359:$W359,$T359)-1)/2</f>
        <v>3</v>
      </c>
      <c r="AC359" s="0" t="n">
        <f aca="false">1+COUNTIF($T359:$W359,"&gt;"&amp;$U359)+(COUNTIF($T359:$W359,$U359)-1)/2</f>
        <v>1</v>
      </c>
      <c r="AD359" s="0" t="n">
        <f aca="false">1+COUNTIF($T359:$W359,"&gt;"&amp;$V359)+(COUNTIF($T359:$W359,$V359)-1)/2</f>
        <v>2</v>
      </c>
      <c r="AE359" s="0" t="n">
        <f aca="false">1+COUNTIF($T359:$W359,"&gt;"&amp;$W359)+(COUNTIF($T359:$W359,$W359)-1)/2</f>
        <v>4</v>
      </c>
      <c r="AF359" s="0" t="n">
        <f aca="false">IFERROR(CORREL($P359:$S359,$T359:$W359),"")</f>
        <v>0.603298151851701</v>
      </c>
      <c r="AG359" s="0" t="n">
        <f aca="false">IFERROR(CORREL($X359:$AA359,$AB359:$AE359),"")</f>
        <v>0.4</v>
      </c>
      <c r="AH359" s="0" t="n">
        <f aca="false">IFERROR((SIGN($P359-$Q359)*SIGN($T359-$U359)+SIGN($P359-$R359)*SIGN($T359-$V359)+SIGN($P359-$S359)*SIGN($T359-$W359)+SIGN($Q359-$R359)*SIGN($U359-$V359)+SIGN($Q359-$S359)*SIGN($U359-$W359)+SIGN($R359-$S359)*SIGN($V359-$W359))/SQRT((6-(($P359=$Q359)*1+($P359=$R359)*1+($P359=$S359)*1+($Q359=$R359)*1+($Q359=$S359)*1+($R359=$S359)*1))*(6-(($T359=$U359)*1+($T359=$V359)*1+($T359=$W359)*1+($U359=$V359)*1+($U359=$W359)*1+($V359=$W359)*1))),"")</f>
        <v>0.333333333333333</v>
      </c>
      <c r="AI359" s="0" t="n">
        <f aca="false">MATCH(MAX($K359:$O359),$K359:$O359,0)</f>
        <v>5</v>
      </c>
      <c r="AJ359" s="0" t="n">
        <f aca="false">IF(AI359&lt;&gt;$E359,1,0)</f>
        <v>0</v>
      </c>
      <c r="AK359" s="0" t="str">
        <f aca="false">IF(AJ359=1,INDEX($F359:$J359,AI359)/MAX($P359:$S359),"")</f>
        <v/>
      </c>
      <c r="AL359" s="0" t="str">
        <f aca="false">IF(AJ359=1,1+COUNTIF($P359:$S359,"&gt;"&amp;INDEX($F359:$J359,AI359)),"")</f>
        <v/>
      </c>
      <c r="AM359" s="0" t="n">
        <f aca="false">AVERAGE($P359:$S359)/MAX($P359:$S359)</f>
        <v>0.775974025974026</v>
      </c>
      <c r="AN359" s="0" t="n">
        <f aca="false">100-INDEX($F359:$J359,$E359)</f>
        <v>71.7</v>
      </c>
    </row>
    <row r="360" customFormat="false" ht="15" hidden="false" customHeight="false" outlineLevel="0" collapsed="false">
      <c r="A360" s="0" t="s">
        <v>57</v>
      </c>
      <c r="B360" s="0" t="n">
        <v>2025</v>
      </c>
      <c r="C360" s="0" t="s">
        <v>46</v>
      </c>
      <c r="D360" s="0" t="s">
        <v>44</v>
      </c>
      <c r="E360" s="0" t="n">
        <v>2</v>
      </c>
      <c r="F360" s="0" t="n">
        <v>10.4</v>
      </c>
      <c r="G360" s="0" t="n">
        <v>31.3</v>
      </c>
      <c r="H360" s="0" t="n">
        <v>28.2</v>
      </c>
      <c r="I360" s="0" t="n">
        <v>19.4</v>
      </c>
      <c r="J360" s="0" t="n">
        <v>10.7</v>
      </c>
      <c r="K360" s="0" t="n">
        <v>28.0372940629</v>
      </c>
      <c r="L360" s="0" t="n">
        <v>20.4563268701</v>
      </c>
      <c r="M360" s="0" t="n">
        <v>9.20153922135</v>
      </c>
      <c r="N360" s="0" t="n">
        <v>30.4395518468</v>
      </c>
      <c r="O360" s="0" t="n">
        <v>11.8652879987</v>
      </c>
      <c r="P360" s="0" t="n">
        <f aca="false">INDEX($F360:$J360,IF(1&lt;$E360,1,1+1))</f>
        <v>10.4</v>
      </c>
      <c r="Q360" s="0" t="n">
        <f aca="false">INDEX($F360:$J360,IF(2&lt;$E360,2,2+1))</f>
        <v>28.2</v>
      </c>
      <c r="R360" s="0" t="n">
        <f aca="false">INDEX($F360:$J360,IF(3&lt;$E360,3,3+1))</f>
        <v>19.4</v>
      </c>
      <c r="S360" s="0" t="n">
        <f aca="false">INDEX($F360:$J360,IF(4&lt;$E360,4,4+1))</f>
        <v>10.7</v>
      </c>
      <c r="T360" s="0" t="n">
        <f aca="false">INDEX($K360:$O360,IF(1&lt;$E360,1,1+1))</f>
        <v>28.0372940629</v>
      </c>
      <c r="U360" s="0" t="n">
        <f aca="false">INDEX($K360:$O360,IF(2&lt;$E360,2,2+1))</f>
        <v>9.20153922135</v>
      </c>
      <c r="V360" s="0" t="n">
        <f aca="false">INDEX($K360:$O360,IF(3&lt;$E360,3,3+1))</f>
        <v>30.4395518468</v>
      </c>
      <c r="W360" s="0" t="n">
        <f aca="false">INDEX($K360:$O360,IF(4&lt;$E360,4,4+1))</f>
        <v>11.8652879987</v>
      </c>
      <c r="X360" s="0" t="n">
        <f aca="false">1+COUNTIF($P360:$S360,"&gt;"&amp;$P360)+(COUNTIF($P360:$S360,$P360)-1)/2</f>
        <v>4</v>
      </c>
      <c r="Y360" s="0" t="n">
        <f aca="false">1+COUNTIF($P360:$S360,"&gt;"&amp;$Q360)+(COUNTIF($P360:$S360,$Q360)-1)/2</f>
        <v>1</v>
      </c>
      <c r="Z360" s="0" t="n">
        <f aca="false">1+COUNTIF($P360:$S360,"&gt;"&amp;$R360)+(COUNTIF($P360:$S360,$R360)-1)/2</f>
        <v>2</v>
      </c>
      <c r="AA360" s="0" t="n">
        <f aca="false">1+COUNTIF($P360:$S360,"&gt;"&amp;$S360)+(COUNTIF($P360:$S360,$S360)-1)/2</f>
        <v>3</v>
      </c>
      <c r="AB360" s="0" t="n">
        <f aca="false">1+COUNTIF($T360:$W360,"&gt;"&amp;$T360)+(COUNTIF($T360:$W360,$T360)-1)/2</f>
        <v>2</v>
      </c>
      <c r="AC360" s="0" t="n">
        <f aca="false">1+COUNTIF($T360:$W360,"&gt;"&amp;$U360)+(COUNTIF($T360:$W360,$U360)-1)/2</f>
        <v>4</v>
      </c>
      <c r="AD360" s="0" t="n">
        <f aca="false">1+COUNTIF($T360:$W360,"&gt;"&amp;$V360)+(COUNTIF($T360:$W360,$V360)-1)/2</f>
        <v>1</v>
      </c>
      <c r="AE360" s="0" t="n">
        <f aca="false">1+COUNTIF($T360:$W360,"&gt;"&amp;$W360)+(COUNTIF($T360:$W360,$W360)-1)/2</f>
        <v>3</v>
      </c>
      <c r="AF360" s="0" t="n">
        <f aca="false">IFERROR(CORREL($P360:$S360,$T360:$W360),"")</f>
        <v>-0.35319999869438</v>
      </c>
      <c r="AG360" s="0" t="n">
        <f aca="false">IFERROR(CORREL($X360:$AA360,$AB360:$AE360),"")</f>
        <v>-0.4</v>
      </c>
      <c r="AH360" s="0" t="n">
        <f aca="false">IFERROR((SIGN($P360-$Q360)*SIGN($T360-$U360)+SIGN($P360-$R360)*SIGN($T360-$V360)+SIGN($P360-$S360)*SIGN($T360-$W360)+SIGN($Q360-$R360)*SIGN($U360-$V360)+SIGN($Q360-$S360)*SIGN($U360-$W360)+SIGN($R360-$S360)*SIGN($V360-$W360))/SQRT((6-(($P360=$Q360)*1+($P360=$R360)*1+($P360=$S360)*1+($Q360=$R360)*1+($Q360=$S360)*1+($R360=$S360)*1))*(6-(($T360=$U360)*1+($T360=$V360)*1+($T360=$W360)*1+($U360=$V360)*1+($U360=$W360)*1+($V360=$W360)*1))),"")</f>
        <v>-0.333333333333333</v>
      </c>
      <c r="AI360" s="0" t="n">
        <f aca="false">MATCH(MAX($K360:$O360),$K360:$O360,0)</f>
        <v>4</v>
      </c>
      <c r="AJ360" s="0" t="n">
        <f aca="false">IF(AI360&lt;&gt;$E360,1,0)</f>
        <v>1</v>
      </c>
      <c r="AK360" s="0" t="n">
        <f aca="false">IF(AJ360=1,INDEX($F360:$J360,AI360)/MAX($P360:$S360),"")</f>
        <v>0.687943262411348</v>
      </c>
      <c r="AL360" s="0" t="n">
        <f aca="false">IF(AJ360=1,1+COUNTIF($P360:$S360,"&gt;"&amp;INDEX($F360:$J360,AI360)),"")</f>
        <v>2</v>
      </c>
      <c r="AM360" s="0" t="n">
        <f aca="false">AVERAGE($P360:$S360)/MAX($P360:$S360)</f>
        <v>0.609042553191489</v>
      </c>
      <c r="AN360" s="0" t="n">
        <f aca="false">100-INDEX($F360:$J360,$E360)</f>
        <v>68.7</v>
      </c>
    </row>
    <row r="361" customFormat="false" ht="15" hidden="false" customHeight="false" outlineLevel="0" collapsed="false">
      <c r="A361" s="0" t="s">
        <v>57</v>
      </c>
      <c r="B361" s="0" t="n">
        <v>2025</v>
      </c>
      <c r="C361" s="0" t="s">
        <v>46</v>
      </c>
      <c r="D361" s="0" t="s">
        <v>45</v>
      </c>
      <c r="E361" s="0" t="n">
        <v>1</v>
      </c>
      <c r="F361" s="0" t="n">
        <v>41.3</v>
      </c>
      <c r="G361" s="0" t="n">
        <v>12.7</v>
      </c>
      <c r="H361" s="0" t="n">
        <v>18.4</v>
      </c>
      <c r="I361" s="0" t="n">
        <v>14.8</v>
      </c>
      <c r="J361" s="0" t="n">
        <v>12.9</v>
      </c>
      <c r="K361" s="0" t="n">
        <v>63.9554157061</v>
      </c>
      <c r="L361" s="0" t="n">
        <v>1.25666022344</v>
      </c>
      <c r="M361" s="0" t="n">
        <v>24.907263602</v>
      </c>
      <c r="N361" s="0" t="n">
        <v>7.19998861711</v>
      </c>
      <c r="O361" s="0" t="n">
        <v>2.68067185131</v>
      </c>
      <c r="P361" s="0" t="n">
        <f aca="false">INDEX($F361:$J361,IF(1&lt;$E361,1,1+1))</f>
        <v>12.7</v>
      </c>
      <c r="Q361" s="0" t="n">
        <f aca="false">INDEX($F361:$J361,IF(2&lt;$E361,2,2+1))</f>
        <v>18.4</v>
      </c>
      <c r="R361" s="0" t="n">
        <f aca="false">INDEX($F361:$J361,IF(3&lt;$E361,3,3+1))</f>
        <v>14.8</v>
      </c>
      <c r="S361" s="0" t="n">
        <f aca="false">INDEX($F361:$J361,IF(4&lt;$E361,4,4+1))</f>
        <v>12.9</v>
      </c>
      <c r="T361" s="0" t="n">
        <f aca="false">INDEX($K361:$O361,IF(1&lt;$E361,1,1+1))</f>
        <v>1.25666022344</v>
      </c>
      <c r="U361" s="0" t="n">
        <f aca="false">INDEX($K361:$O361,IF(2&lt;$E361,2,2+1))</f>
        <v>24.907263602</v>
      </c>
      <c r="V361" s="0" t="n">
        <f aca="false">INDEX($K361:$O361,IF(3&lt;$E361,3,3+1))</f>
        <v>7.19998861711</v>
      </c>
      <c r="W361" s="0" t="n">
        <f aca="false">INDEX($K361:$O361,IF(4&lt;$E361,4,4+1))</f>
        <v>2.68067185131</v>
      </c>
      <c r="X361" s="0" t="n">
        <f aca="false">1+COUNTIF($P361:$S361,"&gt;"&amp;$P361)+(COUNTIF($P361:$S361,$P361)-1)/2</f>
        <v>4</v>
      </c>
      <c r="Y361" s="0" t="n">
        <f aca="false">1+COUNTIF($P361:$S361,"&gt;"&amp;$Q361)+(COUNTIF($P361:$S361,$Q361)-1)/2</f>
        <v>1</v>
      </c>
      <c r="Z361" s="0" t="n">
        <f aca="false">1+COUNTIF($P361:$S361,"&gt;"&amp;$R361)+(COUNTIF($P361:$S361,$R361)-1)/2</f>
        <v>2</v>
      </c>
      <c r="AA361" s="0" t="n">
        <f aca="false">1+COUNTIF($P361:$S361,"&gt;"&amp;$S361)+(COUNTIF($P361:$S361,$S361)-1)/2</f>
        <v>3</v>
      </c>
      <c r="AB361" s="0" t="n">
        <f aca="false">1+COUNTIF($T361:$W361,"&gt;"&amp;$T361)+(COUNTIF($T361:$W361,$T361)-1)/2</f>
        <v>4</v>
      </c>
      <c r="AC361" s="0" t="n">
        <f aca="false">1+COUNTIF($T361:$W361,"&gt;"&amp;$U361)+(COUNTIF($T361:$W361,$U361)-1)/2</f>
        <v>1</v>
      </c>
      <c r="AD361" s="0" t="n">
        <f aca="false">1+COUNTIF($T361:$W361,"&gt;"&amp;$V361)+(COUNTIF($T361:$W361,$V361)-1)/2</f>
        <v>2</v>
      </c>
      <c r="AE361" s="0" t="n">
        <f aca="false">1+COUNTIF($T361:$W361,"&gt;"&amp;$W361)+(COUNTIF($T361:$W361,$W361)-1)/2</f>
        <v>3</v>
      </c>
      <c r="AF361" s="0" t="n">
        <f aca="false">IFERROR(CORREL($P361:$S361,$T361:$W361),"")</f>
        <v>0.990470437284658</v>
      </c>
      <c r="AG361" s="0" t="n">
        <f aca="false">IFERROR(CORREL($X361:$AA361,$AB361:$AE361),"")</f>
        <v>1</v>
      </c>
      <c r="AH361" s="0" t="n">
        <f aca="false">IFERROR((SIGN($P361-$Q361)*SIGN($T361-$U361)+SIGN($P361-$R361)*SIGN($T361-$V361)+SIGN($P361-$S361)*SIGN($T361-$W361)+SIGN($Q361-$R361)*SIGN($U361-$V361)+SIGN($Q361-$S361)*SIGN($U361-$W361)+SIGN($R361-$S361)*SIGN($V361-$W361))/SQRT((6-(($P361=$Q361)*1+($P361=$R361)*1+($P361=$S361)*1+($Q361=$R361)*1+($Q361=$S361)*1+($R361=$S361)*1))*(6-(($T361=$U361)*1+($T361=$V361)*1+($T361=$W361)*1+($U361=$V361)*1+($U361=$W361)*1+($V361=$W361)*1))),"")</f>
        <v>1</v>
      </c>
      <c r="AI361" s="0" t="n">
        <f aca="false">MATCH(MAX($K361:$O361),$K361:$O361,0)</f>
        <v>1</v>
      </c>
      <c r="AJ361" s="0" t="n">
        <f aca="false">IF(AI361&lt;&gt;$E361,1,0)</f>
        <v>0</v>
      </c>
      <c r="AK361" s="0" t="str">
        <f aca="false">IF(AJ361=1,INDEX($F361:$J361,AI361)/MAX($P361:$S361),"")</f>
        <v/>
      </c>
      <c r="AL361" s="0" t="str">
        <f aca="false">IF(AJ361=1,1+COUNTIF($P361:$S361,"&gt;"&amp;INDEX($F361:$J361,AI361)),"")</f>
        <v/>
      </c>
      <c r="AM361" s="0" t="n">
        <f aca="false">AVERAGE($P361:$S361)/MAX($P361:$S361)</f>
        <v>0.798913043478261</v>
      </c>
      <c r="AN361" s="0" t="n">
        <f aca="false">100-INDEX($F361:$J361,$E361)</f>
        <v>58.7</v>
      </c>
    </row>
    <row r="362" customFormat="false" ht="15" hidden="false" customHeight="false" outlineLevel="0" collapsed="false">
      <c r="A362" s="0" t="s">
        <v>57</v>
      </c>
      <c r="B362" s="0" t="n">
        <v>2024</v>
      </c>
      <c r="C362" s="0" t="s">
        <v>48</v>
      </c>
      <c r="D362" s="0" t="s">
        <v>42</v>
      </c>
      <c r="E362" s="0" t="n">
        <v>5</v>
      </c>
      <c r="F362" s="0" t="n">
        <v>13.5</v>
      </c>
      <c r="G362" s="0" t="n">
        <v>20.7</v>
      </c>
      <c r="H362" s="0" t="n">
        <v>11</v>
      </c>
      <c r="I362" s="0" t="n">
        <v>12.7</v>
      </c>
      <c r="J362" s="0" t="n">
        <v>42</v>
      </c>
      <c r="K362" s="0" t="n">
        <v>8.03138032845</v>
      </c>
      <c r="L362" s="0" t="n">
        <v>2.15359648532</v>
      </c>
      <c r="M362" s="0" t="n">
        <v>1.24629704183</v>
      </c>
      <c r="N362" s="0" t="n">
        <v>6.59168801174</v>
      </c>
      <c r="O362" s="0" t="n">
        <v>81.9770381326</v>
      </c>
      <c r="P362" s="0" t="n">
        <f aca="false">INDEX($F362:$J362,IF(1&lt;$E362,1,1+1))</f>
        <v>13.5</v>
      </c>
      <c r="Q362" s="0" t="n">
        <f aca="false">INDEX($F362:$J362,IF(2&lt;$E362,2,2+1))</f>
        <v>20.7</v>
      </c>
      <c r="R362" s="0" t="n">
        <f aca="false">INDEX($F362:$J362,IF(3&lt;$E362,3,3+1))</f>
        <v>11</v>
      </c>
      <c r="S362" s="0" t="n">
        <f aca="false">INDEX($F362:$J362,IF(4&lt;$E362,4,4+1))</f>
        <v>12.7</v>
      </c>
      <c r="T362" s="0" t="n">
        <f aca="false">INDEX($K362:$O362,IF(1&lt;$E362,1,1+1))</f>
        <v>8.03138032845</v>
      </c>
      <c r="U362" s="0" t="n">
        <f aca="false">INDEX($K362:$O362,IF(2&lt;$E362,2,2+1))</f>
        <v>2.15359648532</v>
      </c>
      <c r="V362" s="0" t="n">
        <f aca="false">INDEX($K362:$O362,IF(3&lt;$E362,3,3+1))</f>
        <v>1.24629704183</v>
      </c>
      <c r="W362" s="0" t="n">
        <f aca="false">INDEX($K362:$O362,IF(4&lt;$E362,4,4+1))</f>
        <v>6.59168801174</v>
      </c>
      <c r="X362" s="0" t="n">
        <f aca="false">1+COUNTIF($P362:$S362,"&gt;"&amp;$P362)+(COUNTIF($P362:$S362,$P362)-1)/2</f>
        <v>2</v>
      </c>
      <c r="Y362" s="0" t="n">
        <f aca="false">1+COUNTIF($P362:$S362,"&gt;"&amp;$Q362)+(COUNTIF($P362:$S362,$Q362)-1)/2</f>
        <v>1</v>
      </c>
      <c r="Z362" s="0" t="n">
        <f aca="false">1+COUNTIF($P362:$S362,"&gt;"&amp;$R362)+(COUNTIF($P362:$S362,$R362)-1)/2</f>
        <v>4</v>
      </c>
      <c r="AA362" s="0" t="n">
        <f aca="false">1+COUNTIF($P362:$S362,"&gt;"&amp;$S362)+(COUNTIF($P362:$S362,$S362)-1)/2</f>
        <v>3</v>
      </c>
      <c r="AB362" s="0" t="n">
        <f aca="false">1+COUNTIF($T362:$W362,"&gt;"&amp;$T362)+(COUNTIF($T362:$W362,$T362)-1)/2</f>
        <v>1</v>
      </c>
      <c r="AC362" s="0" t="n">
        <f aca="false">1+COUNTIF($T362:$W362,"&gt;"&amp;$U362)+(COUNTIF($T362:$W362,$U362)-1)/2</f>
        <v>3</v>
      </c>
      <c r="AD362" s="0" t="n">
        <f aca="false">1+COUNTIF($T362:$W362,"&gt;"&amp;$V362)+(COUNTIF($T362:$W362,$V362)-1)/2</f>
        <v>4</v>
      </c>
      <c r="AE362" s="0" t="n">
        <f aca="false">1+COUNTIF($T362:$W362,"&gt;"&amp;$W362)+(COUNTIF($T362:$W362,$W362)-1)/2</f>
        <v>2</v>
      </c>
      <c r="AF362" s="0" t="n">
        <f aca="false">IFERROR(CORREL($P362:$S362,$T362:$W362),"")</f>
        <v>-0.245813503410332</v>
      </c>
      <c r="AG362" s="0" t="n">
        <f aca="false">IFERROR(CORREL($X362:$AA362,$AB362:$AE362),"")</f>
        <v>0.4</v>
      </c>
      <c r="AH362" s="0" t="n">
        <f aca="false">IFERROR((SIGN($P362-$Q362)*SIGN($T362-$U362)+SIGN($P362-$R362)*SIGN($T362-$V362)+SIGN($P362-$S362)*SIGN($T362-$W362)+SIGN($Q362-$R362)*SIGN($U362-$V362)+SIGN($Q362-$S362)*SIGN($U362-$W362)+SIGN($R362-$S362)*SIGN($V362-$W362))/SQRT((6-(($P362=$Q362)*1+($P362=$R362)*1+($P362=$S362)*1+($Q362=$R362)*1+($Q362=$S362)*1+($R362=$S362)*1))*(6-(($T362=$U362)*1+($T362=$V362)*1+($T362=$W362)*1+($U362=$V362)*1+($U362=$W362)*1+($V362=$W362)*1))),"")</f>
        <v>0.333333333333333</v>
      </c>
      <c r="AI362" s="0" t="n">
        <f aca="false">MATCH(MAX($K362:$O362),$K362:$O362,0)</f>
        <v>5</v>
      </c>
      <c r="AJ362" s="0" t="n">
        <f aca="false">IF(AI362&lt;&gt;$E362,1,0)</f>
        <v>0</v>
      </c>
      <c r="AK362" s="0" t="str">
        <f aca="false">IF(AJ362=1,INDEX($F362:$J362,AI362)/MAX($P362:$S362),"")</f>
        <v/>
      </c>
      <c r="AL362" s="0" t="str">
        <f aca="false">IF(AJ362=1,1+COUNTIF($P362:$S362,"&gt;"&amp;INDEX($F362:$J362,AI362)),"")</f>
        <v/>
      </c>
      <c r="AM362" s="0" t="n">
        <f aca="false">AVERAGE($P362:$S362)/MAX($P362:$S362)</f>
        <v>0.699275362318841</v>
      </c>
      <c r="AN362" s="0" t="n">
        <f aca="false">100-INDEX($F362:$J362,$E362)</f>
        <v>58</v>
      </c>
    </row>
    <row r="363" customFormat="false" ht="15" hidden="false" customHeight="false" outlineLevel="0" collapsed="false">
      <c r="A363" s="0" t="s">
        <v>57</v>
      </c>
      <c r="B363" s="0" t="n">
        <v>2024</v>
      </c>
      <c r="C363" s="0" t="s">
        <v>48</v>
      </c>
      <c r="D363" s="0" t="s">
        <v>43</v>
      </c>
      <c r="E363" s="0" t="n">
        <v>1</v>
      </c>
      <c r="F363" s="0" t="n">
        <v>33.5</v>
      </c>
      <c r="G363" s="0" t="n">
        <v>13.6</v>
      </c>
      <c r="H363" s="0" t="n">
        <v>16.8</v>
      </c>
      <c r="I363" s="0" t="n">
        <v>15.9</v>
      </c>
      <c r="J363" s="0" t="n">
        <v>20.2</v>
      </c>
      <c r="K363" s="0" t="n">
        <v>24.6596982758</v>
      </c>
      <c r="L363" s="0" t="n">
        <v>18.5491766109</v>
      </c>
      <c r="M363" s="0" t="n">
        <v>42.7212881294</v>
      </c>
      <c r="N363" s="0" t="n">
        <v>12.0334902373</v>
      </c>
      <c r="O363" s="0" t="n">
        <v>2.03634674654</v>
      </c>
      <c r="P363" s="0" t="n">
        <f aca="false">INDEX($F363:$J363,IF(1&lt;$E363,1,1+1))</f>
        <v>13.6</v>
      </c>
      <c r="Q363" s="0" t="n">
        <f aca="false">INDEX($F363:$J363,IF(2&lt;$E363,2,2+1))</f>
        <v>16.8</v>
      </c>
      <c r="R363" s="0" t="n">
        <f aca="false">INDEX($F363:$J363,IF(3&lt;$E363,3,3+1))</f>
        <v>15.9</v>
      </c>
      <c r="S363" s="0" t="n">
        <f aca="false">INDEX($F363:$J363,IF(4&lt;$E363,4,4+1))</f>
        <v>20.2</v>
      </c>
      <c r="T363" s="0" t="n">
        <f aca="false">INDEX($K363:$O363,IF(1&lt;$E363,1,1+1))</f>
        <v>18.5491766109</v>
      </c>
      <c r="U363" s="0" t="n">
        <f aca="false">INDEX($K363:$O363,IF(2&lt;$E363,2,2+1))</f>
        <v>42.7212881294</v>
      </c>
      <c r="V363" s="0" t="n">
        <f aca="false">INDEX($K363:$O363,IF(3&lt;$E363,3,3+1))</f>
        <v>12.0334902373</v>
      </c>
      <c r="W363" s="0" t="n">
        <f aca="false">INDEX($K363:$O363,IF(4&lt;$E363,4,4+1))</f>
        <v>2.03634674654</v>
      </c>
      <c r="X363" s="0" t="n">
        <f aca="false">1+COUNTIF($P363:$S363,"&gt;"&amp;$P363)+(COUNTIF($P363:$S363,$P363)-1)/2</f>
        <v>4</v>
      </c>
      <c r="Y363" s="0" t="n">
        <f aca="false">1+COUNTIF($P363:$S363,"&gt;"&amp;$Q363)+(COUNTIF($P363:$S363,$Q363)-1)/2</f>
        <v>2</v>
      </c>
      <c r="Z363" s="0" t="n">
        <f aca="false">1+COUNTIF($P363:$S363,"&gt;"&amp;$R363)+(COUNTIF($P363:$S363,$R363)-1)/2</f>
        <v>3</v>
      </c>
      <c r="AA363" s="0" t="n">
        <f aca="false">1+COUNTIF($P363:$S363,"&gt;"&amp;$S363)+(COUNTIF($P363:$S363,$S363)-1)/2</f>
        <v>1</v>
      </c>
      <c r="AB363" s="0" t="n">
        <f aca="false">1+COUNTIF($T363:$W363,"&gt;"&amp;$T363)+(COUNTIF($T363:$W363,$T363)-1)/2</f>
        <v>2</v>
      </c>
      <c r="AC363" s="0" t="n">
        <f aca="false">1+COUNTIF($T363:$W363,"&gt;"&amp;$U363)+(COUNTIF($T363:$W363,$U363)-1)/2</f>
        <v>1</v>
      </c>
      <c r="AD363" s="0" t="n">
        <f aca="false">1+COUNTIF($T363:$W363,"&gt;"&amp;$V363)+(COUNTIF($T363:$W363,$V363)-1)/2</f>
        <v>3</v>
      </c>
      <c r="AE363" s="0" t="n">
        <f aca="false">1+COUNTIF($T363:$W363,"&gt;"&amp;$W363)+(COUNTIF($T363:$W363,$W363)-1)/2</f>
        <v>4</v>
      </c>
      <c r="AF363" s="0" t="n">
        <f aca="false">IFERROR(CORREL($P363:$S363,$T363:$W363),"")</f>
        <v>-0.352197528821736</v>
      </c>
      <c r="AG363" s="0" t="n">
        <f aca="false">IFERROR(CORREL($X363:$AA363,$AB363:$AE363),"")</f>
        <v>-0.4</v>
      </c>
      <c r="AH363" s="0" t="n">
        <f aca="false">IFERROR((SIGN($P363-$Q363)*SIGN($T363-$U363)+SIGN($P363-$R363)*SIGN($T363-$V363)+SIGN($P363-$S363)*SIGN($T363-$W363)+SIGN($Q363-$R363)*SIGN($U363-$V363)+SIGN($Q363-$S363)*SIGN($U363-$W363)+SIGN($R363-$S363)*SIGN($V363-$W363))/SQRT((6-(($P363=$Q363)*1+($P363=$R363)*1+($P363=$S363)*1+($Q363=$R363)*1+($Q363=$S363)*1+($R363=$S363)*1))*(6-(($T363=$U363)*1+($T363=$V363)*1+($T363=$W363)*1+($U363=$V363)*1+($U363=$W363)*1+($V363=$W363)*1))),"")</f>
        <v>-0.333333333333333</v>
      </c>
      <c r="AI363" s="0" t="n">
        <f aca="false">MATCH(MAX($K363:$O363),$K363:$O363,0)</f>
        <v>3</v>
      </c>
      <c r="AJ363" s="0" t="n">
        <f aca="false">IF(AI363&lt;&gt;$E363,1,0)</f>
        <v>1</v>
      </c>
      <c r="AK363" s="0" t="n">
        <f aca="false">IF(AJ363=1,INDEX($F363:$J363,AI363)/MAX($P363:$S363),"")</f>
        <v>0.831683168316832</v>
      </c>
      <c r="AL363" s="0" t="n">
        <f aca="false">IF(AJ363=1,1+COUNTIF($P363:$S363,"&gt;"&amp;INDEX($F363:$J363,AI363)),"")</f>
        <v>2</v>
      </c>
      <c r="AM363" s="0" t="n">
        <f aca="false">AVERAGE($P363:$S363)/MAX($P363:$S363)</f>
        <v>0.823019801980198</v>
      </c>
      <c r="AN363" s="0" t="n">
        <f aca="false">100-INDEX($F363:$J363,$E363)</f>
        <v>66.5</v>
      </c>
    </row>
    <row r="364" customFormat="false" ht="15" hidden="false" customHeight="false" outlineLevel="0" collapsed="false">
      <c r="A364" s="0" t="s">
        <v>57</v>
      </c>
      <c r="B364" s="0" t="n">
        <v>2024</v>
      </c>
      <c r="C364" s="0" t="s">
        <v>48</v>
      </c>
      <c r="D364" s="0" t="s">
        <v>44</v>
      </c>
      <c r="E364" s="0" t="n">
        <v>2</v>
      </c>
      <c r="F364" s="0" t="n">
        <v>26.7</v>
      </c>
      <c r="G364" s="0" t="n">
        <v>22.5</v>
      </c>
      <c r="H364" s="0" t="n">
        <v>14.4</v>
      </c>
      <c r="I364" s="0" t="n">
        <v>27.3</v>
      </c>
      <c r="J364" s="0" t="n">
        <v>9</v>
      </c>
      <c r="K364" s="0" t="n">
        <v>16.3569289324</v>
      </c>
      <c r="L364" s="0" t="n">
        <v>18.3324792054</v>
      </c>
      <c r="M364" s="0" t="n">
        <v>49.0312622637</v>
      </c>
      <c r="N364" s="0" t="n">
        <v>7.26181409856</v>
      </c>
      <c r="O364" s="0" t="n">
        <v>9.01751549991</v>
      </c>
      <c r="P364" s="0" t="n">
        <f aca="false">INDEX($F364:$J364,IF(1&lt;$E364,1,1+1))</f>
        <v>26.7</v>
      </c>
      <c r="Q364" s="0" t="n">
        <f aca="false">INDEX($F364:$J364,IF(2&lt;$E364,2,2+1))</f>
        <v>14.4</v>
      </c>
      <c r="R364" s="0" t="n">
        <f aca="false">INDEX($F364:$J364,IF(3&lt;$E364,3,3+1))</f>
        <v>27.3</v>
      </c>
      <c r="S364" s="0" t="n">
        <f aca="false">INDEX($F364:$J364,IF(4&lt;$E364,4,4+1))</f>
        <v>9</v>
      </c>
      <c r="T364" s="0" t="n">
        <f aca="false">INDEX($K364:$O364,IF(1&lt;$E364,1,1+1))</f>
        <v>16.3569289324</v>
      </c>
      <c r="U364" s="0" t="n">
        <f aca="false">INDEX($K364:$O364,IF(2&lt;$E364,2,2+1))</f>
        <v>49.0312622637</v>
      </c>
      <c r="V364" s="0" t="n">
        <f aca="false">INDEX($K364:$O364,IF(3&lt;$E364,3,3+1))</f>
        <v>7.26181409856</v>
      </c>
      <c r="W364" s="0" t="n">
        <f aca="false">INDEX($K364:$O364,IF(4&lt;$E364,4,4+1))</f>
        <v>9.01751549991</v>
      </c>
      <c r="X364" s="0" t="n">
        <f aca="false">1+COUNTIF($P364:$S364,"&gt;"&amp;$P364)+(COUNTIF($P364:$S364,$P364)-1)/2</f>
        <v>2</v>
      </c>
      <c r="Y364" s="0" t="n">
        <f aca="false">1+COUNTIF($P364:$S364,"&gt;"&amp;$Q364)+(COUNTIF($P364:$S364,$Q364)-1)/2</f>
        <v>3</v>
      </c>
      <c r="Z364" s="0" t="n">
        <f aca="false">1+COUNTIF($P364:$S364,"&gt;"&amp;$R364)+(COUNTIF($P364:$S364,$R364)-1)/2</f>
        <v>1</v>
      </c>
      <c r="AA364" s="0" t="n">
        <f aca="false">1+COUNTIF($P364:$S364,"&gt;"&amp;$S364)+(COUNTIF($P364:$S364,$S364)-1)/2</f>
        <v>4</v>
      </c>
      <c r="AB364" s="0" t="n">
        <f aca="false">1+COUNTIF($T364:$W364,"&gt;"&amp;$T364)+(COUNTIF($T364:$W364,$T364)-1)/2</f>
        <v>2</v>
      </c>
      <c r="AC364" s="0" t="n">
        <f aca="false">1+COUNTIF($T364:$W364,"&gt;"&amp;$U364)+(COUNTIF($T364:$W364,$U364)-1)/2</f>
        <v>1</v>
      </c>
      <c r="AD364" s="0" t="n">
        <f aca="false">1+COUNTIF($T364:$W364,"&gt;"&amp;$V364)+(COUNTIF($T364:$W364,$V364)-1)/2</f>
        <v>4</v>
      </c>
      <c r="AE364" s="0" t="n">
        <f aca="false">1+COUNTIF($T364:$W364,"&gt;"&amp;$W364)+(COUNTIF($T364:$W364,$W364)-1)/2</f>
        <v>3</v>
      </c>
      <c r="AF364" s="0" t="n">
        <f aca="false">IFERROR(CORREL($P364:$S364,$T364:$W364),"")</f>
        <v>-0.297022410846482</v>
      </c>
      <c r="AG364" s="0" t="n">
        <f aca="false">IFERROR(CORREL($X364:$AA364,$AB364:$AE364),"")</f>
        <v>-0.4</v>
      </c>
      <c r="AH364" s="0" t="n">
        <f aca="false">IFERROR((SIGN($P364-$Q364)*SIGN($T364-$U364)+SIGN($P364-$R364)*SIGN($T364-$V364)+SIGN($P364-$S364)*SIGN($T364-$W364)+SIGN($Q364-$R364)*SIGN($U364-$V364)+SIGN($Q364-$S364)*SIGN($U364-$W364)+SIGN($R364-$S364)*SIGN($V364-$W364))/SQRT((6-(($P364=$Q364)*1+($P364=$R364)*1+($P364=$S364)*1+($Q364=$R364)*1+($Q364=$S364)*1+($R364=$S364)*1))*(6-(($T364=$U364)*1+($T364=$V364)*1+($T364=$W364)*1+($U364=$V364)*1+($U364=$W364)*1+($V364=$W364)*1))),"")</f>
        <v>-0.333333333333333</v>
      </c>
      <c r="AI364" s="0" t="n">
        <f aca="false">MATCH(MAX($K364:$O364),$K364:$O364,0)</f>
        <v>3</v>
      </c>
      <c r="AJ364" s="0" t="n">
        <f aca="false">IF(AI364&lt;&gt;$E364,1,0)</f>
        <v>1</v>
      </c>
      <c r="AK364" s="0" t="n">
        <f aca="false">IF(AJ364=1,INDEX($F364:$J364,AI364)/MAX($P364:$S364),"")</f>
        <v>0.527472527472528</v>
      </c>
      <c r="AL364" s="0" t="n">
        <f aca="false">IF(AJ364=1,1+COUNTIF($P364:$S364,"&gt;"&amp;INDEX($F364:$J364,AI364)),"")</f>
        <v>3</v>
      </c>
      <c r="AM364" s="0" t="n">
        <f aca="false">AVERAGE($P364:$S364)/MAX($P364:$S364)</f>
        <v>0.708791208791209</v>
      </c>
      <c r="AN364" s="0" t="n">
        <f aca="false">100-INDEX($F364:$J364,$E364)</f>
        <v>77.5</v>
      </c>
    </row>
    <row r="365" customFormat="false" ht="15" hidden="false" customHeight="false" outlineLevel="0" collapsed="false">
      <c r="A365" s="0" t="s">
        <v>57</v>
      </c>
      <c r="B365" s="0" t="n">
        <v>2024</v>
      </c>
      <c r="C365" s="0" t="s">
        <v>48</v>
      </c>
      <c r="D365" s="0" t="s">
        <v>45</v>
      </c>
      <c r="E365" s="0" t="n">
        <v>4</v>
      </c>
      <c r="F365" s="0" t="n">
        <v>14.9</v>
      </c>
      <c r="G365" s="0" t="n">
        <v>16.7</v>
      </c>
      <c r="H365" s="0" t="n">
        <v>16.5</v>
      </c>
      <c r="I365" s="0" t="n">
        <v>39.9</v>
      </c>
      <c r="J365" s="0" t="n">
        <v>12</v>
      </c>
      <c r="K365" s="0" t="n">
        <v>15.5646415877</v>
      </c>
      <c r="L365" s="0" t="n">
        <v>18.8018204621</v>
      </c>
      <c r="M365" s="0" t="n">
        <v>5.80783493376</v>
      </c>
      <c r="N365" s="0" t="n">
        <v>41.6227519963</v>
      </c>
      <c r="O365" s="0" t="n">
        <v>18.2029510202</v>
      </c>
      <c r="P365" s="0" t="n">
        <f aca="false">INDEX($F365:$J365,IF(1&lt;$E365,1,1+1))</f>
        <v>14.9</v>
      </c>
      <c r="Q365" s="0" t="n">
        <f aca="false">INDEX($F365:$J365,IF(2&lt;$E365,2,2+1))</f>
        <v>16.7</v>
      </c>
      <c r="R365" s="0" t="n">
        <f aca="false">INDEX($F365:$J365,IF(3&lt;$E365,3,3+1))</f>
        <v>16.5</v>
      </c>
      <c r="S365" s="0" t="n">
        <f aca="false">INDEX($F365:$J365,IF(4&lt;$E365,4,4+1))</f>
        <v>12</v>
      </c>
      <c r="T365" s="0" t="n">
        <f aca="false">INDEX($K365:$O365,IF(1&lt;$E365,1,1+1))</f>
        <v>15.5646415877</v>
      </c>
      <c r="U365" s="0" t="n">
        <f aca="false">INDEX($K365:$O365,IF(2&lt;$E365,2,2+1))</f>
        <v>18.8018204621</v>
      </c>
      <c r="V365" s="0" t="n">
        <f aca="false">INDEX($K365:$O365,IF(3&lt;$E365,3,3+1))</f>
        <v>5.80783493376</v>
      </c>
      <c r="W365" s="0" t="n">
        <f aca="false">INDEX($K365:$O365,IF(4&lt;$E365,4,4+1))</f>
        <v>18.2029510202</v>
      </c>
      <c r="X365" s="0" t="n">
        <f aca="false">1+COUNTIF($P365:$S365,"&gt;"&amp;$P365)+(COUNTIF($P365:$S365,$P365)-1)/2</f>
        <v>3</v>
      </c>
      <c r="Y365" s="0" t="n">
        <f aca="false">1+COUNTIF($P365:$S365,"&gt;"&amp;$Q365)+(COUNTIF($P365:$S365,$Q365)-1)/2</f>
        <v>1</v>
      </c>
      <c r="Z365" s="0" t="n">
        <f aca="false">1+COUNTIF($P365:$S365,"&gt;"&amp;$R365)+(COUNTIF($P365:$S365,$R365)-1)/2</f>
        <v>2</v>
      </c>
      <c r="AA365" s="0" t="n">
        <f aca="false">1+COUNTIF($P365:$S365,"&gt;"&amp;$S365)+(COUNTIF($P365:$S365,$S365)-1)/2</f>
        <v>4</v>
      </c>
      <c r="AB365" s="0" t="n">
        <f aca="false">1+COUNTIF($T365:$W365,"&gt;"&amp;$T365)+(COUNTIF($T365:$W365,$T365)-1)/2</f>
        <v>3</v>
      </c>
      <c r="AC365" s="0" t="n">
        <f aca="false">1+COUNTIF($T365:$W365,"&gt;"&amp;$U365)+(COUNTIF($T365:$W365,$U365)-1)/2</f>
        <v>1</v>
      </c>
      <c r="AD365" s="0" t="n">
        <f aca="false">1+COUNTIF($T365:$W365,"&gt;"&amp;$V365)+(COUNTIF($T365:$W365,$V365)-1)/2</f>
        <v>4</v>
      </c>
      <c r="AE365" s="0" t="n">
        <f aca="false">1+COUNTIF($T365:$W365,"&gt;"&amp;$W365)+(COUNTIF($T365:$W365,$W365)-1)/2</f>
        <v>2</v>
      </c>
      <c r="AF365" s="0" t="n">
        <f aca="false">IFERROR(CORREL($P365:$S365,$T365:$W365),"")</f>
        <v>-0.431891802299781</v>
      </c>
      <c r="AG365" s="0" t="n">
        <f aca="false">IFERROR(CORREL($X365:$AA365,$AB365:$AE365),"")</f>
        <v>0.2</v>
      </c>
      <c r="AH365" s="0" t="n">
        <f aca="false">IFERROR((SIGN($P365-$Q365)*SIGN($T365-$U365)+SIGN($P365-$R365)*SIGN($T365-$V365)+SIGN($P365-$S365)*SIGN($T365-$W365)+SIGN($Q365-$R365)*SIGN($U365-$V365)+SIGN($Q365-$S365)*SIGN($U365-$W365)+SIGN($R365-$S365)*SIGN($V365-$W365))/SQRT((6-(($P365=$Q365)*1+($P365=$R365)*1+($P365=$S365)*1+($Q365=$R365)*1+($Q365=$S365)*1+($R365=$S365)*1))*(6-(($T365=$U365)*1+($T365=$V365)*1+($T365=$W365)*1+($U365=$V365)*1+($U365=$W365)*1+($V365=$W365)*1))),"")</f>
        <v>0</v>
      </c>
      <c r="AI365" s="0" t="n">
        <f aca="false">MATCH(MAX($K365:$O365),$K365:$O365,0)</f>
        <v>4</v>
      </c>
      <c r="AJ365" s="0" t="n">
        <f aca="false">IF(AI365&lt;&gt;$E365,1,0)</f>
        <v>0</v>
      </c>
      <c r="AK365" s="0" t="str">
        <f aca="false">IF(AJ365=1,INDEX($F365:$J365,AI365)/MAX($P365:$S365),"")</f>
        <v/>
      </c>
      <c r="AL365" s="0" t="str">
        <f aca="false">IF(AJ365=1,1+COUNTIF($P365:$S365,"&gt;"&amp;INDEX($F365:$J365,AI365)),"")</f>
        <v/>
      </c>
      <c r="AM365" s="0" t="n">
        <f aca="false">AVERAGE($P365:$S365)/MAX($P365:$S365)</f>
        <v>0.899700598802395</v>
      </c>
      <c r="AN365" s="0" t="n">
        <f aca="false">100-INDEX($F365:$J365,$E365)</f>
        <v>60.1</v>
      </c>
    </row>
    <row r="366" customFormat="false" ht="15" hidden="false" customHeight="false" outlineLevel="0" collapsed="false">
      <c r="A366" s="0" t="s">
        <v>57</v>
      </c>
      <c r="B366" s="0" t="n">
        <v>2024</v>
      </c>
      <c r="C366" s="0" t="s">
        <v>49</v>
      </c>
      <c r="D366" s="0" t="s">
        <v>42</v>
      </c>
      <c r="E366" s="0" t="n">
        <v>3</v>
      </c>
      <c r="F366" s="0" t="n">
        <v>26.6</v>
      </c>
      <c r="G366" s="0" t="n">
        <v>12.5</v>
      </c>
      <c r="H366" s="0" t="n">
        <v>31</v>
      </c>
      <c r="I366" s="0" t="n">
        <v>14.5</v>
      </c>
      <c r="J366" s="0" t="n">
        <v>15.4</v>
      </c>
      <c r="K366" s="0" t="n">
        <v>5.98812628133</v>
      </c>
      <c r="L366" s="0" t="n">
        <v>1.68389787692</v>
      </c>
      <c r="M366" s="0" t="n">
        <v>19.5379154578</v>
      </c>
      <c r="N366" s="0" t="n">
        <v>0.174609583156</v>
      </c>
      <c r="O366" s="0" t="n">
        <v>72.6154508008</v>
      </c>
      <c r="P366" s="0" t="n">
        <f aca="false">INDEX($F366:$J366,IF(1&lt;$E366,1,1+1))</f>
        <v>26.6</v>
      </c>
      <c r="Q366" s="0" t="n">
        <f aca="false">INDEX($F366:$J366,IF(2&lt;$E366,2,2+1))</f>
        <v>12.5</v>
      </c>
      <c r="R366" s="0" t="n">
        <f aca="false">INDEX($F366:$J366,IF(3&lt;$E366,3,3+1))</f>
        <v>14.5</v>
      </c>
      <c r="S366" s="0" t="n">
        <f aca="false">INDEX($F366:$J366,IF(4&lt;$E366,4,4+1))</f>
        <v>15.4</v>
      </c>
      <c r="T366" s="0" t="n">
        <f aca="false">INDEX($K366:$O366,IF(1&lt;$E366,1,1+1))</f>
        <v>5.98812628133</v>
      </c>
      <c r="U366" s="0" t="n">
        <f aca="false">INDEX($K366:$O366,IF(2&lt;$E366,2,2+1))</f>
        <v>1.68389787692</v>
      </c>
      <c r="V366" s="0" t="n">
        <f aca="false">INDEX($K366:$O366,IF(3&lt;$E366,3,3+1))</f>
        <v>0.174609583156</v>
      </c>
      <c r="W366" s="0" t="n">
        <f aca="false">INDEX($K366:$O366,IF(4&lt;$E366,4,4+1))</f>
        <v>72.6154508008</v>
      </c>
      <c r="X366" s="0" t="n">
        <f aca="false">1+COUNTIF($P366:$S366,"&gt;"&amp;$P366)+(COUNTIF($P366:$S366,$P366)-1)/2</f>
        <v>1</v>
      </c>
      <c r="Y366" s="0" t="n">
        <f aca="false">1+COUNTIF($P366:$S366,"&gt;"&amp;$Q366)+(COUNTIF($P366:$S366,$Q366)-1)/2</f>
        <v>4</v>
      </c>
      <c r="Z366" s="0" t="n">
        <f aca="false">1+COUNTIF($P366:$S366,"&gt;"&amp;$R366)+(COUNTIF($P366:$S366,$R366)-1)/2</f>
        <v>3</v>
      </c>
      <c r="AA366" s="0" t="n">
        <f aca="false">1+COUNTIF($P366:$S366,"&gt;"&amp;$S366)+(COUNTIF($P366:$S366,$S366)-1)/2</f>
        <v>2</v>
      </c>
      <c r="AB366" s="0" t="n">
        <f aca="false">1+COUNTIF($T366:$W366,"&gt;"&amp;$T366)+(COUNTIF($T366:$W366,$T366)-1)/2</f>
        <v>2</v>
      </c>
      <c r="AC366" s="0" t="n">
        <f aca="false">1+COUNTIF($T366:$W366,"&gt;"&amp;$U366)+(COUNTIF($T366:$W366,$U366)-1)/2</f>
        <v>3</v>
      </c>
      <c r="AD366" s="0" t="n">
        <f aca="false">1+COUNTIF($T366:$W366,"&gt;"&amp;$V366)+(COUNTIF($T366:$W366,$V366)-1)/2</f>
        <v>4</v>
      </c>
      <c r="AE366" s="0" t="n">
        <f aca="false">1+COUNTIF($T366:$W366,"&gt;"&amp;$W366)+(COUNTIF($T366:$W366,$W366)-1)/2</f>
        <v>1</v>
      </c>
      <c r="AF366" s="0" t="n">
        <f aca="false">IFERROR(CORREL($P366:$S366,$T366:$W366),"")</f>
        <v>-0.129903714693814</v>
      </c>
      <c r="AG366" s="0" t="n">
        <f aca="false">IFERROR(CORREL($X366:$AA366,$AB366:$AE366),"")</f>
        <v>0.6</v>
      </c>
      <c r="AH366" s="0" t="n">
        <f aca="false">IFERROR((SIGN($P366-$Q366)*SIGN($T366-$U366)+SIGN($P366-$R366)*SIGN($T366-$V366)+SIGN($P366-$S366)*SIGN($T366-$W366)+SIGN($Q366-$R366)*SIGN($U366-$V366)+SIGN($Q366-$S366)*SIGN($U366-$W366)+SIGN($R366-$S366)*SIGN($V366-$W366))/SQRT((6-(($P366=$Q366)*1+($P366=$R366)*1+($P366=$S366)*1+($Q366=$R366)*1+($Q366=$S366)*1+($R366=$S366)*1))*(6-(($T366=$U366)*1+($T366=$V366)*1+($T366=$W366)*1+($U366=$V366)*1+($U366=$W366)*1+($V366=$W366)*1))),"")</f>
        <v>0.333333333333333</v>
      </c>
      <c r="AI366" s="0" t="n">
        <f aca="false">MATCH(MAX($K366:$O366),$K366:$O366,0)</f>
        <v>5</v>
      </c>
      <c r="AJ366" s="0" t="n">
        <f aca="false">IF(AI366&lt;&gt;$E366,1,0)</f>
        <v>1</v>
      </c>
      <c r="AK366" s="0" t="n">
        <f aca="false">IF(AJ366=1,INDEX($F366:$J366,AI366)/MAX($P366:$S366),"")</f>
        <v>0.578947368421053</v>
      </c>
      <c r="AL366" s="0" t="n">
        <f aca="false">IF(AJ366=1,1+COUNTIF($P366:$S366,"&gt;"&amp;INDEX($F366:$J366,AI366)),"")</f>
        <v>2</v>
      </c>
      <c r="AM366" s="0" t="n">
        <f aca="false">AVERAGE($P366:$S366)/MAX($P366:$S366)</f>
        <v>0.648496240601504</v>
      </c>
      <c r="AN366" s="0" t="n">
        <f aca="false">100-INDEX($F366:$J366,$E366)</f>
        <v>69</v>
      </c>
    </row>
    <row r="367" customFormat="false" ht="15" hidden="false" customHeight="false" outlineLevel="0" collapsed="false">
      <c r="A367" s="0" t="s">
        <v>57</v>
      </c>
      <c r="B367" s="0" t="n">
        <v>2024</v>
      </c>
      <c r="C367" s="0" t="s">
        <v>49</v>
      </c>
      <c r="D367" s="0" t="s">
        <v>43</v>
      </c>
      <c r="E367" s="0" t="n">
        <v>1</v>
      </c>
      <c r="F367" s="0" t="n">
        <v>32.3</v>
      </c>
      <c r="G367" s="0" t="n">
        <v>28.1</v>
      </c>
      <c r="H367" s="0" t="n">
        <v>13</v>
      </c>
      <c r="I367" s="0" t="n">
        <v>17.5</v>
      </c>
      <c r="J367" s="0" t="n">
        <v>8.9</v>
      </c>
      <c r="K367" s="0" t="n">
        <v>28.0860005978</v>
      </c>
      <c r="L367" s="0" t="n">
        <v>18.0081652611</v>
      </c>
      <c r="M367" s="0" t="n">
        <v>34.2938814731</v>
      </c>
      <c r="N367" s="0" t="n">
        <v>14.4999829275</v>
      </c>
      <c r="O367" s="0" t="n">
        <v>5.11196974042</v>
      </c>
      <c r="P367" s="0" t="n">
        <f aca="false">INDEX($F367:$J367,IF(1&lt;$E367,1,1+1))</f>
        <v>28.1</v>
      </c>
      <c r="Q367" s="0" t="n">
        <f aca="false">INDEX($F367:$J367,IF(2&lt;$E367,2,2+1))</f>
        <v>13</v>
      </c>
      <c r="R367" s="0" t="n">
        <f aca="false">INDEX($F367:$J367,IF(3&lt;$E367,3,3+1))</f>
        <v>17.5</v>
      </c>
      <c r="S367" s="0" t="n">
        <f aca="false">INDEX($F367:$J367,IF(4&lt;$E367,4,4+1))</f>
        <v>8.9</v>
      </c>
      <c r="T367" s="0" t="n">
        <f aca="false">INDEX($K367:$O367,IF(1&lt;$E367,1,1+1))</f>
        <v>18.0081652611</v>
      </c>
      <c r="U367" s="0" t="n">
        <f aca="false">INDEX($K367:$O367,IF(2&lt;$E367,2,2+1))</f>
        <v>34.2938814731</v>
      </c>
      <c r="V367" s="0" t="n">
        <f aca="false">INDEX($K367:$O367,IF(3&lt;$E367,3,3+1))</f>
        <v>14.4999829275</v>
      </c>
      <c r="W367" s="0" t="n">
        <f aca="false">INDEX($K367:$O367,IF(4&lt;$E367,4,4+1))</f>
        <v>5.11196974042</v>
      </c>
      <c r="X367" s="0" t="n">
        <f aca="false">1+COUNTIF($P367:$S367,"&gt;"&amp;$P367)+(COUNTIF($P367:$S367,$P367)-1)/2</f>
        <v>1</v>
      </c>
      <c r="Y367" s="0" t="n">
        <f aca="false">1+COUNTIF($P367:$S367,"&gt;"&amp;$Q367)+(COUNTIF($P367:$S367,$Q367)-1)/2</f>
        <v>3</v>
      </c>
      <c r="Z367" s="0" t="n">
        <f aca="false">1+COUNTIF($P367:$S367,"&gt;"&amp;$R367)+(COUNTIF($P367:$S367,$R367)-1)/2</f>
        <v>2</v>
      </c>
      <c r="AA367" s="0" t="n">
        <f aca="false">1+COUNTIF($P367:$S367,"&gt;"&amp;$S367)+(COUNTIF($P367:$S367,$S367)-1)/2</f>
        <v>4</v>
      </c>
      <c r="AB367" s="0" t="n">
        <f aca="false">1+COUNTIF($T367:$W367,"&gt;"&amp;$T367)+(COUNTIF($T367:$W367,$T367)-1)/2</f>
        <v>2</v>
      </c>
      <c r="AC367" s="0" t="n">
        <f aca="false">1+COUNTIF($T367:$W367,"&gt;"&amp;$U367)+(COUNTIF($T367:$W367,$U367)-1)/2</f>
        <v>1</v>
      </c>
      <c r="AD367" s="0" t="n">
        <f aca="false">1+COUNTIF($T367:$W367,"&gt;"&amp;$V367)+(COUNTIF($T367:$W367,$V367)-1)/2</f>
        <v>3</v>
      </c>
      <c r="AE367" s="0" t="n">
        <f aca="false">1+COUNTIF($T367:$W367,"&gt;"&amp;$W367)+(COUNTIF($T367:$W367,$W367)-1)/2</f>
        <v>4</v>
      </c>
      <c r="AF367" s="0" t="n">
        <f aca="false">IFERROR(CORREL($P367:$S367,$T367:$W367),"")</f>
        <v>0.124474847303261</v>
      </c>
      <c r="AG367" s="0" t="n">
        <f aca="false">IFERROR(CORREL($X367:$AA367,$AB367:$AE367),"")</f>
        <v>0.4</v>
      </c>
      <c r="AH367" s="0" t="n">
        <f aca="false">IFERROR((SIGN($P367-$Q367)*SIGN($T367-$U367)+SIGN($P367-$R367)*SIGN($T367-$V367)+SIGN($P367-$S367)*SIGN($T367-$W367)+SIGN($Q367-$R367)*SIGN($U367-$V367)+SIGN($Q367-$S367)*SIGN($U367-$W367)+SIGN($R367-$S367)*SIGN($V367-$W367))/SQRT((6-(($P367=$Q367)*1+($P367=$R367)*1+($P367=$S367)*1+($Q367=$R367)*1+($Q367=$S367)*1+($R367=$S367)*1))*(6-(($T367=$U367)*1+($T367=$V367)*1+($T367=$W367)*1+($U367=$V367)*1+($U367=$W367)*1+($V367=$W367)*1))),"")</f>
        <v>0.333333333333333</v>
      </c>
      <c r="AI367" s="0" t="n">
        <f aca="false">MATCH(MAX($K367:$O367),$K367:$O367,0)</f>
        <v>3</v>
      </c>
      <c r="AJ367" s="0" t="n">
        <f aca="false">IF(AI367&lt;&gt;$E367,1,0)</f>
        <v>1</v>
      </c>
      <c r="AK367" s="0" t="n">
        <f aca="false">IF(AJ367=1,INDEX($F367:$J367,AI367)/MAX($P367:$S367),"")</f>
        <v>0.462633451957295</v>
      </c>
      <c r="AL367" s="0" t="n">
        <f aca="false">IF(AJ367=1,1+COUNTIF($P367:$S367,"&gt;"&amp;INDEX($F367:$J367,AI367)),"")</f>
        <v>3</v>
      </c>
      <c r="AM367" s="0" t="n">
        <f aca="false">AVERAGE($P367:$S367)/MAX($P367:$S367)</f>
        <v>0.600533807829181</v>
      </c>
      <c r="AN367" s="0" t="n">
        <f aca="false">100-INDEX($F367:$J367,$E367)</f>
        <v>67.7</v>
      </c>
    </row>
    <row r="368" customFormat="false" ht="15" hidden="false" customHeight="false" outlineLevel="0" collapsed="false">
      <c r="A368" s="0" t="s">
        <v>57</v>
      </c>
      <c r="B368" s="0" t="n">
        <v>2024</v>
      </c>
      <c r="C368" s="0" t="s">
        <v>49</v>
      </c>
      <c r="D368" s="0" t="s">
        <v>44</v>
      </c>
      <c r="E368" s="0" t="n">
        <v>1</v>
      </c>
      <c r="F368" s="0" t="n">
        <v>44.4</v>
      </c>
      <c r="G368" s="0" t="n">
        <v>12.5</v>
      </c>
      <c r="H368" s="0" t="n">
        <v>17.5</v>
      </c>
      <c r="I368" s="0" t="n">
        <v>18.1</v>
      </c>
      <c r="J368" s="0" t="n">
        <v>7.5</v>
      </c>
      <c r="K368" s="0" t="n">
        <v>55.1770155861</v>
      </c>
      <c r="L368" s="0" t="n">
        <v>16.6666878326</v>
      </c>
      <c r="M368" s="0" t="n">
        <v>2.26811772021</v>
      </c>
      <c r="N368" s="0" t="n">
        <v>15.591583165</v>
      </c>
      <c r="O368" s="0" t="n">
        <v>10.2965956961</v>
      </c>
      <c r="P368" s="0" t="n">
        <f aca="false">INDEX($F368:$J368,IF(1&lt;$E368,1,1+1))</f>
        <v>12.5</v>
      </c>
      <c r="Q368" s="0" t="n">
        <f aca="false">INDEX($F368:$J368,IF(2&lt;$E368,2,2+1))</f>
        <v>17.5</v>
      </c>
      <c r="R368" s="0" t="n">
        <f aca="false">INDEX($F368:$J368,IF(3&lt;$E368,3,3+1))</f>
        <v>18.1</v>
      </c>
      <c r="S368" s="0" t="n">
        <f aca="false">INDEX($F368:$J368,IF(4&lt;$E368,4,4+1))</f>
        <v>7.5</v>
      </c>
      <c r="T368" s="0" t="n">
        <f aca="false">INDEX($K368:$O368,IF(1&lt;$E368,1,1+1))</f>
        <v>16.6666878326</v>
      </c>
      <c r="U368" s="0" t="n">
        <f aca="false">INDEX($K368:$O368,IF(2&lt;$E368,2,2+1))</f>
        <v>2.26811772021</v>
      </c>
      <c r="V368" s="0" t="n">
        <f aca="false">INDEX($K368:$O368,IF(3&lt;$E368,3,3+1))</f>
        <v>15.591583165</v>
      </c>
      <c r="W368" s="0" t="n">
        <f aca="false">INDEX($K368:$O368,IF(4&lt;$E368,4,4+1))</f>
        <v>10.2965956961</v>
      </c>
      <c r="X368" s="0" t="n">
        <f aca="false">1+COUNTIF($P368:$S368,"&gt;"&amp;$P368)+(COUNTIF($P368:$S368,$P368)-1)/2</f>
        <v>3</v>
      </c>
      <c r="Y368" s="0" t="n">
        <f aca="false">1+COUNTIF($P368:$S368,"&gt;"&amp;$Q368)+(COUNTIF($P368:$S368,$Q368)-1)/2</f>
        <v>2</v>
      </c>
      <c r="Z368" s="0" t="n">
        <f aca="false">1+COUNTIF($P368:$S368,"&gt;"&amp;$R368)+(COUNTIF($P368:$S368,$R368)-1)/2</f>
        <v>1</v>
      </c>
      <c r="AA368" s="0" t="n">
        <f aca="false">1+COUNTIF($P368:$S368,"&gt;"&amp;$S368)+(COUNTIF($P368:$S368,$S368)-1)/2</f>
        <v>4</v>
      </c>
      <c r="AB368" s="0" t="n">
        <f aca="false">1+COUNTIF($T368:$W368,"&gt;"&amp;$T368)+(COUNTIF($T368:$W368,$T368)-1)/2</f>
        <v>1</v>
      </c>
      <c r="AC368" s="0" t="n">
        <f aca="false">1+COUNTIF($T368:$W368,"&gt;"&amp;$U368)+(COUNTIF($T368:$W368,$U368)-1)/2</f>
        <v>4</v>
      </c>
      <c r="AD368" s="0" t="n">
        <f aca="false">1+COUNTIF($T368:$W368,"&gt;"&amp;$V368)+(COUNTIF($T368:$W368,$V368)-1)/2</f>
        <v>2</v>
      </c>
      <c r="AE368" s="0" t="n">
        <f aca="false">1+COUNTIF($T368:$W368,"&gt;"&amp;$W368)+(COUNTIF($T368:$W368,$W368)-1)/2</f>
        <v>3</v>
      </c>
      <c r="AF368" s="0" t="n">
        <f aca="false">IFERROR(CORREL($P368:$S368,$T368:$W368),"")</f>
        <v>-0.159526568220092</v>
      </c>
      <c r="AG368" s="0" t="n">
        <f aca="false">IFERROR(CORREL($X368:$AA368,$AB368:$AE368),"")</f>
        <v>0</v>
      </c>
      <c r="AH368" s="0" t="n">
        <f aca="false">IFERROR((SIGN($P368-$Q368)*SIGN($T368-$U368)+SIGN($P368-$R368)*SIGN($T368-$V368)+SIGN($P368-$S368)*SIGN($T368-$W368)+SIGN($Q368-$R368)*SIGN($U368-$V368)+SIGN($Q368-$S368)*SIGN($U368-$W368)+SIGN($R368-$S368)*SIGN($V368-$W368))/SQRT((6-(($P368=$Q368)*1+($P368=$R368)*1+($P368=$S368)*1+($Q368=$R368)*1+($Q368=$S368)*1+($R368=$S368)*1))*(6-(($T368=$U368)*1+($T368=$V368)*1+($T368=$W368)*1+($U368=$V368)*1+($U368=$W368)*1+($V368=$W368)*1))),"")</f>
        <v>0</v>
      </c>
      <c r="AI368" s="0" t="n">
        <f aca="false">MATCH(MAX($K368:$O368),$K368:$O368,0)</f>
        <v>1</v>
      </c>
      <c r="AJ368" s="0" t="n">
        <f aca="false">IF(AI368&lt;&gt;$E368,1,0)</f>
        <v>0</v>
      </c>
      <c r="AK368" s="0" t="str">
        <f aca="false">IF(AJ368=1,INDEX($F368:$J368,AI368)/MAX($P368:$S368),"")</f>
        <v/>
      </c>
      <c r="AL368" s="0" t="str">
        <f aca="false">IF(AJ368=1,1+COUNTIF($P368:$S368,"&gt;"&amp;INDEX($F368:$J368,AI368)),"")</f>
        <v/>
      </c>
      <c r="AM368" s="0" t="n">
        <f aca="false">AVERAGE($P368:$S368)/MAX($P368:$S368)</f>
        <v>0.767955801104972</v>
      </c>
      <c r="AN368" s="0" t="n">
        <f aca="false">100-INDEX($F368:$J368,$E368)</f>
        <v>55.6</v>
      </c>
    </row>
    <row r="369" customFormat="false" ht="15" hidden="false" customHeight="false" outlineLevel="0" collapsed="false">
      <c r="A369" s="0" t="s">
        <v>57</v>
      </c>
      <c r="B369" s="0" t="n">
        <v>2024</v>
      </c>
      <c r="C369" s="0" t="s">
        <v>49</v>
      </c>
      <c r="D369" s="0" t="s">
        <v>45</v>
      </c>
      <c r="E369" s="0" t="n">
        <v>5</v>
      </c>
      <c r="F369" s="0" t="n">
        <v>19.7</v>
      </c>
      <c r="G369" s="0" t="n">
        <v>16.3</v>
      </c>
      <c r="H369" s="0" t="n">
        <v>22</v>
      </c>
      <c r="I369" s="0" t="n">
        <v>13</v>
      </c>
      <c r="J369" s="0" t="n">
        <v>29.1</v>
      </c>
      <c r="K369" s="0" t="n">
        <v>26.2804536089</v>
      </c>
      <c r="L369" s="0" t="n">
        <v>13.2032232985</v>
      </c>
      <c r="M369" s="0" t="n">
        <v>16.4694248901</v>
      </c>
      <c r="N369" s="0" t="n">
        <v>22.0104734348</v>
      </c>
      <c r="O369" s="0" t="n">
        <v>22.0364247676</v>
      </c>
      <c r="P369" s="0" t="n">
        <f aca="false">INDEX($F369:$J369,IF(1&lt;$E369,1,1+1))</f>
        <v>19.7</v>
      </c>
      <c r="Q369" s="0" t="n">
        <f aca="false">INDEX($F369:$J369,IF(2&lt;$E369,2,2+1))</f>
        <v>16.3</v>
      </c>
      <c r="R369" s="0" t="n">
        <f aca="false">INDEX($F369:$J369,IF(3&lt;$E369,3,3+1))</f>
        <v>22</v>
      </c>
      <c r="S369" s="0" t="n">
        <f aca="false">INDEX($F369:$J369,IF(4&lt;$E369,4,4+1))</f>
        <v>13</v>
      </c>
      <c r="T369" s="0" t="n">
        <f aca="false">INDEX($K369:$O369,IF(1&lt;$E369,1,1+1))</f>
        <v>26.2804536089</v>
      </c>
      <c r="U369" s="0" t="n">
        <f aca="false">INDEX($K369:$O369,IF(2&lt;$E369,2,2+1))</f>
        <v>13.2032232985</v>
      </c>
      <c r="V369" s="0" t="n">
        <f aca="false">INDEX($K369:$O369,IF(3&lt;$E369,3,3+1))</f>
        <v>16.4694248901</v>
      </c>
      <c r="W369" s="0" t="n">
        <f aca="false">INDEX($K369:$O369,IF(4&lt;$E369,4,4+1))</f>
        <v>22.0104734348</v>
      </c>
      <c r="X369" s="0" t="n">
        <f aca="false">1+COUNTIF($P369:$S369,"&gt;"&amp;$P369)+(COUNTIF($P369:$S369,$P369)-1)/2</f>
        <v>2</v>
      </c>
      <c r="Y369" s="0" t="n">
        <f aca="false">1+COUNTIF($P369:$S369,"&gt;"&amp;$Q369)+(COUNTIF($P369:$S369,$Q369)-1)/2</f>
        <v>3</v>
      </c>
      <c r="Z369" s="0" t="n">
        <f aca="false">1+COUNTIF($P369:$S369,"&gt;"&amp;$R369)+(COUNTIF($P369:$S369,$R369)-1)/2</f>
        <v>1</v>
      </c>
      <c r="AA369" s="0" t="n">
        <f aca="false">1+COUNTIF($P369:$S369,"&gt;"&amp;$S369)+(COUNTIF($P369:$S369,$S369)-1)/2</f>
        <v>4</v>
      </c>
      <c r="AB369" s="0" t="n">
        <f aca="false">1+COUNTIF($T369:$W369,"&gt;"&amp;$T369)+(COUNTIF($T369:$W369,$T369)-1)/2</f>
        <v>1</v>
      </c>
      <c r="AC369" s="0" t="n">
        <f aca="false">1+COUNTIF($T369:$W369,"&gt;"&amp;$U369)+(COUNTIF($T369:$W369,$U369)-1)/2</f>
        <v>4</v>
      </c>
      <c r="AD369" s="0" t="n">
        <f aca="false">1+COUNTIF($T369:$W369,"&gt;"&amp;$V369)+(COUNTIF($T369:$W369,$V369)-1)/2</f>
        <v>3</v>
      </c>
      <c r="AE369" s="0" t="n">
        <f aca="false">1+COUNTIF($T369:$W369,"&gt;"&amp;$W369)+(COUNTIF($T369:$W369,$W369)-1)/2</f>
        <v>2</v>
      </c>
      <c r="AF369" s="0" t="n">
        <f aca="false">IFERROR(CORREL($P369:$S369,$T369:$W369),"")</f>
        <v>-0.0357553693272633</v>
      </c>
      <c r="AG369" s="0" t="n">
        <f aca="false">IFERROR(CORREL($X369:$AA369,$AB369:$AE369),"")</f>
        <v>0</v>
      </c>
      <c r="AH369" s="0" t="n">
        <f aca="false">IFERROR((SIGN($P369-$Q369)*SIGN($T369-$U369)+SIGN($P369-$R369)*SIGN($T369-$V369)+SIGN($P369-$S369)*SIGN($T369-$W369)+SIGN($Q369-$R369)*SIGN($U369-$V369)+SIGN($Q369-$S369)*SIGN($U369-$W369)+SIGN($R369-$S369)*SIGN($V369-$W369))/SQRT((6-(($P369=$Q369)*1+($P369=$R369)*1+($P369=$S369)*1+($Q369=$R369)*1+($Q369=$S369)*1+($R369=$S369)*1))*(6-(($T369=$U369)*1+($T369=$V369)*1+($T369=$W369)*1+($U369=$V369)*1+($U369=$W369)*1+($V369=$W369)*1))),"")</f>
        <v>0</v>
      </c>
      <c r="AI369" s="0" t="n">
        <f aca="false">MATCH(MAX($K369:$O369),$K369:$O369,0)</f>
        <v>1</v>
      </c>
      <c r="AJ369" s="0" t="n">
        <f aca="false">IF(AI369&lt;&gt;$E369,1,0)</f>
        <v>1</v>
      </c>
      <c r="AK369" s="0" t="n">
        <f aca="false">IF(AJ369=1,INDEX($F369:$J369,AI369)/MAX($P369:$S369),"")</f>
        <v>0.895454545454545</v>
      </c>
      <c r="AL369" s="0" t="n">
        <f aca="false">IF(AJ369=1,1+COUNTIF($P369:$S369,"&gt;"&amp;INDEX($F369:$J369,AI369)),"")</f>
        <v>2</v>
      </c>
      <c r="AM369" s="0" t="n">
        <f aca="false">AVERAGE($P369:$S369)/MAX($P369:$S369)</f>
        <v>0.806818181818182</v>
      </c>
      <c r="AN369" s="0" t="n">
        <f aca="false">100-INDEX($F369:$J369,$E369)</f>
        <v>70.9</v>
      </c>
    </row>
    <row r="370" customFormat="false" ht="15" hidden="false" customHeight="false" outlineLevel="0" collapsed="false">
      <c r="A370" s="0" t="s">
        <v>57</v>
      </c>
      <c r="B370" s="0" t="n">
        <v>2024</v>
      </c>
      <c r="C370" s="0" t="s">
        <v>51</v>
      </c>
      <c r="D370" s="0" t="s">
        <v>42</v>
      </c>
      <c r="E370" s="0" t="n">
        <v>1</v>
      </c>
      <c r="F370" s="0" t="n">
        <v>49.6</v>
      </c>
      <c r="G370" s="0" t="n">
        <v>13.4</v>
      </c>
      <c r="H370" s="0" t="n">
        <v>14.5</v>
      </c>
      <c r="I370" s="0" t="n">
        <v>11</v>
      </c>
      <c r="J370" s="0" t="n">
        <v>11.5</v>
      </c>
      <c r="K370" s="0" t="n">
        <v>47.0497936894</v>
      </c>
      <c r="L370" s="0" t="n">
        <v>46.7280358532</v>
      </c>
      <c r="M370" s="0" t="n">
        <v>3.57815650725</v>
      </c>
      <c r="N370" s="0" t="n">
        <v>0.843240749441</v>
      </c>
      <c r="O370" s="0" t="n">
        <v>1.8007732007</v>
      </c>
      <c r="P370" s="0" t="n">
        <f aca="false">INDEX($F370:$J370,IF(1&lt;$E370,1,1+1))</f>
        <v>13.4</v>
      </c>
      <c r="Q370" s="0" t="n">
        <f aca="false">INDEX($F370:$J370,IF(2&lt;$E370,2,2+1))</f>
        <v>14.5</v>
      </c>
      <c r="R370" s="0" t="n">
        <f aca="false">INDEX($F370:$J370,IF(3&lt;$E370,3,3+1))</f>
        <v>11</v>
      </c>
      <c r="S370" s="0" t="n">
        <f aca="false">INDEX($F370:$J370,IF(4&lt;$E370,4,4+1))</f>
        <v>11.5</v>
      </c>
      <c r="T370" s="0" t="n">
        <f aca="false">INDEX($K370:$O370,IF(1&lt;$E370,1,1+1))</f>
        <v>46.7280358532</v>
      </c>
      <c r="U370" s="0" t="n">
        <f aca="false">INDEX($K370:$O370,IF(2&lt;$E370,2,2+1))</f>
        <v>3.57815650725</v>
      </c>
      <c r="V370" s="0" t="n">
        <f aca="false">INDEX($K370:$O370,IF(3&lt;$E370,3,3+1))</f>
        <v>0.843240749441</v>
      </c>
      <c r="W370" s="0" t="n">
        <f aca="false">INDEX($K370:$O370,IF(4&lt;$E370,4,4+1))</f>
        <v>1.8007732007</v>
      </c>
      <c r="X370" s="0" t="n">
        <f aca="false">1+COUNTIF($P370:$S370,"&gt;"&amp;$P370)+(COUNTIF($P370:$S370,$P370)-1)/2</f>
        <v>2</v>
      </c>
      <c r="Y370" s="0" t="n">
        <f aca="false">1+COUNTIF($P370:$S370,"&gt;"&amp;$Q370)+(COUNTIF($P370:$S370,$Q370)-1)/2</f>
        <v>1</v>
      </c>
      <c r="Z370" s="0" t="n">
        <f aca="false">1+COUNTIF($P370:$S370,"&gt;"&amp;$R370)+(COUNTIF($P370:$S370,$R370)-1)/2</f>
        <v>4</v>
      </c>
      <c r="AA370" s="0" t="n">
        <f aca="false">1+COUNTIF($P370:$S370,"&gt;"&amp;$S370)+(COUNTIF($P370:$S370,$S370)-1)/2</f>
        <v>3</v>
      </c>
      <c r="AB370" s="0" t="n">
        <f aca="false">1+COUNTIF($T370:$W370,"&gt;"&amp;$T370)+(COUNTIF($T370:$W370,$T370)-1)/2</f>
        <v>1</v>
      </c>
      <c r="AC370" s="0" t="n">
        <f aca="false">1+COUNTIF($T370:$W370,"&gt;"&amp;$U370)+(COUNTIF($T370:$W370,$U370)-1)/2</f>
        <v>2</v>
      </c>
      <c r="AD370" s="0" t="n">
        <f aca="false">1+COUNTIF($T370:$W370,"&gt;"&amp;$V370)+(COUNTIF($T370:$W370,$V370)-1)/2</f>
        <v>4</v>
      </c>
      <c r="AE370" s="0" t="n">
        <f aca="false">1+COUNTIF($T370:$W370,"&gt;"&amp;$W370)+(COUNTIF($T370:$W370,$W370)-1)/2</f>
        <v>3</v>
      </c>
      <c r="AF370" s="0" t="n">
        <f aca="false">IFERROR(CORREL($P370:$S370,$T370:$W370),"")</f>
        <v>0.372533180664655</v>
      </c>
      <c r="AG370" s="0" t="n">
        <f aca="false">IFERROR(CORREL($X370:$AA370,$AB370:$AE370),"")</f>
        <v>0.8</v>
      </c>
      <c r="AH370" s="0" t="n">
        <f aca="false">IFERROR((SIGN($P370-$Q370)*SIGN($T370-$U370)+SIGN($P370-$R370)*SIGN($T370-$V370)+SIGN($P370-$S370)*SIGN($T370-$W370)+SIGN($Q370-$R370)*SIGN($U370-$V370)+SIGN($Q370-$S370)*SIGN($U370-$W370)+SIGN($R370-$S370)*SIGN($V370-$W370))/SQRT((6-(($P370=$Q370)*1+($P370=$R370)*1+($P370=$S370)*1+($Q370=$R370)*1+($Q370=$S370)*1+($R370=$S370)*1))*(6-(($T370=$U370)*1+($T370=$V370)*1+($T370=$W370)*1+($U370=$V370)*1+($U370=$W370)*1+($V370=$W370)*1))),"")</f>
        <v>0.666666666666667</v>
      </c>
      <c r="AI370" s="0" t="n">
        <f aca="false">MATCH(MAX($K370:$O370),$K370:$O370,0)</f>
        <v>1</v>
      </c>
      <c r="AJ370" s="0" t="n">
        <f aca="false">IF(AI370&lt;&gt;$E370,1,0)</f>
        <v>0</v>
      </c>
      <c r="AK370" s="0" t="str">
        <f aca="false">IF(AJ370=1,INDEX($F370:$J370,AI370)/MAX($P370:$S370),"")</f>
        <v/>
      </c>
      <c r="AL370" s="0" t="str">
        <f aca="false">IF(AJ370=1,1+COUNTIF($P370:$S370,"&gt;"&amp;INDEX($F370:$J370,AI370)),"")</f>
        <v/>
      </c>
      <c r="AM370" s="0" t="n">
        <f aca="false">AVERAGE($P370:$S370)/MAX($P370:$S370)</f>
        <v>0.868965517241379</v>
      </c>
      <c r="AN370" s="0" t="n">
        <f aca="false">100-INDEX($F370:$J370,$E370)</f>
        <v>50.4</v>
      </c>
    </row>
    <row r="371" customFormat="false" ht="15" hidden="false" customHeight="false" outlineLevel="0" collapsed="false">
      <c r="A371" s="0" t="s">
        <v>57</v>
      </c>
      <c r="B371" s="0" t="n">
        <v>2024</v>
      </c>
      <c r="C371" s="0" t="s">
        <v>51</v>
      </c>
      <c r="D371" s="0" t="s">
        <v>43</v>
      </c>
      <c r="E371" s="0" t="n">
        <v>3</v>
      </c>
      <c r="F371" s="0" t="n">
        <v>14.7</v>
      </c>
      <c r="G371" s="0" t="n">
        <v>10.7</v>
      </c>
      <c r="H371" s="0" t="n">
        <v>50.7</v>
      </c>
      <c r="I371" s="0" t="n">
        <v>10.2</v>
      </c>
      <c r="J371" s="0" t="n">
        <v>13.7</v>
      </c>
      <c r="K371" s="0" t="n">
        <v>0.0308244598084</v>
      </c>
      <c r="L371" s="0" t="n">
        <v>0.0721338092566</v>
      </c>
      <c r="M371" s="0" t="n">
        <v>38.4368824758</v>
      </c>
      <c r="N371" s="0" t="n">
        <v>30.1465169659</v>
      </c>
      <c r="O371" s="0" t="n">
        <v>31.3136422893</v>
      </c>
      <c r="P371" s="0" t="n">
        <f aca="false">INDEX($F371:$J371,IF(1&lt;$E371,1,1+1))</f>
        <v>14.7</v>
      </c>
      <c r="Q371" s="0" t="n">
        <f aca="false">INDEX($F371:$J371,IF(2&lt;$E371,2,2+1))</f>
        <v>10.7</v>
      </c>
      <c r="R371" s="0" t="n">
        <f aca="false">INDEX($F371:$J371,IF(3&lt;$E371,3,3+1))</f>
        <v>10.2</v>
      </c>
      <c r="S371" s="0" t="n">
        <f aca="false">INDEX($F371:$J371,IF(4&lt;$E371,4,4+1))</f>
        <v>13.7</v>
      </c>
      <c r="T371" s="0" t="n">
        <f aca="false">INDEX($K371:$O371,IF(1&lt;$E371,1,1+1))</f>
        <v>0.0308244598084</v>
      </c>
      <c r="U371" s="0" t="n">
        <f aca="false">INDEX($K371:$O371,IF(2&lt;$E371,2,2+1))</f>
        <v>0.0721338092566</v>
      </c>
      <c r="V371" s="0" t="n">
        <f aca="false">INDEX($K371:$O371,IF(3&lt;$E371,3,3+1))</f>
        <v>30.1465169659</v>
      </c>
      <c r="W371" s="0" t="n">
        <f aca="false">INDEX($K371:$O371,IF(4&lt;$E371,4,4+1))</f>
        <v>31.3136422893</v>
      </c>
      <c r="X371" s="0" t="n">
        <f aca="false">1+COUNTIF($P371:$S371,"&gt;"&amp;$P371)+(COUNTIF($P371:$S371,$P371)-1)/2</f>
        <v>1</v>
      </c>
      <c r="Y371" s="0" t="n">
        <f aca="false">1+COUNTIF($P371:$S371,"&gt;"&amp;$Q371)+(COUNTIF($P371:$S371,$Q371)-1)/2</f>
        <v>3</v>
      </c>
      <c r="Z371" s="0" t="n">
        <f aca="false">1+COUNTIF($P371:$S371,"&gt;"&amp;$R371)+(COUNTIF($P371:$S371,$R371)-1)/2</f>
        <v>4</v>
      </c>
      <c r="AA371" s="0" t="n">
        <f aca="false">1+COUNTIF($P371:$S371,"&gt;"&amp;$S371)+(COUNTIF($P371:$S371,$S371)-1)/2</f>
        <v>2</v>
      </c>
      <c r="AB371" s="0" t="n">
        <f aca="false">1+COUNTIF($T371:$W371,"&gt;"&amp;$T371)+(COUNTIF($T371:$W371,$T371)-1)/2</f>
        <v>4</v>
      </c>
      <c r="AC371" s="0" t="n">
        <f aca="false">1+COUNTIF($T371:$W371,"&gt;"&amp;$U371)+(COUNTIF($T371:$W371,$U371)-1)/2</f>
        <v>3</v>
      </c>
      <c r="AD371" s="0" t="n">
        <f aca="false">1+COUNTIF($T371:$W371,"&gt;"&amp;$V371)+(COUNTIF($T371:$W371,$V371)-1)/2</f>
        <v>2</v>
      </c>
      <c r="AE371" s="0" t="n">
        <f aca="false">1+COUNTIF($T371:$W371,"&gt;"&amp;$W371)+(COUNTIF($T371:$W371,$W371)-1)/2</f>
        <v>1</v>
      </c>
      <c r="AF371" s="0" t="n">
        <f aca="false">IFERROR(CORREL($P371:$S371,$T371:$W371),"")</f>
        <v>-0.178964446716872</v>
      </c>
      <c r="AG371" s="0" t="n">
        <f aca="false">IFERROR(CORREL($X371:$AA371,$AB371:$AE371),"")</f>
        <v>-0.4</v>
      </c>
      <c r="AH371" s="0" t="n">
        <f aca="false">IFERROR((SIGN($P371-$Q371)*SIGN($T371-$U371)+SIGN($P371-$R371)*SIGN($T371-$V371)+SIGN($P371-$S371)*SIGN($T371-$W371)+SIGN($Q371-$R371)*SIGN($U371-$V371)+SIGN($Q371-$S371)*SIGN($U371-$W371)+SIGN($R371-$S371)*SIGN($V371-$W371))/SQRT((6-(($P371=$Q371)*1+($P371=$R371)*1+($P371=$S371)*1+($Q371=$R371)*1+($Q371=$S371)*1+($R371=$S371)*1))*(6-(($T371=$U371)*1+($T371=$V371)*1+($T371=$W371)*1+($U371=$V371)*1+($U371=$W371)*1+($V371=$W371)*1))),"")</f>
        <v>-0.333333333333333</v>
      </c>
      <c r="AI371" s="0" t="n">
        <f aca="false">MATCH(MAX($K371:$O371),$K371:$O371,0)</f>
        <v>3</v>
      </c>
      <c r="AJ371" s="0" t="n">
        <f aca="false">IF(AI371&lt;&gt;$E371,1,0)</f>
        <v>0</v>
      </c>
      <c r="AK371" s="0" t="str">
        <f aca="false">IF(AJ371=1,INDEX($F371:$J371,AI371)/MAX($P371:$S371),"")</f>
        <v/>
      </c>
      <c r="AL371" s="0" t="str">
        <f aca="false">IF(AJ371=1,1+COUNTIF($P371:$S371,"&gt;"&amp;INDEX($F371:$J371,AI371)),"")</f>
        <v/>
      </c>
      <c r="AM371" s="0" t="n">
        <f aca="false">AVERAGE($P371:$S371)/MAX($P371:$S371)</f>
        <v>0.83843537414966</v>
      </c>
      <c r="AN371" s="0" t="n">
        <f aca="false">100-INDEX($F371:$J371,$E371)</f>
        <v>49.3</v>
      </c>
    </row>
    <row r="372" customFormat="false" ht="15" hidden="false" customHeight="false" outlineLevel="0" collapsed="false">
      <c r="A372" s="0" t="s">
        <v>57</v>
      </c>
      <c r="B372" s="0" t="n">
        <v>2024</v>
      </c>
      <c r="C372" s="0" t="s">
        <v>51</v>
      </c>
      <c r="D372" s="0" t="s">
        <v>44</v>
      </c>
      <c r="E372" s="0" t="n">
        <v>1</v>
      </c>
      <c r="F372" s="0" t="n">
        <v>32.7</v>
      </c>
      <c r="G372" s="0" t="n">
        <v>20.1</v>
      </c>
      <c r="H372" s="0" t="n">
        <v>12.4</v>
      </c>
      <c r="I372" s="0" t="n">
        <v>17.9</v>
      </c>
      <c r="J372" s="0" t="n">
        <v>16.8</v>
      </c>
      <c r="K372" s="0" t="n">
        <v>7.08779804784</v>
      </c>
      <c r="L372" s="0" t="n">
        <v>31.9387843691</v>
      </c>
      <c r="M372" s="0" t="n">
        <v>13.5332599425</v>
      </c>
      <c r="N372" s="0" t="n">
        <v>16.8448712663</v>
      </c>
      <c r="O372" s="0" t="n">
        <v>30.5952863743</v>
      </c>
      <c r="P372" s="0" t="n">
        <f aca="false">INDEX($F372:$J372,IF(1&lt;$E372,1,1+1))</f>
        <v>20.1</v>
      </c>
      <c r="Q372" s="0" t="n">
        <f aca="false">INDEX($F372:$J372,IF(2&lt;$E372,2,2+1))</f>
        <v>12.4</v>
      </c>
      <c r="R372" s="0" t="n">
        <f aca="false">INDEX($F372:$J372,IF(3&lt;$E372,3,3+1))</f>
        <v>17.9</v>
      </c>
      <c r="S372" s="0" t="n">
        <f aca="false">INDEX($F372:$J372,IF(4&lt;$E372,4,4+1))</f>
        <v>16.8</v>
      </c>
      <c r="T372" s="0" t="n">
        <f aca="false">INDEX($K372:$O372,IF(1&lt;$E372,1,1+1))</f>
        <v>31.9387843691</v>
      </c>
      <c r="U372" s="0" t="n">
        <f aca="false">INDEX($K372:$O372,IF(2&lt;$E372,2,2+1))</f>
        <v>13.5332599425</v>
      </c>
      <c r="V372" s="0" t="n">
        <f aca="false">INDEX($K372:$O372,IF(3&lt;$E372,3,3+1))</f>
        <v>16.8448712663</v>
      </c>
      <c r="W372" s="0" t="n">
        <f aca="false">INDEX($K372:$O372,IF(4&lt;$E372,4,4+1))</f>
        <v>30.5952863743</v>
      </c>
      <c r="X372" s="0" t="n">
        <f aca="false">1+COUNTIF($P372:$S372,"&gt;"&amp;$P372)+(COUNTIF($P372:$S372,$P372)-1)/2</f>
        <v>1</v>
      </c>
      <c r="Y372" s="0" t="n">
        <f aca="false">1+COUNTIF($P372:$S372,"&gt;"&amp;$Q372)+(COUNTIF($P372:$S372,$Q372)-1)/2</f>
        <v>4</v>
      </c>
      <c r="Z372" s="0" t="n">
        <f aca="false">1+COUNTIF($P372:$S372,"&gt;"&amp;$R372)+(COUNTIF($P372:$S372,$R372)-1)/2</f>
        <v>2</v>
      </c>
      <c r="AA372" s="0" t="n">
        <f aca="false">1+COUNTIF($P372:$S372,"&gt;"&amp;$S372)+(COUNTIF($P372:$S372,$S372)-1)/2</f>
        <v>3</v>
      </c>
      <c r="AB372" s="0" t="n">
        <f aca="false">1+COUNTIF($T372:$W372,"&gt;"&amp;$T372)+(COUNTIF($T372:$W372,$T372)-1)/2</f>
        <v>1</v>
      </c>
      <c r="AC372" s="0" t="n">
        <f aca="false">1+COUNTIF($T372:$W372,"&gt;"&amp;$U372)+(COUNTIF($T372:$W372,$U372)-1)/2</f>
        <v>4</v>
      </c>
      <c r="AD372" s="0" t="n">
        <f aca="false">1+COUNTIF($T372:$W372,"&gt;"&amp;$V372)+(COUNTIF($T372:$W372,$V372)-1)/2</f>
        <v>3</v>
      </c>
      <c r="AE372" s="0" t="n">
        <f aca="false">1+COUNTIF($T372:$W372,"&gt;"&amp;$W372)+(COUNTIF($T372:$W372,$W372)-1)/2</f>
        <v>2</v>
      </c>
      <c r="AF372" s="0" t="n">
        <f aca="false">IFERROR(CORREL($P372:$S372,$T372:$W372),"")</f>
        <v>0.705258071778976</v>
      </c>
      <c r="AG372" s="0" t="n">
        <f aca="false">IFERROR(CORREL($X372:$AA372,$AB372:$AE372),"")</f>
        <v>0.8</v>
      </c>
      <c r="AH372" s="0" t="n">
        <f aca="false">IFERROR((SIGN($P372-$Q372)*SIGN($T372-$U372)+SIGN($P372-$R372)*SIGN($T372-$V372)+SIGN($P372-$S372)*SIGN($T372-$W372)+SIGN($Q372-$R372)*SIGN($U372-$V372)+SIGN($Q372-$S372)*SIGN($U372-$W372)+SIGN($R372-$S372)*SIGN($V372-$W372))/SQRT((6-(($P372=$Q372)*1+($P372=$R372)*1+($P372=$S372)*1+($Q372=$R372)*1+($Q372=$S372)*1+($R372=$S372)*1))*(6-(($T372=$U372)*1+($T372=$V372)*1+($T372=$W372)*1+($U372=$V372)*1+($U372=$W372)*1+($V372=$W372)*1))),"")</f>
        <v>0.666666666666667</v>
      </c>
      <c r="AI372" s="0" t="n">
        <f aca="false">MATCH(MAX($K372:$O372),$K372:$O372,0)</f>
        <v>2</v>
      </c>
      <c r="AJ372" s="0" t="n">
        <f aca="false">IF(AI372&lt;&gt;$E372,1,0)</f>
        <v>1</v>
      </c>
      <c r="AK372" s="0" t="n">
        <f aca="false">IF(AJ372=1,INDEX($F372:$J372,AI372)/MAX($P372:$S372),"")</f>
        <v>1</v>
      </c>
      <c r="AL372" s="0" t="n">
        <f aca="false">IF(AJ372=1,1+COUNTIF($P372:$S372,"&gt;"&amp;INDEX($F372:$J372,AI372)),"")</f>
        <v>1</v>
      </c>
      <c r="AM372" s="0" t="n">
        <f aca="false">AVERAGE($P372:$S372)/MAX($P372:$S372)</f>
        <v>0.835820895522388</v>
      </c>
      <c r="AN372" s="0" t="n">
        <f aca="false">100-INDEX($F372:$J372,$E372)</f>
        <v>67.3</v>
      </c>
    </row>
    <row r="373" customFormat="false" ht="15" hidden="false" customHeight="false" outlineLevel="0" collapsed="false">
      <c r="A373" s="0" t="s">
        <v>57</v>
      </c>
      <c r="B373" s="0" t="n">
        <v>2024</v>
      </c>
      <c r="C373" s="0" t="s">
        <v>51</v>
      </c>
      <c r="D373" s="0" t="s">
        <v>45</v>
      </c>
      <c r="E373" s="0" t="n">
        <v>2</v>
      </c>
      <c r="F373" s="0" t="n">
        <v>11.9</v>
      </c>
      <c r="G373" s="0" t="n">
        <v>38.6</v>
      </c>
      <c r="H373" s="0" t="n">
        <v>22.4</v>
      </c>
      <c r="I373" s="0" t="n">
        <v>18.8</v>
      </c>
      <c r="J373" s="0" t="n">
        <v>8.2</v>
      </c>
      <c r="K373" s="0" t="n">
        <v>26.393168056</v>
      </c>
      <c r="L373" s="0" t="n">
        <v>17.7075489735</v>
      </c>
      <c r="M373" s="0" t="n">
        <v>14.3332376908</v>
      </c>
      <c r="N373" s="0" t="n">
        <v>35.7951600981</v>
      </c>
      <c r="O373" s="0" t="n">
        <v>5.77088518163</v>
      </c>
      <c r="P373" s="0" t="n">
        <f aca="false">INDEX($F373:$J373,IF(1&lt;$E373,1,1+1))</f>
        <v>11.9</v>
      </c>
      <c r="Q373" s="0" t="n">
        <f aca="false">INDEX($F373:$J373,IF(2&lt;$E373,2,2+1))</f>
        <v>22.4</v>
      </c>
      <c r="R373" s="0" t="n">
        <f aca="false">INDEX($F373:$J373,IF(3&lt;$E373,3,3+1))</f>
        <v>18.8</v>
      </c>
      <c r="S373" s="0" t="n">
        <f aca="false">INDEX($F373:$J373,IF(4&lt;$E373,4,4+1))</f>
        <v>8.2</v>
      </c>
      <c r="T373" s="0" t="n">
        <f aca="false">INDEX($K373:$O373,IF(1&lt;$E373,1,1+1))</f>
        <v>26.393168056</v>
      </c>
      <c r="U373" s="0" t="n">
        <f aca="false">INDEX($K373:$O373,IF(2&lt;$E373,2,2+1))</f>
        <v>14.3332376908</v>
      </c>
      <c r="V373" s="0" t="n">
        <f aca="false">INDEX($K373:$O373,IF(3&lt;$E373,3,3+1))</f>
        <v>35.7951600981</v>
      </c>
      <c r="W373" s="0" t="n">
        <f aca="false">INDEX($K373:$O373,IF(4&lt;$E373,4,4+1))</f>
        <v>5.77088518163</v>
      </c>
      <c r="X373" s="0" t="n">
        <f aca="false">1+COUNTIF($P373:$S373,"&gt;"&amp;$P373)+(COUNTIF($P373:$S373,$P373)-1)/2</f>
        <v>3</v>
      </c>
      <c r="Y373" s="0" t="n">
        <f aca="false">1+COUNTIF($P373:$S373,"&gt;"&amp;$Q373)+(COUNTIF($P373:$S373,$Q373)-1)/2</f>
        <v>1</v>
      </c>
      <c r="Z373" s="0" t="n">
        <f aca="false">1+COUNTIF($P373:$S373,"&gt;"&amp;$R373)+(COUNTIF($P373:$S373,$R373)-1)/2</f>
        <v>2</v>
      </c>
      <c r="AA373" s="0" t="n">
        <f aca="false">1+COUNTIF($P373:$S373,"&gt;"&amp;$S373)+(COUNTIF($P373:$S373,$S373)-1)/2</f>
        <v>4</v>
      </c>
      <c r="AB373" s="0" t="n">
        <f aca="false">1+COUNTIF($T373:$W373,"&gt;"&amp;$T373)+(COUNTIF($T373:$W373,$T373)-1)/2</f>
        <v>2</v>
      </c>
      <c r="AC373" s="0" t="n">
        <f aca="false">1+COUNTIF($T373:$W373,"&gt;"&amp;$U373)+(COUNTIF($T373:$W373,$U373)-1)/2</f>
        <v>3</v>
      </c>
      <c r="AD373" s="0" t="n">
        <f aca="false">1+COUNTIF($T373:$W373,"&gt;"&amp;$V373)+(COUNTIF($T373:$W373,$V373)-1)/2</f>
        <v>1</v>
      </c>
      <c r="AE373" s="0" t="n">
        <f aca="false">1+COUNTIF($T373:$W373,"&gt;"&amp;$W373)+(COUNTIF($T373:$W373,$W373)-1)/2</f>
        <v>4</v>
      </c>
      <c r="AF373" s="0" t="n">
        <f aca="false">IFERROR(CORREL($P373:$S373,$T373:$W373),"")</f>
        <v>0.369070960533633</v>
      </c>
      <c r="AG373" s="0" t="n">
        <f aca="false">IFERROR(CORREL($X373:$AA373,$AB373:$AE373),"")</f>
        <v>0.4</v>
      </c>
      <c r="AH373" s="0" t="n">
        <f aca="false">IFERROR((SIGN($P373-$Q373)*SIGN($T373-$U373)+SIGN($P373-$R373)*SIGN($T373-$V373)+SIGN($P373-$S373)*SIGN($T373-$W373)+SIGN($Q373-$R373)*SIGN($U373-$V373)+SIGN($Q373-$S373)*SIGN($U373-$W373)+SIGN($R373-$S373)*SIGN($V373-$W373))/SQRT((6-(($P373=$Q373)*1+($P373=$R373)*1+($P373=$S373)*1+($Q373=$R373)*1+($Q373=$S373)*1+($R373=$S373)*1))*(6-(($T373=$U373)*1+($T373=$V373)*1+($T373=$W373)*1+($U373=$V373)*1+($U373=$W373)*1+($V373=$W373)*1))),"")</f>
        <v>0.333333333333333</v>
      </c>
      <c r="AI373" s="0" t="n">
        <f aca="false">MATCH(MAX($K373:$O373),$K373:$O373,0)</f>
        <v>4</v>
      </c>
      <c r="AJ373" s="0" t="n">
        <f aca="false">IF(AI373&lt;&gt;$E373,1,0)</f>
        <v>1</v>
      </c>
      <c r="AK373" s="0" t="n">
        <f aca="false">IF(AJ373=1,INDEX($F373:$J373,AI373)/MAX($P373:$S373),"")</f>
        <v>0.839285714285714</v>
      </c>
      <c r="AL373" s="0" t="n">
        <f aca="false">IF(AJ373=1,1+COUNTIF($P373:$S373,"&gt;"&amp;INDEX($F373:$J373,AI373)),"")</f>
        <v>2</v>
      </c>
      <c r="AM373" s="0" t="n">
        <f aca="false">AVERAGE($P373:$S373)/MAX($P373:$S373)</f>
        <v>0.684151785714286</v>
      </c>
      <c r="AN373" s="0" t="n">
        <f aca="false">100-INDEX($F373:$J373,$E373)</f>
        <v>61.4</v>
      </c>
    </row>
    <row r="374" customFormat="false" ht="15" hidden="false" customHeight="false" outlineLevel="0" collapsed="false">
      <c r="A374" s="0" t="s">
        <v>57</v>
      </c>
      <c r="B374" s="0" t="n">
        <v>2024</v>
      </c>
      <c r="C374" s="0" t="s">
        <v>46</v>
      </c>
      <c r="D374" s="0" t="s">
        <v>42</v>
      </c>
      <c r="E374" s="0" t="n">
        <v>3</v>
      </c>
      <c r="F374" s="0" t="n">
        <v>15.1</v>
      </c>
      <c r="G374" s="0" t="n">
        <v>7.8</v>
      </c>
      <c r="H374" s="0" t="n">
        <v>51.3</v>
      </c>
      <c r="I374" s="0" t="n">
        <v>15.3</v>
      </c>
      <c r="J374" s="0" t="n">
        <v>10.6</v>
      </c>
      <c r="K374" s="0" t="n">
        <v>0.0306235795698</v>
      </c>
      <c r="L374" s="0" t="n">
        <v>0.00171626344611</v>
      </c>
      <c r="M374" s="0" t="n">
        <v>99.8151388224</v>
      </c>
      <c r="N374" s="0" t="n">
        <v>0.0791639131706</v>
      </c>
      <c r="O374" s="0" t="n">
        <v>0.0733574214492</v>
      </c>
      <c r="P374" s="0" t="n">
        <f aca="false">INDEX($F374:$J374,IF(1&lt;$E374,1,1+1))</f>
        <v>15.1</v>
      </c>
      <c r="Q374" s="0" t="n">
        <f aca="false">INDEX($F374:$J374,IF(2&lt;$E374,2,2+1))</f>
        <v>7.8</v>
      </c>
      <c r="R374" s="0" t="n">
        <f aca="false">INDEX($F374:$J374,IF(3&lt;$E374,3,3+1))</f>
        <v>15.3</v>
      </c>
      <c r="S374" s="0" t="n">
        <f aca="false">INDEX($F374:$J374,IF(4&lt;$E374,4,4+1))</f>
        <v>10.6</v>
      </c>
      <c r="T374" s="0" t="n">
        <f aca="false">INDEX($K374:$O374,IF(1&lt;$E374,1,1+1))</f>
        <v>0.0306235795698</v>
      </c>
      <c r="U374" s="0" t="n">
        <f aca="false">INDEX($K374:$O374,IF(2&lt;$E374,2,2+1))</f>
        <v>0.00171626344611</v>
      </c>
      <c r="V374" s="0" t="n">
        <f aca="false">INDEX($K374:$O374,IF(3&lt;$E374,3,3+1))</f>
        <v>0.0791639131706</v>
      </c>
      <c r="W374" s="0" t="n">
        <f aca="false">INDEX($K374:$O374,IF(4&lt;$E374,4,4+1))</f>
        <v>0.0733574214492</v>
      </c>
      <c r="X374" s="0" t="n">
        <f aca="false">1+COUNTIF($P374:$S374,"&gt;"&amp;$P374)+(COUNTIF($P374:$S374,$P374)-1)/2</f>
        <v>2</v>
      </c>
      <c r="Y374" s="0" t="n">
        <f aca="false">1+COUNTIF($P374:$S374,"&gt;"&amp;$Q374)+(COUNTIF($P374:$S374,$Q374)-1)/2</f>
        <v>4</v>
      </c>
      <c r="Z374" s="0" t="n">
        <f aca="false">1+COUNTIF($P374:$S374,"&gt;"&amp;$R374)+(COUNTIF($P374:$S374,$R374)-1)/2</f>
        <v>1</v>
      </c>
      <c r="AA374" s="0" t="n">
        <f aca="false">1+COUNTIF($P374:$S374,"&gt;"&amp;$S374)+(COUNTIF($P374:$S374,$S374)-1)/2</f>
        <v>3</v>
      </c>
      <c r="AB374" s="0" t="n">
        <f aca="false">1+COUNTIF($T374:$W374,"&gt;"&amp;$T374)+(COUNTIF($T374:$W374,$T374)-1)/2</f>
        <v>3</v>
      </c>
      <c r="AC374" s="0" t="n">
        <f aca="false">1+COUNTIF($T374:$W374,"&gt;"&amp;$U374)+(COUNTIF($T374:$W374,$U374)-1)/2</f>
        <v>4</v>
      </c>
      <c r="AD374" s="0" t="n">
        <f aca="false">1+COUNTIF($T374:$W374,"&gt;"&amp;$V374)+(COUNTIF($T374:$W374,$V374)-1)/2</f>
        <v>1</v>
      </c>
      <c r="AE374" s="0" t="n">
        <f aca="false">1+COUNTIF($T374:$W374,"&gt;"&amp;$W374)+(COUNTIF($T374:$W374,$W374)-1)/2</f>
        <v>2</v>
      </c>
      <c r="AF374" s="0" t="n">
        <f aca="false">IFERROR(CORREL($P374:$S374,$T374:$W374),"")</f>
        <v>0.520667985324773</v>
      </c>
      <c r="AG374" s="0" t="n">
        <f aca="false">IFERROR(CORREL($X374:$AA374,$AB374:$AE374),"")</f>
        <v>0.8</v>
      </c>
      <c r="AH374" s="0" t="n">
        <f aca="false">IFERROR((SIGN($P374-$Q374)*SIGN($T374-$U374)+SIGN($P374-$R374)*SIGN($T374-$V374)+SIGN($P374-$S374)*SIGN($T374-$W374)+SIGN($Q374-$R374)*SIGN($U374-$V374)+SIGN($Q374-$S374)*SIGN($U374-$W374)+SIGN($R374-$S374)*SIGN($V374-$W374))/SQRT((6-(($P374=$Q374)*1+($P374=$R374)*1+($P374=$S374)*1+($Q374=$R374)*1+($Q374=$S374)*1+($R374=$S374)*1))*(6-(($T374=$U374)*1+($T374=$V374)*1+($T374=$W374)*1+($U374=$V374)*1+($U374=$W374)*1+($V374=$W374)*1))),"")</f>
        <v>0.666666666666667</v>
      </c>
      <c r="AI374" s="0" t="n">
        <f aca="false">MATCH(MAX($K374:$O374),$K374:$O374,0)</f>
        <v>3</v>
      </c>
      <c r="AJ374" s="0" t="n">
        <f aca="false">IF(AI374&lt;&gt;$E374,1,0)</f>
        <v>0</v>
      </c>
      <c r="AK374" s="0" t="str">
        <f aca="false">IF(AJ374=1,INDEX($F374:$J374,AI374)/MAX($P374:$S374),"")</f>
        <v/>
      </c>
      <c r="AL374" s="0" t="str">
        <f aca="false">IF(AJ374=1,1+COUNTIF($P374:$S374,"&gt;"&amp;INDEX($F374:$J374,AI374)),"")</f>
        <v/>
      </c>
      <c r="AM374" s="0" t="n">
        <f aca="false">AVERAGE($P374:$S374)/MAX($P374:$S374)</f>
        <v>0.797385620915033</v>
      </c>
      <c r="AN374" s="0" t="n">
        <f aca="false">100-INDEX($F374:$J374,$E374)</f>
        <v>48.7</v>
      </c>
    </row>
    <row r="375" customFormat="false" ht="15" hidden="false" customHeight="false" outlineLevel="0" collapsed="false">
      <c r="A375" s="0" t="s">
        <v>57</v>
      </c>
      <c r="B375" s="0" t="n">
        <v>2024</v>
      </c>
      <c r="C375" s="0" t="s">
        <v>46</v>
      </c>
      <c r="D375" s="0" t="s">
        <v>43</v>
      </c>
      <c r="E375" s="0" t="n">
        <v>2</v>
      </c>
      <c r="F375" s="0" t="n">
        <v>8.6</v>
      </c>
      <c r="G375" s="0" t="n">
        <v>46.5</v>
      </c>
      <c r="H375" s="0" t="n">
        <v>11.5</v>
      </c>
      <c r="I375" s="0" t="n">
        <v>13.6</v>
      </c>
      <c r="J375" s="0" t="n">
        <v>19.8</v>
      </c>
      <c r="K375" s="0" t="n">
        <v>4.69010562386</v>
      </c>
      <c r="L375" s="0" t="n">
        <v>48.2822302506</v>
      </c>
      <c r="M375" s="0" t="n">
        <v>2.53154900786</v>
      </c>
      <c r="N375" s="0" t="n">
        <v>23.0057153754</v>
      </c>
      <c r="O375" s="0" t="n">
        <v>21.4903997422</v>
      </c>
      <c r="P375" s="0" t="n">
        <f aca="false">INDEX($F375:$J375,IF(1&lt;$E375,1,1+1))</f>
        <v>8.6</v>
      </c>
      <c r="Q375" s="0" t="n">
        <f aca="false">INDEX($F375:$J375,IF(2&lt;$E375,2,2+1))</f>
        <v>11.5</v>
      </c>
      <c r="R375" s="0" t="n">
        <f aca="false">INDEX($F375:$J375,IF(3&lt;$E375,3,3+1))</f>
        <v>13.6</v>
      </c>
      <c r="S375" s="0" t="n">
        <f aca="false">INDEX($F375:$J375,IF(4&lt;$E375,4,4+1))</f>
        <v>19.8</v>
      </c>
      <c r="T375" s="0" t="n">
        <f aca="false">INDEX($K375:$O375,IF(1&lt;$E375,1,1+1))</f>
        <v>4.69010562386</v>
      </c>
      <c r="U375" s="0" t="n">
        <f aca="false">INDEX($K375:$O375,IF(2&lt;$E375,2,2+1))</f>
        <v>2.53154900786</v>
      </c>
      <c r="V375" s="0" t="n">
        <f aca="false">INDEX($K375:$O375,IF(3&lt;$E375,3,3+1))</f>
        <v>23.0057153754</v>
      </c>
      <c r="W375" s="0" t="n">
        <f aca="false">INDEX($K375:$O375,IF(4&lt;$E375,4,4+1))</f>
        <v>21.4903997422</v>
      </c>
      <c r="X375" s="0" t="n">
        <f aca="false">1+COUNTIF($P375:$S375,"&gt;"&amp;$P375)+(COUNTIF($P375:$S375,$P375)-1)/2</f>
        <v>4</v>
      </c>
      <c r="Y375" s="0" t="n">
        <f aca="false">1+COUNTIF($P375:$S375,"&gt;"&amp;$Q375)+(COUNTIF($P375:$S375,$Q375)-1)/2</f>
        <v>3</v>
      </c>
      <c r="Z375" s="0" t="n">
        <f aca="false">1+COUNTIF($P375:$S375,"&gt;"&amp;$R375)+(COUNTIF($P375:$S375,$R375)-1)/2</f>
        <v>2</v>
      </c>
      <c r="AA375" s="0" t="n">
        <f aca="false">1+COUNTIF($P375:$S375,"&gt;"&amp;$S375)+(COUNTIF($P375:$S375,$S375)-1)/2</f>
        <v>1</v>
      </c>
      <c r="AB375" s="0" t="n">
        <f aca="false">1+COUNTIF($T375:$W375,"&gt;"&amp;$T375)+(COUNTIF($T375:$W375,$T375)-1)/2</f>
        <v>3</v>
      </c>
      <c r="AC375" s="0" t="n">
        <f aca="false">1+COUNTIF($T375:$W375,"&gt;"&amp;$U375)+(COUNTIF($T375:$W375,$U375)-1)/2</f>
        <v>4</v>
      </c>
      <c r="AD375" s="0" t="n">
        <f aca="false">1+COUNTIF($T375:$W375,"&gt;"&amp;$V375)+(COUNTIF($T375:$W375,$V375)-1)/2</f>
        <v>1</v>
      </c>
      <c r="AE375" s="0" t="n">
        <f aca="false">1+COUNTIF($T375:$W375,"&gt;"&amp;$W375)+(COUNTIF($T375:$W375,$W375)-1)/2</f>
        <v>2</v>
      </c>
      <c r="AF375" s="0" t="n">
        <f aca="false">IFERROR(CORREL($P375:$S375,$T375:$W375),"")</f>
        <v>0.75370215218341</v>
      </c>
      <c r="AG375" s="0" t="n">
        <f aca="false">IFERROR(CORREL($X375:$AA375,$AB375:$AE375),"")</f>
        <v>0.6</v>
      </c>
      <c r="AH375" s="0" t="n">
        <f aca="false">IFERROR((SIGN($P375-$Q375)*SIGN($T375-$U375)+SIGN($P375-$R375)*SIGN($T375-$V375)+SIGN($P375-$S375)*SIGN($T375-$W375)+SIGN($Q375-$R375)*SIGN($U375-$V375)+SIGN($Q375-$S375)*SIGN($U375-$W375)+SIGN($R375-$S375)*SIGN($V375-$W375))/SQRT((6-(($P375=$Q375)*1+($P375=$R375)*1+($P375=$S375)*1+($Q375=$R375)*1+($Q375=$S375)*1+($R375=$S375)*1))*(6-(($T375=$U375)*1+($T375=$V375)*1+($T375=$W375)*1+($U375=$V375)*1+($U375=$W375)*1+($V375=$W375)*1))),"")</f>
        <v>0.333333333333333</v>
      </c>
      <c r="AI375" s="0" t="n">
        <f aca="false">MATCH(MAX($K375:$O375),$K375:$O375,0)</f>
        <v>2</v>
      </c>
      <c r="AJ375" s="0" t="n">
        <f aca="false">IF(AI375&lt;&gt;$E375,1,0)</f>
        <v>0</v>
      </c>
      <c r="AK375" s="0" t="str">
        <f aca="false">IF(AJ375=1,INDEX($F375:$J375,AI375)/MAX($P375:$S375),"")</f>
        <v/>
      </c>
      <c r="AL375" s="0" t="str">
        <f aca="false">IF(AJ375=1,1+COUNTIF($P375:$S375,"&gt;"&amp;INDEX($F375:$J375,AI375)),"")</f>
        <v/>
      </c>
      <c r="AM375" s="0" t="n">
        <f aca="false">AVERAGE($P375:$S375)/MAX($P375:$S375)</f>
        <v>0.675505050505051</v>
      </c>
      <c r="AN375" s="0" t="n">
        <f aca="false">100-INDEX($F375:$J375,$E375)</f>
        <v>53.5</v>
      </c>
    </row>
    <row r="376" customFormat="false" ht="15" hidden="false" customHeight="false" outlineLevel="0" collapsed="false">
      <c r="A376" s="0" t="s">
        <v>57</v>
      </c>
      <c r="B376" s="0" t="n">
        <v>2024</v>
      </c>
      <c r="C376" s="0" t="s">
        <v>46</v>
      </c>
      <c r="D376" s="0" t="s">
        <v>44</v>
      </c>
      <c r="E376" s="0" t="n">
        <v>3</v>
      </c>
      <c r="F376" s="0" t="n">
        <v>20.6</v>
      </c>
      <c r="G376" s="0" t="n">
        <v>14.6</v>
      </c>
      <c r="H376" s="0" t="n">
        <v>37.5</v>
      </c>
      <c r="I376" s="0" t="n">
        <v>20.9</v>
      </c>
      <c r="J376" s="0" t="n">
        <v>6.3</v>
      </c>
      <c r="K376" s="0" t="n">
        <v>4.16083648397</v>
      </c>
      <c r="L376" s="0" t="n">
        <v>0.842689814824</v>
      </c>
      <c r="M376" s="0" t="n">
        <v>73.1645855671</v>
      </c>
      <c r="N376" s="0" t="n">
        <v>4.51421018565</v>
      </c>
      <c r="O376" s="0" t="n">
        <v>17.3176779484</v>
      </c>
      <c r="P376" s="0" t="n">
        <f aca="false">INDEX($F376:$J376,IF(1&lt;$E376,1,1+1))</f>
        <v>20.6</v>
      </c>
      <c r="Q376" s="0" t="n">
        <f aca="false">INDEX($F376:$J376,IF(2&lt;$E376,2,2+1))</f>
        <v>14.6</v>
      </c>
      <c r="R376" s="0" t="n">
        <f aca="false">INDEX($F376:$J376,IF(3&lt;$E376,3,3+1))</f>
        <v>20.9</v>
      </c>
      <c r="S376" s="0" t="n">
        <f aca="false">INDEX($F376:$J376,IF(4&lt;$E376,4,4+1))</f>
        <v>6.3</v>
      </c>
      <c r="T376" s="0" t="n">
        <f aca="false">INDEX($K376:$O376,IF(1&lt;$E376,1,1+1))</f>
        <v>4.16083648397</v>
      </c>
      <c r="U376" s="0" t="n">
        <f aca="false">INDEX($K376:$O376,IF(2&lt;$E376,2,2+1))</f>
        <v>0.842689814824</v>
      </c>
      <c r="V376" s="0" t="n">
        <f aca="false">INDEX($K376:$O376,IF(3&lt;$E376,3,3+1))</f>
        <v>4.51421018565</v>
      </c>
      <c r="W376" s="0" t="n">
        <f aca="false">INDEX($K376:$O376,IF(4&lt;$E376,4,4+1))</f>
        <v>17.3176779484</v>
      </c>
      <c r="X376" s="0" t="n">
        <f aca="false">1+COUNTIF($P376:$S376,"&gt;"&amp;$P376)+(COUNTIF($P376:$S376,$P376)-1)/2</f>
        <v>2</v>
      </c>
      <c r="Y376" s="0" t="n">
        <f aca="false">1+COUNTIF($P376:$S376,"&gt;"&amp;$Q376)+(COUNTIF($P376:$S376,$Q376)-1)/2</f>
        <v>3</v>
      </c>
      <c r="Z376" s="0" t="n">
        <f aca="false">1+COUNTIF($P376:$S376,"&gt;"&amp;$R376)+(COUNTIF($P376:$S376,$R376)-1)/2</f>
        <v>1</v>
      </c>
      <c r="AA376" s="0" t="n">
        <f aca="false">1+COUNTIF($P376:$S376,"&gt;"&amp;$S376)+(COUNTIF($P376:$S376,$S376)-1)/2</f>
        <v>4</v>
      </c>
      <c r="AB376" s="0" t="n">
        <f aca="false">1+COUNTIF($T376:$W376,"&gt;"&amp;$T376)+(COUNTIF($T376:$W376,$T376)-1)/2</f>
        <v>3</v>
      </c>
      <c r="AC376" s="0" t="n">
        <f aca="false">1+COUNTIF($T376:$W376,"&gt;"&amp;$U376)+(COUNTIF($T376:$W376,$U376)-1)/2</f>
        <v>4</v>
      </c>
      <c r="AD376" s="0" t="n">
        <f aca="false">1+COUNTIF($T376:$W376,"&gt;"&amp;$V376)+(COUNTIF($T376:$W376,$V376)-1)/2</f>
        <v>2</v>
      </c>
      <c r="AE376" s="0" t="n">
        <f aca="false">1+COUNTIF($T376:$W376,"&gt;"&amp;$W376)+(COUNTIF($T376:$W376,$W376)-1)/2</f>
        <v>1</v>
      </c>
      <c r="AF376" s="0" t="n">
        <f aca="false">IFERROR(CORREL($P376:$S376,$T376:$W376),"")</f>
        <v>-0.785505739131112</v>
      </c>
      <c r="AG376" s="0" t="n">
        <f aca="false">IFERROR(CORREL($X376:$AA376,$AB376:$AE376),"")</f>
        <v>-0.2</v>
      </c>
      <c r="AH376" s="0" t="n">
        <f aca="false">IFERROR((SIGN($P376-$Q376)*SIGN($T376-$U376)+SIGN($P376-$R376)*SIGN($T376-$V376)+SIGN($P376-$S376)*SIGN($T376-$W376)+SIGN($Q376-$R376)*SIGN($U376-$V376)+SIGN($Q376-$S376)*SIGN($U376-$W376)+SIGN($R376-$S376)*SIGN($V376-$W376))/SQRT((6-(($P376=$Q376)*1+($P376=$R376)*1+($P376=$S376)*1+($Q376=$R376)*1+($Q376=$S376)*1+($R376=$S376)*1))*(6-(($T376=$U376)*1+($T376=$V376)*1+($T376=$W376)*1+($U376=$V376)*1+($U376=$W376)*1+($V376=$W376)*1))),"")</f>
        <v>0</v>
      </c>
      <c r="AI376" s="0" t="n">
        <f aca="false">MATCH(MAX($K376:$O376),$K376:$O376,0)</f>
        <v>3</v>
      </c>
      <c r="AJ376" s="0" t="n">
        <f aca="false">IF(AI376&lt;&gt;$E376,1,0)</f>
        <v>0</v>
      </c>
      <c r="AK376" s="0" t="str">
        <f aca="false">IF(AJ376=1,INDEX($F376:$J376,AI376)/MAX($P376:$S376),"")</f>
        <v/>
      </c>
      <c r="AL376" s="0" t="str">
        <f aca="false">IF(AJ376=1,1+COUNTIF($P376:$S376,"&gt;"&amp;INDEX($F376:$J376,AI376)),"")</f>
        <v/>
      </c>
      <c r="AM376" s="0" t="n">
        <f aca="false">AVERAGE($P376:$S376)/MAX($P376:$S376)</f>
        <v>0.746411483253589</v>
      </c>
      <c r="AN376" s="0" t="n">
        <f aca="false">100-INDEX($F376:$J376,$E376)</f>
        <v>62.5</v>
      </c>
    </row>
    <row r="377" customFormat="false" ht="15" hidden="false" customHeight="false" outlineLevel="0" collapsed="false">
      <c r="A377" s="0" t="s">
        <v>57</v>
      </c>
      <c r="B377" s="0" t="n">
        <v>2024</v>
      </c>
      <c r="C377" s="0" t="s">
        <v>46</v>
      </c>
      <c r="D377" s="0" t="s">
        <v>45</v>
      </c>
      <c r="E377" s="0" t="n">
        <v>4</v>
      </c>
      <c r="F377" s="0" t="n">
        <v>16.6</v>
      </c>
      <c r="G377" s="0" t="n">
        <v>13.1</v>
      </c>
      <c r="H377" s="0" t="n">
        <v>21.8</v>
      </c>
      <c r="I377" s="0" t="n">
        <v>28.8</v>
      </c>
      <c r="J377" s="0" t="n">
        <v>19.6</v>
      </c>
      <c r="K377" s="0" t="n">
        <v>3.7275075</v>
      </c>
      <c r="L377" s="0" t="n">
        <v>46.2669873107</v>
      </c>
      <c r="M377" s="0" t="n">
        <v>6.66318179215</v>
      </c>
      <c r="N377" s="0" t="n">
        <v>31.0497824537</v>
      </c>
      <c r="O377" s="0" t="n">
        <v>12.2925409434</v>
      </c>
      <c r="P377" s="0" t="n">
        <f aca="false">INDEX($F377:$J377,IF(1&lt;$E377,1,1+1))</f>
        <v>16.6</v>
      </c>
      <c r="Q377" s="0" t="n">
        <f aca="false">INDEX($F377:$J377,IF(2&lt;$E377,2,2+1))</f>
        <v>13.1</v>
      </c>
      <c r="R377" s="0" t="n">
        <f aca="false">INDEX($F377:$J377,IF(3&lt;$E377,3,3+1))</f>
        <v>21.8</v>
      </c>
      <c r="S377" s="0" t="n">
        <f aca="false">INDEX($F377:$J377,IF(4&lt;$E377,4,4+1))</f>
        <v>19.6</v>
      </c>
      <c r="T377" s="0" t="n">
        <f aca="false">INDEX($K377:$O377,IF(1&lt;$E377,1,1+1))</f>
        <v>3.7275075</v>
      </c>
      <c r="U377" s="0" t="n">
        <f aca="false">INDEX($K377:$O377,IF(2&lt;$E377,2,2+1))</f>
        <v>46.2669873107</v>
      </c>
      <c r="V377" s="0" t="n">
        <f aca="false">INDEX($K377:$O377,IF(3&lt;$E377,3,3+1))</f>
        <v>6.66318179215</v>
      </c>
      <c r="W377" s="0" t="n">
        <f aca="false">INDEX($K377:$O377,IF(4&lt;$E377,4,4+1))</f>
        <v>12.2925409434</v>
      </c>
      <c r="X377" s="0" t="n">
        <f aca="false">1+COUNTIF($P377:$S377,"&gt;"&amp;$P377)+(COUNTIF($P377:$S377,$P377)-1)/2</f>
        <v>3</v>
      </c>
      <c r="Y377" s="0" t="n">
        <f aca="false">1+COUNTIF($P377:$S377,"&gt;"&amp;$Q377)+(COUNTIF($P377:$S377,$Q377)-1)/2</f>
        <v>4</v>
      </c>
      <c r="Z377" s="0" t="n">
        <f aca="false">1+COUNTIF($P377:$S377,"&gt;"&amp;$R377)+(COUNTIF($P377:$S377,$R377)-1)/2</f>
        <v>1</v>
      </c>
      <c r="AA377" s="0" t="n">
        <f aca="false">1+COUNTIF($P377:$S377,"&gt;"&amp;$S377)+(COUNTIF($P377:$S377,$S377)-1)/2</f>
        <v>2</v>
      </c>
      <c r="AB377" s="0" t="n">
        <f aca="false">1+COUNTIF($T377:$W377,"&gt;"&amp;$T377)+(COUNTIF($T377:$W377,$T377)-1)/2</f>
        <v>4</v>
      </c>
      <c r="AC377" s="0" t="n">
        <f aca="false">1+COUNTIF($T377:$W377,"&gt;"&amp;$U377)+(COUNTIF($T377:$W377,$U377)-1)/2</f>
        <v>1</v>
      </c>
      <c r="AD377" s="0" t="n">
        <f aca="false">1+COUNTIF($T377:$W377,"&gt;"&amp;$V377)+(COUNTIF($T377:$W377,$V377)-1)/2</f>
        <v>3</v>
      </c>
      <c r="AE377" s="0" t="n">
        <f aca="false">1+COUNTIF($T377:$W377,"&gt;"&amp;$W377)+(COUNTIF($T377:$W377,$W377)-1)/2</f>
        <v>2</v>
      </c>
      <c r="AF377" s="0" t="n">
        <f aca="false">IFERROR(CORREL($P377:$S377,$T377:$W377),"")</f>
        <v>-0.7691430526414</v>
      </c>
      <c r="AG377" s="0" t="n">
        <f aca="false">IFERROR(CORREL($X377:$AA377,$AB377:$AE377),"")</f>
        <v>-0.4</v>
      </c>
      <c r="AH377" s="0" t="n">
        <f aca="false">IFERROR((SIGN($P377-$Q377)*SIGN($T377-$U377)+SIGN($P377-$R377)*SIGN($T377-$V377)+SIGN($P377-$S377)*SIGN($T377-$W377)+SIGN($Q377-$R377)*SIGN($U377-$V377)+SIGN($Q377-$S377)*SIGN($U377-$W377)+SIGN($R377-$S377)*SIGN($V377-$W377))/SQRT((6-(($P377=$Q377)*1+($P377=$R377)*1+($P377=$S377)*1+($Q377=$R377)*1+($Q377=$S377)*1+($R377=$S377)*1))*(6-(($T377=$U377)*1+($T377=$V377)*1+($T377=$W377)*1+($U377=$V377)*1+($U377=$W377)*1+($V377=$W377)*1))),"")</f>
        <v>-0.333333333333333</v>
      </c>
      <c r="AI377" s="0" t="n">
        <f aca="false">MATCH(MAX($K377:$O377),$K377:$O377,0)</f>
        <v>2</v>
      </c>
      <c r="AJ377" s="0" t="n">
        <f aca="false">IF(AI377&lt;&gt;$E377,1,0)</f>
        <v>1</v>
      </c>
      <c r="AK377" s="0" t="n">
        <f aca="false">IF(AJ377=1,INDEX($F377:$J377,AI377)/MAX($P377:$S377),"")</f>
        <v>0.600917431192661</v>
      </c>
      <c r="AL377" s="0" t="n">
        <f aca="false">IF(AJ377=1,1+COUNTIF($P377:$S377,"&gt;"&amp;INDEX($F377:$J377,AI377)),"")</f>
        <v>4</v>
      </c>
      <c r="AM377" s="0" t="n">
        <f aca="false">AVERAGE($P377:$S377)/MAX($P377:$S377)</f>
        <v>0.815366972477064</v>
      </c>
      <c r="AN377" s="0" t="n">
        <f aca="false">100-INDEX($F377:$J377,$E377)</f>
        <v>71.2</v>
      </c>
    </row>
    <row r="378" customFormat="false" ht="15" hidden="false" customHeight="false" outlineLevel="0" collapsed="false">
      <c r="A378" s="0" t="s">
        <v>57</v>
      </c>
      <c r="B378" s="0" t="n">
        <v>2023</v>
      </c>
      <c r="C378" s="0" t="s">
        <v>58</v>
      </c>
      <c r="D378" s="0" t="s">
        <v>42</v>
      </c>
      <c r="E378" s="0" t="n">
        <v>1</v>
      </c>
      <c r="F378" s="0" t="n">
        <v>40.1</v>
      </c>
      <c r="G378" s="0" t="n">
        <v>14.9</v>
      </c>
      <c r="H378" s="0" t="n">
        <v>16.9</v>
      </c>
      <c r="I378" s="0" t="n">
        <v>13.8</v>
      </c>
      <c r="J378" s="0" t="n">
        <v>14.3</v>
      </c>
      <c r="K378" s="0" t="n">
        <v>94.2485837964</v>
      </c>
      <c r="L378" s="0" t="n">
        <v>0.0105486269537</v>
      </c>
      <c r="M378" s="0" t="n">
        <v>0.0307173812016</v>
      </c>
      <c r="N378" s="0" t="n">
        <v>0.0261798208505</v>
      </c>
      <c r="O378" s="0" t="n">
        <v>5.68397037455</v>
      </c>
      <c r="P378" s="0" t="n">
        <f aca="false">INDEX($F378:$J378,IF(1&lt;$E378,1,1+1))</f>
        <v>14.9</v>
      </c>
      <c r="Q378" s="0" t="n">
        <f aca="false">INDEX($F378:$J378,IF(2&lt;$E378,2,2+1))</f>
        <v>16.9</v>
      </c>
      <c r="R378" s="0" t="n">
        <f aca="false">INDEX($F378:$J378,IF(3&lt;$E378,3,3+1))</f>
        <v>13.8</v>
      </c>
      <c r="S378" s="0" t="n">
        <f aca="false">INDEX($F378:$J378,IF(4&lt;$E378,4,4+1))</f>
        <v>14.3</v>
      </c>
      <c r="T378" s="0" t="n">
        <f aca="false">INDEX($K378:$O378,IF(1&lt;$E378,1,1+1))</f>
        <v>0.0105486269537</v>
      </c>
      <c r="U378" s="0" t="n">
        <f aca="false">INDEX($K378:$O378,IF(2&lt;$E378,2,2+1))</f>
        <v>0.0307173812016</v>
      </c>
      <c r="V378" s="0" t="n">
        <f aca="false">INDEX($K378:$O378,IF(3&lt;$E378,3,3+1))</f>
        <v>0.0261798208505</v>
      </c>
      <c r="W378" s="0" t="n">
        <f aca="false">INDEX($K378:$O378,IF(4&lt;$E378,4,4+1))</f>
        <v>5.68397037455</v>
      </c>
      <c r="X378" s="0" t="n">
        <f aca="false">1+COUNTIF($P378:$S378,"&gt;"&amp;$P378)+(COUNTIF($P378:$S378,$P378)-1)/2</f>
        <v>2</v>
      </c>
      <c r="Y378" s="0" t="n">
        <f aca="false">1+COUNTIF($P378:$S378,"&gt;"&amp;$Q378)+(COUNTIF($P378:$S378,$Q378)-1)/2</f>
        <v>1</v>
      </c>
      <c r="Z378" s="0" t="n">
        <f aca="false">1+COUNTIF($P378:$S378,"&gt;"&amp;$R378)+(COUNTIF($P378:$S378,$R378)-1)/2</f>
        <v>4</v>
      </c>
      <c r="AA378" s="0" t="n">
        <f aca="false">1+COUNTIF($P378:$S378,"&gt;"&amp;$S378)+(COUNTIF($P378:$S378,$S378)-1)/2</f>
        <v>3</v>
      </c>
      <c r="AB378" s="0" t="n">
        <f aca="false">1+COUNTIF($T378:$W378,"&gt;"&amp;$T378)+(COUNTIF($T378:$W378,$T378)-1)/2</f>
        <v>4</v>
      </c>
      <c r="AC378" s="0" t="n">
        <f aca="false">1+COUNTIF($T378:$W378,"&gt;"&amp;$U378)+(COUNTIF($T378:$W378,$U378)-1)/2</f>
        <v>2</v>
      </c>
      <c r="AD378" s="0" t="n">
        <f aca="false">1+COUNTIF($T378:$W378,"&gt;"&amp;$V378)+(COUNTIF($T378:$W378,$V378)-1)/2</f>
        <v>3</v>
      </c>
      <c r="AE378" s="0" t="n">
        <f aca="false">1+COUNTIF($T378:$W378,"&gt;"&amp;$W378)+(COUNTIF($T378:$W378,$W378)-1)/2</f>
        <v>1</v>
      </c>
      <c r="AF378" s="0" t="n">
        <f aca="false">IFERROR(CORREL($P378:$S378,$T378:$W378),"")</f>
        <v>-0.329845534755367</v>
      </c>
      <c r="AG378" s="0" t="n">
        <f aca="false">IFERROR(CORREL($X378:$AA378,$AB378:$AE378),"")</f>
        <v>0</v>
      </c>
      <c r="AH378" s="0" t="n">
        <f aca="false">IFERROR((SIGN($P378-$Q378)*SIGN($T378-$U378)+SIGN($P378-$R378)*SIGN($T378-$V378)+SIGN($P378-$S378)*SIGN($T378-$W378)+SIGN($Q378-$R378)*SIGN($U378-$V378)+SIGN($Q378-$S378)*SIGN($U378-$W378)+SIGN($R378-$S378)*SIGN($V378-$W378))/SQRT((6-(($P378=$Q378)*1+($P378=$R378)*1+($P378=$S378)*1+($Q378=$R378)*1+($Q378=$S378)*1+($R378=$S378)*1))*(6-(($T378=$U378)*1+($T378=$V378)*1+($T378=$W378)*1+($U378=$V378)*1+($U378=$W378)*1+($V378=$W378)*1))),"")</f>
        <v>0</v>
      </c>
      <c r="AI378" s="0" t="n">
        <f aca="false">MATCH(MAX($K378:$O378),$K378:$O378,0)</f>
        <v>1</v>
      </c>
      <c r="AJ378" s="0" t="n">
        <f aca="false">IF(AI378&lt;&gt;$E378,1,0)</f>
        <v>0</v>
      </c>
      <c r="AK378" s="0" t="str">
        <f aca="false">IF(AJ378=1,INDEX($F378:$J378,AI378)/MAX($P378:$S378),"")</f>
        <v/>
      </c>
      <c r="AL378" s="0" t="str">
        <f aca="false">IF(AJ378=1,1+COUNTIF($P378:$S378,"&gt;"&amp;INDEX($F378:$J378,AI378)),"")</f>
        <v/>
      </c>
      <c r="AM378" s="0" t="n">
        <f aca="false">AVERAGE($P378:$S378)/MAX($P378:$S378)</f>
        <v>0.886094674556213</v>
      </c>
      <c r="AN378" s="0" t="n">
        <f aca="false">100-INDEX($F378:$J378,$E378)</f>
        <v>59.9</v>
      </c>
    </row>
    <row r="379" customFormat="false" ht="15" hidden="false" customHeight="false" outlineLevel="0" collapsed="false">
      <c r="A379" s="0" t="s">
        <v>57</v>
      </c>
      <c r="B379" s="0" t="n">
        <v>2023</v>
      </c>
      <c r="C379" s="0" t="s">
        <v>58</v>
      </c>
      <c r="D379" s="0" t="s">
        <v>43</v>
      </c>
      <c r="E379" s="0" t="n">
        <v>1</v>
      </c>
      <c r="F379" s="0" t="n">
        <v>26.5</v>
      </c>
      <c r="G379" s="0" t="n">
        <v>18.2</v>
      </c>
      <c r="H379" s="0" t="n">
        <v>20.4</v>
      </c>
      <c r="I379" s="0" t="n">
        <v>21.1</v>
      </c>
      <c r="J379" s="0" t="n">
        <v>13.8</v>
      </c>
      <c r="K379" s="0" t="n">
        <v>19.5946379369</v>
      </c>
      <c r="L379" s="0" t="n">
        <v>12.1399200088</v>
      </c>
      <c r="M379" s="0" t="n">
        <v>5.79692174592</v>
      </c>
      <c r="N379" s="0" t="n">
        <v>28.0744724985</v>
      </c>
      <c r="O379" s="0" t="n">
        <v>34.3940478098</v>
      </c>
      <c r="P379" s="0" t="n">
        <f aca="false">INDEX($F379:$J379,IF(1&lt;$E379,1,1+1))</f>
        <v>18.2</v>
      </c>
      <c r="Q379" s="0" t="n">
        <f aca="false">INDEX($F379:$J379,IF(2&lt;$E379,2,2+1))</f>
        <v>20.4</v>
      </c>
      <c r="R379" s="0" t="n">
        <f aca="false">INDEX($F379:$J379,IF(3&lt;$E379,3,3+1))</f>
        <v>21.1</v>
      </c>
      <c r="S379" s="0" t="n">
        <f aca="false">INDEX($F379:$J379,IF(4&lt;$E379,4,4+1))</f>
        <v>13.8</v>
      </c>
      <c r="T379" s="0" t="n">
        <f aca="false">INDEX($K379:$O379,IF(1&lt;$E379,1,1+1))</f>
        <v>12.1399200088</v>
      </c>
      <c r="U379" s="0" t="n">
        <f aca="false">INDEX($K379:$O379,IF(2&lt;$E379,2,2+1))</f>
        <v>5.79692174592</v>
      </c>
      <c r="V379" s="0" t="n">
        <f aca="false">INDEX($K379:$O379,IF(3&lt;$E379,3,3+1))</f>
        <v>28.0744724985</v>
      </c>
      <c r="W379" s="0" t="n">
        <f aca="false">INDEX($K379:$O379,IF(4&lt;$E379,4,4+1))</f>
        <v>34.3940478098</v>
      </c>
      <c r="X379" s="0" t="n">
        <f aca="false">1+COUNTIF($P379:$S379,"&gt;"&amp;$P379)+(COUNTIF($P379:$S379,$P379)-1)/2</f>
        <v>3</v>
      </c>
      <c r="Y379" s="0" t="n">
        <f aca="false">1+COUNTIF($P379:$S379,"&gt;"&amp;$Q379)+(COUNTIF($P379:$S379,$Q379)-1)/2</f>
        <v>2</v>
      </c>
      <c r="Z379" s="0" t="n">
        <f aca="false">1+COUNTIF($P379:$S379,"&gt;"&amp;$R379)+(COUNTIF($P379:$S379,$R379)-1)/2</f>
        <v>1</v>
      </c>
      <c r="AA379" s="0" t="n">
        <f aca="false">1+COUNTIF($P379:$S379,"&gt;"&amp;$S379)+(COUNTIF($P379:$S379,$S379)-1)/2</f>
        <v>4</v>
      </c>
      <c r="AB379" s="0" t="n">
        <f aca="false">1+COUNTIF($T379:$W379,"&gt;"&amp;$T379)+(COUNTIF($T379:$W379,$T379)-1)/2</f>
        <v>3</v>
      </c>
      <c r="AC379" s="0" t="n">
        <f aca="false">1+COUNTIF($T379:$W379,"&gt;"&amp;$U379)+(COUNTIF($T379:$W379,$U379)-1)/2</f>
        <v>4</v>
      </c>
      <c r="AD379" s="0" t="n">
        <f aca="false">1+COUNTIF($T379:$W379,"&gt;"&amp;$V379)+(COUNTIF($T379:$W379,$V379)-1)/2</f>
        <v>2</v>
      </c>
      <c r="AE379" s="0" t="n">
        <f aca="false">1+COUNTIF($T379:$W379,"&gt;"&amp;$W379)+(COUNTIF($T379:$W379,$W379)-1)/2</f>
        <v>1</v>
      </c>
      <c r="AF379" s="0" t="n">
        <f aca="false">IFERROR(CORREL($P379:$S379,$T379:$W379),"")</f>
        <v>-0.539903117598489</v>
      </c>
      <c r="AG379" s="0" t="n">
        <f aca="false">IFERROR(CORREL($X379:$AA379,$AB379:$AE379),"")</f>
        <v>-0.4</v>
      </c>
      <c r="AH379" s="0" t="n">
        <f aca="false">IFERROR((SIGN($P379-$Q379)*SIGN($T379-$U379)+SIGN($P379-$R379)*SIGN($T379-$V379)+SIGN($P379-$S379)*SIGN($T379-$W379)+SIGN($Q379-$R379)*SIGN($U379-$V379)+SIGN($Q379-$S379)*SIGN($U379-$W379)+SIGN($R379-$S379)*SIGN($V379-$W379))/SQRT((6-(($P379=$Q379)*1+($P379=$R379)*1+($P379=$S379)*1+($Q379=$R379)*1+($Q379=$S379)*1+($R379=$S379)*1))*(6-(($T379=$U379)*1+($T379=$V379)*1+($T379=$W379)*1+($U379=$V379)*1+($U379=$W379)*1+($V379=$W379)*1))),"")</f>
        <v>-0.333333333333333</v>
      </c>
      <c r="AI379" s="0" t="n">
        <f aca="false">MATCH(MAX($K379:$O379),$K379:$O379,0)</f>
        <v>5</v>
      </c>
      <c r="AJ379" s="0" t="n">
        <f aca="false">IF(AI379&lt;&gt;$E379,1,0)</f>
        <v>1</v>
      </c>
      <c r="AK379" s="0" t="n">
        <f aca="false">IF(AJ379=1,INDEX($F379:$J379,AI379)/MAX($P379:$S379),"")</f>
        <v>0.654028436018957</v>
      </c>
      <c r="AL379" s="0" t="n">
        <f aca="false">IF(AJ379=1,1+COUNTIF($P379:$S379,"&gt;"&amp;INDEX($F379:$J379,AI379)),"")</f>
        <v>4</v>
      </c>
      <c r="AM379" s="0" t="n">
        <f aca="false">AVERAGE($P379:$S379)/MAX($P379:$S379)</f>
        <v>0.87085308056872</v>
      </c>
      <c r="AN379" s="0" t="n">
        <f aca="false">100-INDEX($F379:$J379,$E379)</f>
        <v>73.5</v>
      </c>
    </row>
    <row r="380" customFormat="false" ht="15" hidden="false" customHeight="false" outlineLevel="0" collapsed="false">
      <c r="A380" s="0" t="s">
        <v>57</v>
      </c>
      <c r="B380" s="0" t="n">
        <v>2023</v>
      </c>
      <c r="C380" s="0" t="s">
        <v>58</v>
      </c>
      <c r="D380" s="0" t="s">
        <v>44</v>
      </c>
      <c r="E380" s="0" t="n">
        <v>5</v>
      </c>
      <c r="F380" s="0" t="n">
        <v>18.3</v>
      </c>
      <c r="G380" s="0" t="n">
        <v>14.7</v>
      </c>
      <c r="H380" s="0" t="n">
        <v>19.3</v>
      </c>
      <c r="I380" s="0" t="n">
        <v>22.7</v>
      </c>
      <c r="J380" s="0" t="n">
        <v>25</v>
      </c>
      <c r="K380" s="0" t="n">
        <v>26.2084379232</v>
      </c>
      <c r="L380" s="0" t="n">
        <v>11.2789390593</v>
      </c>
      <c r="M380" s="0" t="n">
        <v>3.96016204141</v>
      </c>
      <c r="N380" s="0" t="n">
        <v>25.5006031142</v>
      </c>
      <c r="O380" s="0" t="n">
        <v>33.0518578618</v>
      </c>
      <c r="P380" s="0" t="n">
        <f aca="false">INDEX($F380:$J380,IF(1&lt;$E380,1,1+1))</f>
        <v>18.3</v>
      </c>
      <c r="Q380" s="0" t="n">
        <f aca="false">INDEX($F380:$J380,IF(2&lt;$E380,2,2+1))</f>
        <v>14.7</v>
      </c>
      <c r="R380" s="0" t="n">
        <f aca="false">INDEX($F380:$J380,IF(3&lt;$E380,3,3+1))</f>
        <v>19.3</v>
      </c>
      <c r="S380" s="0" t="n">
        <f aca="false">INDEX($F380:$J380,IF(4&lt;$E380,4,4+1))</f>
        <v>22.7</v>
      </c>
      <c r="T380" s="0" t="n">
        <f aca="false">INDEX($K380:$O380,IF(1&lt;$E380,1,1+1))</f>
        <v>26.2084379232</v>
      </c>
      <c r="U380" s="0" t="n">
        <f aca="false">INDEX($K380:$O380,IF(2&lt;$E380,2,2+1))</f>
        <v>11.2789390593</v>
      </c>
      <c r="V380" s="0" t="n">
        <f aca="false">INDEX($K380:$O380,IF(3&lt;$E380,3,3+1))</f>
        <v>3.96016204141</v>
      </c>
      <c r="W380" s="0" t="n">
        <f aca="false">INDEX($K380:$O380,IF(4&lt;$E380,4,4+1))</f>
        <v>25.5006031142</v>
      </c>
      <c r="X380" s="0" t="n">
        <f aca="false">1+COUNTIF($P380:$S380,"&gt;"&amp;$P380)+(COUNTIF($P380:$S380,$P380)-1)/2</f>
        <v>3</v>
      </c>
      <c r="Y380" s="0" t="n">
        <f aca="false">1+COUNTIF($P380:$S380,"&gt;"&amp;$Q380)+(COUNTIF($P380:$S380,$Q380)-1)/2</f>
        <v>4</v>
      </c>
      <c r="Z380" s="0" t="n">
        <f aca="false">1+COUNTIF($P380:$S380,"&gt;"&amp;$R380)+(COUNTIF($P380:$S380,$R380)-1)/2</f>
        <v>2</v>
      </c>
      <c r="AA380" s="0" t="n">
        <f aca="false">1+COUNTIF($P380:$S380,"&gt;"&amp;$S380)+(COUNTIF($P380:$S380,$S380)-1)/2</f>
        <v>1</v>
      </c>
      <c r="AB380" s="0" t="n">
        <f aca="false">1+COUNTIF($T380:$W380,"&gt;"&amp;$T380)+(COUNTIF($T380:$W380,$T380)-1)/2</f>
        <v>1</v>
      </c>
      <c r="AC380" s="0" t="n">
        <f aca="false">1+COUNTIF($T380:$W380,"&gt;"&amp;$U380)+(COUNTIF($T380:$W380,$U380)-1)/2</f>
        <v>3</v>
      </c>
      <c r="AD380" s="0" t="n">
        <f aca="false">1+COUNTIF($T380:$W380,"&gt;"&amp;$V380)+(COUNTIF($T380:$W380,$V380)-1)/2</f>
        <v>4</v>
      </c>
      <c r="AE380" s="0" t="n">
        <f aca="false">1+COUNTIF($T380:$W380,"&gt;"&amp;$W380)+(COUNTIF($T380:$W380,$W380)-1)/2</f>
        <v>2</v>
      </c>
      <c r="AF380" s="0" t="n">
        <f aca="false">IFERROR(CORREL($P380:$S380,$T380:$W380),"")</f>
        <v>0.420218651767547</v>
      </c>
      <c r="AG380" s="0" t="n">
        <f aca="false">IFERROR(CORREL($X380:$AA380,$AB380:$AE380),"")</f>
        <v>0</v>
      </c>
      <c r="AH380" s="0" t="n">
        <f aca="false">IFERROR((SIGN($P380-$Q380)*SIGN($T380-$U380)+SIGN($P380-$R380)*SIGN($T380-$V380)+SIGN($P380-$S380)*SIGN($T380-$W380)+SIGN($Q380-$R380)*SIGN($U380-$V380)+SIGN($Q380-$S380)*SIGN($U380-$W380)+SIGN($R380-$S380)*SIGN($V380-$W380))/SQRT((6-(($P380=$Q380)*1+($P380=$R380)*1+($P380=$S380)*1+($Q380=$R380)*1+($Q380=$S380)*1+($R380=$S380)*1))*(6-(($T380=$U380)*1+($T380=$V380)*1+($T380=$W380)*1+($U380=$V380)*1+($U380=$W380)*1+($V380=$W380)*1))),"")</f>
        <v>0</v>
      </c>
      <c r="AI380" s="0" t="n">
        <f aca="false">MATCH(MAX($K380:$O380),$K380:$O380,0)</f>
        <v>5</v>
      </c>
      <c r="AJ380" s="0" t="n">
        <f aca="false">IF(AI380&lt;&gt;$E380,1,0)</f>
        <v>0</v>
      </c>
      <c r="AK380" s="0" t="str">
        <f aca="false">IF(AJ380=1,INDEX($F380:$J380,AI380)/MAX($P380:$S380),"")</f>
        <v/>
      </c>
      <c r="AL380" s="0" t="str">
        <f aca="false">IF(AJ380=1,1+COUNTIF($P380:$S380,"&gt;"&amp;INDEX($F380:$J380,AI380)),"")</f>
        <v/>
      </c>
      <c r="AM380" s="0" t="n">
        <f aca="false">AVERAGE($P380:$S380)/MAX($P380:$S380)</f>
        <v>0.825991189427313</v>
      </c>
      <c r="AN380" s="0" t="n">
        <f aca="false">100-INDEX($F380:$J380,$E380)</f>
        <v>75</v>
      </c>
    </row>
    <row r="381" customFormat="false" ht="15" hidden="false" customHeight="false" outlineLevel="0" collapsed="false">
      <c r="A381" s="0" t="s">
        <v>57</v>
      </c>
      <c r="B381" s="0" t="n">
        <v>2023</v>
      </c>
      <c r="C381" s="0" t="s">
        <v>58</v>
      </c>
      <c r="D381" s="0" t="s">
        <v>45</v>
      </c>
      <c r="E381" s="0" t="n">
        <v>2</v>
      </c>
      <c r="F381" s="0" t="n">
        <v>20.3</v>
      </c>
      <c r="G381" s="0" t="n">
        <v>44.9</v>
      </c>
      <c r="H381" s="0" t="n">
        <v>14.2</v>
      </c>
      <c r="I381" s="0" t="n">
        <v>14.2</v>
      </c>
      <c r="J381" s="0" t="n">
        <v>6.4</v>
      </c>
      <c r="K381" s="0" t="n">
        <v>3.92645380092</v>
      </c>
      <c r="L381" s="0" t="n">
        <v>17.6981532526</v>
      </c>
      <c r="M381" s="0" t="n">
        <v>36.9045532947</v>
      </c>
      <c r="N381" s="0" t="n">
        <v>25.7486862937</v>
      </c>
      <c r="O381" s="0" t="n">
        <v>15.7221533581</v>
      </c>
      <c r="P381" s="0" t="n">
        <f aca="false">INDEX($F381:$J381,IF(1&lt;$E381,1,1+1))</f>
        <v>20.3</v>
      </c>
      <c r="Q381" s="0" t="n">
        <f aca="false">INDEX($F381:$J381,IF(2&lt;$E381,2,2+1))</f>
        <v>14.2</v>
      </c>
      <c r="R381" s="0" t="n">
        <f aca="false">INDEX($F381:$J381,IF(3&lt;$E381,3,3+1))</f>
        <v>14.2</v>
      </c>
      <c r="S381" s="0" t="n">
        <f aca="false">INDEX($F381:$J381,IF(4&lt;$E381,4,4+1))</f>
        <v>6.4</v>
      </c>
      <c r="T381" s="0" t="n">
        <f aca="false">INDEX($K381:$O381,IF(1&lt;$E381,1,1+1))</f>
        <v>3.92645380092</v>
      </c>
      <c r="U381" s="0" t="n">
        <f aca="false">INDEX($K381:$O381,IF(2&lt;$E381,2,2+1))</f>
        <v>36.9045532947</v>
      </c>
      <c r="V381" s="0" t="n">
        <f aca="false">INDEX($K381:$O381,IF(3&lt;$E381,3,3+1))</f>
        <v>25.7486862937</v>
      </c>
      <c r="W381" s="0" t="n">
        <f aca="false">INDEX($K381:$O381,IF(4&lt;$E381,4,4+1))</f>
        <v>15.7221533581</v>
      </c>
      <c r="X381" s="0" t="n">
        <f aca="false">1+COUNTIF($P381:$S381,"&gt;"&amp;$P381)+(COUNTIF($P381:$S381,$P381)-1)/2</f>
        <v>1</v>
      </c>
      <c r="Y381" s="0" t="n">
        <f aca="false">1+COUNTIF($P381:$S381,"&gt;"&amp;$Q381)+(COUNTIF($P381:$S381,$Q381)-1)/2</f>
        <v>2.5</v>
      </c>
      <c r="Z381" s="0" t="n">
        <f aca="false">1+COUNTIF($P381:$S381,"&gt;"&amp;$R381)+(COUNTIF($P381:$S381,$R381)-1)/2</f>
        <v>2.5</v>
      </c>
      <c r="AA381" s="0" t="n">
        <f aca="false">1+COUNTIF($P381:$S381,"&gt;"&amp;$S381)+(COUNTIF($P381:$S381,$S381)-1)/2</f>
        <v>4</v>
      </c>
      <c r="AB381" s="0" t="n">
        <f aca="false">1+COUNTIF($T381:$W381,"&gt;"&amp;$T381)+(COUNTIF($T381:$W381,$T381)-1)/2</f>
        <v>4</v>
      </c>
      <c r="AC381" s="0" t="n">
        <f aca="false">1+COUNTIF($T381:$W381,"&gt;"&amp;$U381)+(COUNTIF($T381:$W381,$U381)-1)/2</f>
        <v>1</v>
      </c>
      <c r="AD381" s="0" t="n">
        <f aca="false">1+COUNTIF($T381:$W381,"&gt;"&amp;$V381)+(COUNTIF($T381:$W381,$V381)-1)/2</f>
        <v>2</v>
      </c>
      <c r="AE381" s="0" t="n">
        <f aca="false">1+COUNTIF($T381:$W381,"&gt;"&amp;$W381)+(COUNTIF($T381:$W381,$W381)-1)/2</f>
        <v>3</v>
      </c>
      <c r="AF381" s="0" t="n">
        <f aca="false">IFERROR(CORREL($P381:$S381,$T381:$W381),"")</f>
        <v>-0.264908962914523</v>
      </c>
      <c r="AG381" s="0" t="n">
        <f aca="false">IFERROR(CORREL($X381:$AA381,$AB381:$AE381),"")</f>
        <v>-0.316227766016838</v>
      </c>
      <c r="AH381" s="0" t="n">
        <f aca="false">IFERROR((SIGN($P381-$Q381)*SIGN($T381-$U381)+SIGN($P381-$R381)*SIGN($T381-$V381)+SIGN($P381-$S381)*SIGN($T381-$W381)+SIGN($Q381-$R381)*SIGN($U381-$V381)+SIGN($Q381-$S381)*SIGN($U381-$W381)+SIGN($R381-$S381)*SIGN($V381-$W381))/SQRT((6-(($P381=$Q381)*1+($P381=$R381)*1+($P381=$S381)*1+($Q381=$R381)*1+($Q381=$S381)*1+($R381=$S381)*1))*(6-(($T381=$U381)*1+($T381=$V381)*1+($T381=$W381)*1+($U381=$V381)*1+($U381=$W381)*1+($V381=$W381)*1))),"")</f>
        <v>-0.182574185835055</v>
      </c>
      <c r="AI381" s="0" t="n">
        <f aca="false">MATCH(MAX($K381:$O381),$K381:$O381,0)</f>
        <v>3</v>
      </c>
      <c r="AJ381" s="0" t="n">
        <f aca="false">IF(AI381&lt;&gt;$E381,1,0)</f>
        <v>1</v>
      </c>
      <c r="AK381" s="0" t="n">
        <f aca="false">IF(AJ381=1,INDEX($F381:$J381,AI381)/MAX($P381:$S381),"")</f>
        <v>0.699507389162562</v>
      </c>
      <c r="AL381" s="0" t="n">
        <f aca="false">IF(AJ381=1,1+COUNTIF($P381:$S381,"&gt;"&amp;INDEX($F381:$J381,AI381)),"")</f>
        <v>2</v>
      </c>
      <c r="AM381" s="0" t="n">
        <f aca="false">AVERAGE($P381:$S381)/MAX($P381:$S381)</f>
        <v>0.678571428571429</v>
      </c>
      <c r="AN381" s="0" t="n">
        <f aca="false">100-INDEX($F381:$J381,$E381)</f>
        <v>55.1</v>
      </c>
    </row>
    <row r="382" customFormat="false" ht="15" hidden="false" customHeight="false" outlineLevel="0" collapsed="false">
      <c r="A382" s="0" t="s">
        <v>57</v>
      </c>
      <c r="B382" s="0" t="n">
        <v>2023</v>
      </c>
      <c r="C382" s="0" t="s">
        <v>49</v>
      </c>
      <c r="D382" s="0" t="s">
        <v>42</v>
      </c>
      <c r="E382" s="0" t="n">
        <v>1</v>
      </c>
      <c r="F382" s="0" t="n">
        <v>38.7</v>
      </c>
      <c r="G382" s="0" t="n">
        <v>20.1</v>
      </c>
      <c r="H382" s="0" t="n">
        <v>19.7</v>
      </c>
      <c r="I382" s="0" t="n">
        <v>12.6</v>
      </c>
      <c r="J382" s="0" t="n">
        <v>9</v>
      </c>
      <c r="K382" s="0" t="n">
        <v>25.5137324893</v>
      </c>
      <c r="L382" s="0" t="n">
        <v>25.8125732589</v>
      </c>
      <c r="M382" s="0" t="n">
        <v>44.4065955602</v>
      </c>
      <c r="N382" s="0" t="n">
        <v>3.90900672319</v>
      </c>
      <c r="O382" s="0" t="n">
        <v>0.358091968362</v>
      </c>
      <c r="P382" s="0" t="n">
        <f aca="false">INDEX($F382:$J382,IF(1&lt;$E382,1,1+1))</f>
        <v>20.1</v>
      </c>
      <c r="Q382" s="0" t="n">
        <f aca="false">INDEX($F382:$J382,IF(2&lt;$E382,2,2+1))</f>
        <v>19.7</v>
      </c>
      <c r="R382" s="0" t="n">
        <f aca="false">INDEX($F382:$J382,IF(3&lt;$E382,3,3+1))</f>
        <v>12.6</v>
      </c>
      <c r="S382" s="0" t="n">
        <f aca="false">INDEX($F382:$J382,IF(4&lt;$E382,4,4+1))</f>
        <v>9</v>
      </c>
      <c r="T382" s="0" t="n">
        <f aca="false">INDEX($K382:$O382,IF(1&lt;$E382,1,1+1))</f>
        <v>25.8125732589</v>
      </c>
      <c r="U382" s="0" t="n">
        <f aca="false">INDEX($K382:$O382,IF(2&lt;$E382,2,2+1))</f>
        <v>44.4065955602</v>
      </c>
      <c r="V382" s="0" t="n">
        <f aca="false">INDEX($K382:$O382,IF(3&lt;$E382,3,3+1))</f>
        <v>3.90900672319</v>
      </c>
      <c r="W382" s="0" t="n">
        <f aca="false">INDEX($K382:$O382,IF(4&lt;$E382,4,4+1))</f>
        <v>0.358091968362</v>
      </c>
      <c r="X382" s="0" t="n">
        <f aca="false">1+COUNTIF($P382:$S382,"&gt;"&amp;$P382)+(COUNTIF($P382:$S382,$P382)-1)/2</f>
        <v>1</v>
      </c>
      <c r="Y382" s="0" t="n">
        <f aca="false">1+COUNTIF($P382:$S382,"&gt;"&amp;$Q382)+(COUNTIF($P382:$S382,$Q382)-1)/2</f>
        <v>2</v>
      </c>
      <c r="Z382" s="0" t="n">
        <f aca="false">1+COUNTIF($P382:$S382,"&gt;"&amp;$R382)+(COUNTIF($P382:$S382,$R382)-1)/2</f>
        <v>3</v>
      </c>
      <c r="AA382" s="0" t="n">
        <f aca="false">1+COUNTIF($P382:$S382,"&gt;"&amp;$S382)+(COUNTIF($P382:$S382,$S382)-1)/2</f>
        <v>4</v>
      </c>
      <c r="AB382" s="0" t="n">
        <f aca="false">1+COUNTIF($T382:$W382,"&gt;"&amp;$T382)+(COUNTIF($T382:$W382,$T382)-1)/2</f>
        <v>2</v>
      </c>
      <c r="AC382" s="0" t="n">
        <f aca="false">1+COUNTIF($T382:$W382,"&gt;"&amp;$U382)+(COUNTIF($T382:$W382,$U382)-1)/2</f>
        <v>1</v>
      </c>
      <c r="AD382" s="0" t="n">
        <f aca="false">1+COUNTIF($T382:$W382,"&gt;"&amp;$V382)+(COUNTIF($T382:$W382,$V382)-1)/2</f>
        <v>3</v>
      </c>
      <c r="AE382" s="0" t="n">
        <f aca="false">1+COUNTIF($T382:$W382,"&gt;"&amp;$W382)+(COUNTIF($T382:$W382,$W382)-1)/2</f>
        <v>4</v>
      </c>
      <c r="AF382" s="0" t="n">
        <f aca="false">IFERROR(CORREL($P382:$S382,$T382:$W382),"")</f>
        <v>0.899863620991843</v>
      </c>
      <c r="AG382" s="0" t="n">
        <f aca="false">IFERROR(CORREL($X382:$AA382,$AB382:$AE382),"")</f>
        <v>0.8</v>
      </c>
      <c r="AH382" s="0" t="n">
        <f aca="false">IFERROR((SIGN($P382-$Q382)*SIGN($T382-$U382)+SIGN($P382-$R382)*SIGN($T382-$V382)+SIGN($P382-$S382)*SIGN($T382-$W382)+SIGN($Q382-$R382)*SIGN($U382-$V382)+SIGN($Q382-$S382)*SIGN($U382-$W382)+SIGN($R382-$S382)*SIGN($V382-$W382))/SQRT((6-(($P382=$Q382)*1+($P382=$R382)*1+($P382=$S382)*1+($Q382=$R382)*1+($Q382=$S382)*1+($R382=$S382)*1))*(6-(($T382=$U382)*1+($T382=$V382)*1+($T382=$W382)*1+($U382=$V382)*1+($U382=$W382)*1+($V382=$W382)*1))),"")</f>
        <v>0.666666666666667</v>
      </c>
      <c r="AI382" s="0" t="n">
        <f aca="false">MATCH(MAX($K382:$O382),$K382:$O382,0)</f>
        <v>3</v>
      </c>
      <c r="AJ382" s="0" t="n">
        <f aca="false">IF(AI382&lt;&gt;$E382,1,0)</f>
        <v>1</v>
      </c>
      <c r="AK382" s="0" t="n">
        <f aca="false">IF(AJ382=1,INDEX($F382:$J382,AI382)/MAX($P382:$S382),"")</f>
        <v>0.980099502487562</v>
      </c>
      <c r="AL382" s="0" t="n">
        <f aca="false">IF(AJ382=1,1+COUNTIF($P382:$S382,"&gt;"&amp;INDEX($F382:$J382,AI382)),"")</f>
        <v>2</v>
      </c>
      <c r="AM382" s="0" t="n">
        <f aca="false">AVERAGE($P382:$S382)/MAX($P382:$S382)</f>
        <v>0.763681592039801</v>
      </c>
      <c r="AN382" s="0" t="n">
        <f aca="false">100-INDEX($F382:$J382,$E382)</f>
        <v>61.3</v>
      </c>
    </row>
    <row r="383" customFormat="false" ht="15" hidden="false" customHeight="false" outlineLevel="0" collapsed="false">
      <c r="A383" s="0" t="s">
        <v>57</v>
      </c>
      <c r="B383" s="0" t="n">
        <v>2023</v>
      </c>
      <c r="C383" s="0" t="s">
        <v>49</v>
      </c>
      <c r="D383" s="0" t="s">
        <v>43</v>
      </c>
      <c r="E383" s="0" t="n">
        <v>4</v>
      </c>
      <c r="F383" s="0" t="n">
        <v>17.2</v>
      </c>
      <c r="G383" s="0" t="n">
        <v>21.8</v>
      </c>
      <c r="H383" s="0" t="n">
        <v>10.7</v>
      </c>
      <c r="I383" s="0" t="n">
        <v>42.9</v>
      </c>
      <c r="J383" s="0" t="n">
        <v>7.3</v>
      </c>
      <c r="K383" s="0" t="n">
        <v>20.5007855431</v>
      </c>
      <c r="L383" s="0" t="n">
        <v>36.8069751426</v>
      </c>
      <c r="M383" s="0" t="n">
        <v>3.80371007666</v>
      </c>
      <c r="N383" s="0" t="n">
        <v>33.0483716989</v>
      </c>
      <c r="O383" s="0" t="n">
        <v>5.84015753872</v>
      </c>
      <c r="P383" s="0" t="n">
        <f aca="false">INDEX($F383:$J383,IF(1&lt;$E383,1,1+1))</f>
        <v>17.2</v>
      </c>
      <c r="Q383" s="0" t="n">
        <f aca="false">INDEX($F383:$J383,IF(2&lt;$E383,2,2+1))</f>
        <v>21.8</v>
      </c>
      <c r="R383" s="0" t="n">
        <f aca="false">INDEX($F383:$J383,IF(3&lt;$E383,3,3+1))</f>
        <v>10.7</v>
      </c>
      <c r="S383" s="0" t="n">
        <f aca="false">INDEX($F383:$J383,IF(4&lt;$E383,4,4+1))</f>
        <v>7.3</v>
      </c>
      <c r="T383" s="0" t="n">
        <f aca="false">INDEX($K383:$O383,IF(1&lt;$E383,1,1+1))</f>
        <v>20.5007855431</v>
      </c>
      <c r="U383" s="0" t="n">
        <f aca="false">INDEX($K383:$O383,IF(2&lt;$E383,2,2+1))</f>
        <v>36.8069751426</v>
      </c>
      <c r="V383" s="0" t="n">
        <f aca="false">INDEX($K383:$O383,IF(3&lt;$E383,3,3+1))</f>
        <v>3.80371007666</v>
      </c>
      <c r="W383" s="0" t="n">
        <f aca="false">INDEX($K383:$O383,IF(4&lt;$E383,4,4+1))</f>
        <v>5.84015753872</v>
      </c>
      <c r="X383" s="0" t="n">
        <f aca="false">1+COUNTIF($P383:$S383,"&gt;"&amp;$P383)+(COUNTIF($P383:$S383,$P383)-1)/2</f>
        <v>2</v>
      </c>
      <c r="Y383" s="0" t="n">
        <f aca="false">1+COUNTIF($P383:$S383,"&gt;"&amp;$Q383)+(COUNTIF($P383:$S383,$Q383)-1)/2</f>
        <v>1</v>
      </c>
      <c r="Z383" s="0" t="n">
        <f aca="false">1+COUNTIF($P383:$S383,"&gt;"&amp;$R383)+(COUNTIF($P383:$S383,$R383)-1)/2</f>
        <v>3</v>
      </c>
      <c r="AA383" s="0" t="n">
        <f aca="false">1+COUNTIF($P383:$S383,"&gt;"&amp;$S383)+(COUNTIF($P383:$S383,$S383)-1)/2</f>
        <v>4</v>
      </c>
      <c r="AB383" s="0" t="n">
        <f aca="false">1+COUNTIF($T383:$W383,"&gt;"&amp;$T383)+(COUNTIF($T383:$W383,$T383)-1)/2</f>
        <v>2</v>
      </c>
      <c r="AC383" s="0" t="n">
        <f aca="false">1+COUNTIF($T383:$W383,"&gt;"&amp;$U383)+(COUNTIF($T383:$W383,$U383)-1)/2</f>
        <v>1</v>
      </c>
      <c r="AD383" s="0" t="n">
        <f aca="false">1+COUNTIF($T383:$W383,"&gt;"&amp;$V383)+(COUNTIF($T383:$W383,$V383)-1)/2</f>
        <v>4</v>
      </c>
      <c r="AE383" s="0" t="n">
        <f aca="false">1+COUNTIF($T383:$W383,"&gt;"&amp;$W383)+(COUNTIF($T383:$W383,$W383)-1)/2</f>
        <v>3</v>
      </c>
      <c r="AF383" s="0" t="n">
        <f aca="false">IFERROR(CORREL($P383:$S383,$T383:$W383),"")</f>
        <v>0.952877279837197</v>
      </c>
      <c r="AG383" s="0" t="n">
        <f aca="false">IFERROR(CORREL($X383:$AA383,$AB383:$AE383),"")</f>
        <v>0.8</v>
      </c>
      <c r="AH383" s="0" t="n">
        <f aca="false">IFERROR((SIGN($P383-$Q383)*SIGN($T383-$U383)+SIGN($P383-$R383)*SIGN($T383-$V383)+SIGN($P383-$S383)*SIGN($T383-$W383)+SIGN($Q383-$R383)*SIGN($U383-$V383)+SIGN($Q383-$S383)*SIGN($U383-$W383)+SIGN($R383-$S383)*SIGN($V383-$W383))/SQRT((6-(($P383=$Q383)*1+($P383=$R383)*1+($P383=$S383)*1+($Q383=$R383)*1+($Q383=$S383)*1+($R383=$S383)*1))*(6-(($T383=$U383)*1+($T383=$V383)*1+($T383=$W383)*1+($U383=$V383)*1+($U383=$W383)*1+($V383=$W383)*1))),"")</f>
        <v>0.666666666666667</v>
      </c>
      <c r="AI383" s="0" t="n">
        <f aca="false">MATCH(MAX($K383:$O383),$K383:$O383,0)</f>
        <v>2</v>
      </c>
      <c r="AJ383" s="0" t="n">
        <f aca="false">IF(AI383&lt;&gt;$E383,1,0)</f>
        <v>1</v>
      </c>
      <c r="AK383" s="0" t="n">
        <f aca="false">IF(AJ383=1,INDEX($F383:$J383,AI383)/MAX($P383:$S383),"")</f>
        <v>1</v>
      </c>
      <c r="AL383" s="0" t="n">
        <f aca="false">IF(AJ383=1,1+COUNTIF($P383:$S383,"&gt;"&amp;INDEX($F383:$J383,AI383)),"")</f>
        <v>1</v>
      </c>
      <c r="AM383" s="0" t="n">
        <f aca="false">AVERAGE($P383:$S383)/MAX($P383:$S383)</f>
        <v>0.653669724770642</v>
      </c>
      <c r="AN383" s="0" t="n">
        <f aca="false">100-INDEX($F383:$J383,$E383)</f>
        <v>57.1</v>
      </c>
    </row>
    <row r="384" customFormat="false" ht="15" hidden="false" customHeight="false" outlineLevel="0" collapsed="false">
      <c r="A384" s="0" t="s">
        <v>57</v>
      </c>
      <c r="B384" s="0" t="n">
        <v>2023</v>
      </c>
      <c r="C384" s="0" t="s">
        <v>49</v>
      </c>
      <c r="D384" s="0" t="s">
        <v>44</v>
      </c>
      <c r="E384" s="0" t="n">
        <v>2</v>
      </c>
      <c r="F384" s="0" t="n">
        <v>10.4</v>
      </c>
      <c r="G384" s="0" t="n">
        <v>30.5</v>
      </c>
      <c r="H384" s="0" t="n">
        <v>17.3</v>
      </c>
      <c r="I384" s="0" t="n">
        <v>30.7</v>
      </c>
      <c r="J384" s="0" t="n">
        <v>11</v>
      </c>
      <c r="K384" s="0" t="n">
        <v>25.909713247</v>
      </c>
      <c r="L384" s="0" t="n">
        <v>8.39669243461</v>
      </c>
      <c r="M384" s="0" t="n">
        <v>25.6523864901</v>
      </c>
      <c r="N384" s="0" t="n">
        <v>28.4197339462</v>
      </c>
      <c r="O384" s="0" t="n">
        <v>11.621473882</v>
      </c>
      <c r="P384" s="0" t="n">
        <f aca="false">INDEX($F384:$J384,IF(1&lt;$E384,1,1+1))</f>
        <v>10.4</v>
      </c>
      <c r="Q384" s="0" t="n">
        <f aca="false">INDEX($F384:$J384,IF(2&lt;$E384,2,2+1))</f>
        <v>17.3</v>
      </c>
      <c r="R384" s="0" t="n">
        <f aca="false">INDEX($F384:$J384,IF(3&lt;$E384,3,3+1))</f>
        <v>30.7</v>
      </c>
      <c r="S384" s="0" t="n">
        <f aca="false">INDEX($F384:$J384,IF(4&lt;$E384,4,4+1))</f>
        <v>11</v>
      </c>
      <c r="T384" s="0" t="n">
        <f aca="false">INDEX($K384:$O384,IF(1&lt;$E384,1,1+1))</f>
        <v>25.909713247</v>
      </c>
      <c r="U384" s="0" t="n">
        <f aca="false">INDEX($K384:$O384,IF(2&lt;$E384,2,2+1))</f>
        <v>25.6523864901</v>
      </c>
      <c r="V384" s="0" t="n">
        <f aca="false">INDEX($K384:$O384,IF(3&lt;$E384,3,3+1))</f>
        <v>28.4197339462</v>
      </c>
      <c r="W384" s="0" t="n">
        <f aca="false">INDEX($K384:$O384,IF(4&lt;$E384,4,4+1))</f>
        <v>11.621473882</v>
      </c>
      <c r="X384" s="0" t="n">
        <f aca="false">1+COUNTIF($P384:$S384,"&gt;"&amp;$P384)+(COUNTIF($P384:$S384,$P384)-1)/2</f>
        <v>4</v>
      </c>
      <c r="Y384" s="0" t="n">
        <f aca="false">1+COUNTIF($P384:$S384,"&gt;"&amp;$Q384)+(COUNTIF($P384:$S384,$Q384)-1)/2</f>
        <v>2</v>
      </c>
      <c r="Z384" s="0" t="n">
        <f aca="false">1+COUNTIF($P384:$S384,"&gt;"&amp;$R384)+(COUNTIF($P384:$S384,$R384)-1)/2</f>
        <v>1</v>
      </c>
      <c r="AA384" s="0" t="n">
        <f aca="false">1+COUNTIF($P384:$S384,"&gt;"&amp;$S384)+(COUNTIF($P384:$S384,$S384)-1)/2</f>
        <v>3</v>
      </c>
      <c r="AB384" s="0" t="n">
        <f aca="false">1+COUNTIF($T384:$W384,"&gt;"&amp;$T384)+(COUNTIF($T384:$W384,$T384)-1)/2</f>
        <v>2</v>
      </c>
      <c r="AC384" s="0" t="n">
        <f aca="false">1+COUNTIF($T384:$W384,"&gt;"&amp;$U384)+(COUNTIF($T384:$W384,$U384)-1)/2</f>
        <v>3</v>
      </c>
      <c r="AD384" s="0" t="n">
        <f aca="false">1+COUNTIF($T384:$W384,"&gt;"&amp;$V384)+(COUNTIF($T384:$W384,$V384)-1)/2</f>
        <v>1</v>
      </c>
      <c r="AE384" s="0" t="n">
        <f aca="false">1+COUNTIF($T384:$W384,"&gt;"&amp;$W384)+(COUNTIF($T384:$W384,$W384)-1)/2</f>
        <v>4</v>
      </c>
      <c r="AF384" s="0" t="n">
        <f aca="false">IFERROR(CORREL($P384:$S384,$T384:$W384),"")</f>
        <v>0.576119688479468</v>
      </c>
      <c r="AG384" s="0" t="n">
        <f aca="false">IFERROR(CORREL($X384:$AA384,$AB384:$AE384),"")</f>
        <v>0.4</v>
      </c>
      <c r="AH384" s="0" t="n">
        <f aca="false">IFERROR((SIGN($P384-$Q384)*SIGN($T384-$U384)+SIGN($P384-$R384)*SIGN($T384-$V384)+SIGN($P384-$S384)*SIGN($T384-$W384)+SIGN($Q384-$R384)*SIGN($U384-$V384)+SIGN($Q384-$S384)*SIGN($U384-$W384)+SIGN($R384-$S384)*SIGN($V384-$W384))/SQRT((6-(($P384=$Q384)*1+($P384=$R384)*1+($P384=$S384)*1+($Q384=$R384)*1+($Q384=$S384)*1+($R384=$S384)*1))*(6-(($T384=$U384)*1+($T384=$V384)*1+($T384=$W384)*1+($U384=$V384)*1+($U384=$W384)*1+($V384=$W384)*1))),"")</f>
        <v>0.333333333333333</v>
      </c>
      <c r="AI384" s="0" t="n">
        <f aca="false">MATCH(MAX($K384:$O384),$K384:$O384,0)</f>
        <v>4</v>
      </c>
      <c r="AJ384" s="0" t="n">
        <f aca="false">IF(AI384&lt;&gt;$E384,1,0)</f>
        <v>1</v>
      </c>
      <c r="AK384" s="0" t="n">
        <f aca="false">IF(AJ384=1,INDEX($F384:$J384,AI384)/MAX($P384:$S384),"")</f>
        <v>1</v>
      </c>
      <c r="AL384" s="0" t="n">
        <f aca="false">IF(AJ384=1,1+COUNTIF($P384:$S384,"&gt;"&amp;INDEX($F384:$J384,AI384)),"")</f>
        <v>1</v>
      </c>
      <c r="AM384" s="0" t="n">
        <f aca="false">AVERAGE($P384:$S384)/MAX($P384:$S384)</f>
        <v>0.56514657980456</v>
      </c>
      <c r="AN384" s="0" t="n">
        <f aca="false">100-INDEX($F384:$J384,$E384)</f>
        <v>69.5</v>
      </c>
    </row>
    <row r="385" customFormat="false" ht="15" hidden="false" customHeight="false" outlineLevel="0" collapsed="false">
      <c r="A385" s="0" t="s">
        <v>57</v>
      </c>
      <c r="B385" s="0" t="n">
        <v>2023</v>
      </c>
      <c r="C385" s="0" t="s">
        <v>49</v>
      </c>
      <c r="D385" s="0" t="s">
        <v>45</v>
      </c>
      <c r="E385" s="0" t="n">
        <v>2</v>
      </c>
      <c r="F385" s="0" t="n">
        <v>12.9</v>
      </c>
      <c r="G385" s="0" t="n">
        <v>29.9</v>
      </c>
      <c r="H385" s="0" t="n">
        <v>22</v>
      </c>
      <c r="I385" s="0" t="n">
        <v>21.6</v>
      </c>
      <c r="J385" s="0" t="n">
        <v>13.6</v>
      </c>
      <c r="K385" s="0" t="n">
        <v>10.5931356511</v>
      </c>
      <c r="L385" s="0" t="n">
        <v>30.5173502456</v>
      </c>
      <c r="M385" s="0" t="n">
        <v>9.35188893655</v>
      </c>
      <c r="N385" s="0" t="n">
        <v>40.3125683516</v>
      </c>
      <c r="O385" s="0" t="n">
        <v>9.22505681521</v>
      </c>
      <c r="P385" s="0" t="n">
        <f aca="false">INDEX($F385:$J385,IF(1&lt;$E385,1,1+1))</f>
        <v>12.9</v>
      </c>
      <c r="Q385" s="0" t="n">
        <f aca="false">INDEX($F385:$J385,IF(2&lt;$E385,2,2+1))</f>
        <v>22</v>
      </c>
      <c r="R385" s="0" t="n">
        <f aca="false">INDEX($F385:$J385,IF(3&lt;$E385,3,3+1))</f>
        <v>21.6</v>
      </c>
      <c r="S385" s="0" t="n">
        <f aca="false">INDEX($F385:$J385,IF(4&lt;$E385,4,4+1))</f>
        <v>13.6</v>
      </c>
      <c r="T385" s="0" t="n">
        <f aca="false">INDEX($K385:$O385,IF(1&lt;$E385,1,1+1))</f>
        <v>10.5931356511</v>
      </c>
      <c r="U385" s="0" t="n">
        <f aca="false">INDEX($K385:$O385,IF(2&lt;$E385,2,2+1))</f>
        <v>9.35188893655</v>
      </c>
      <c r="V385" s="0" t="n">
        <f aca="false">INDEX($K385:$O385,IF(3&lt;$E385,3,3+1))</f>
        <v>40.3125683516</v>
      </c>
      <c r="W385" s="0" t="n">
        <f aca="false">INDEX($K385:$O385,IF(4&lt;$E385,4,4+1))</f>
        <v>9.22505681521</v>
      </c>
      <c r="X385" s="0" t="n">
        <f aca="false">1+COUNTIF($P385:$S385,"&gt;"&amp;$P385)+(COUNTIF($P385:$S385,$P385)-1)/2</f>
        <v>4</v>
      </c>
      <c r="Y385" s="0" t="n">
        <f aca="false">1+COUNTIF($P385:$S385,"&gt;"&amp;$Q385)+(COUNTIF($P385:$S385,$Q385)-1)/2</f>
        <v>1</v>
      </c>
      <c r="Z385" s="0" t="n">
        <f aca="false">1+COUNTIF($P385:$S385,"&gt;"&amp;$R385)+(COUNTIF($P385:$S385,$R385)-1)/2</f>
        <v>2</v>
      </c>
      <c r="AA385" s="0" t="n">
        <f aca="false">1+COUNTIF($P385:$S385,"&gt;"&amp;$S385)+(COUNTIF($P385:$S385,$S385)-1)/2</f>
        <v>3</v>
      </c>
      <c r="AB385" s="0" t="n">
        <f aca="false">1+COUNTIF($T385:$W385,"&gt;"&amp;$T385)+(COUNTIF($T385:$W385,$T385)-1)/2</f>
        <v>2</v>
      </c>
      <c r="AC385" s="0" t="n">
        <f aca="false">1+COUNTIF($T385:$W385,"&gt;"&amp;$U385)+(COUNTIF($T385:$W385,$U385)-1)/2</f>
        <v>3</v>
      </c>
      <c r="AD385" s="0" t="n">
        <f aca="false">1+COUNTIF($T385:$W385,"&gt;"&amp;$V385)+(COUNTIF($T385:$W385,$V385)-1)/2</f>
        <v>1</v>
      </c>
      <c r="AE385" s="0" t="n">
        <f aca="false">1+COUNTIF($T385:$W385,"&gt;"&amp;$W385)+(COUNTIF($T385:$W385,$W385)-1)/2</f>
        <v>4</v>
      </c>
      <c r="AF385" s="0" t="n">
        <f aca="false">IFERROR(CORREL($P385:$S385,$T385:$W385),"")</f>
        <v>0.532259118485086</v>
      </c>
      <c r="AG385" s="0" t="n">
        <f aca="false">IFERROR(CORREL($X385:$AA385,$AB385:$AE385),"")</f>
        <v>0</v>
      </c>
      <c r="AH385" s="0" t="n">
        <f aca="false">IFERROR((SIGN($P385-$Q385)*SIGN($T385-$U385)+SIGN($P385-$R385)*SIGN($T385-$V385)+SIGN($P385-$S385)*SIGN($T385-$W385)+SIGN($Q385-$R385)*SIGN($U385-$V385)+SIGN($Q385-$S385)*SIGN($U385-$W385)+SIGN($R385-$S385)*SIGN($V385-$W385))/SQRT((6-(($P385=$Q385)*1+($P385=$R385)*1+($P385=$S385)*1+($Q385=$R385)*1+($Q385=$S385)*1+($R385=$S385)*1))*(6-(($T385=$U385)*1+($T385=$V385)*1+($T385=$W385)*1+($U385=$V385)*1+($U385=$W385)*1+($V385=$W385)*1))),"")</f>
        <v>0</v>
      </c>
      <c r="AI385" s="0" t="n">
        <f aca="false">MATCH(MAX($K385:$O385),$K385:$O385,0)</f>
        <v>4</v>
      </c>
      <c r="AJ385" s="0" t="n">
        <f aca="false">IF(AI385&lt;&gt;$E385,1,0)</f>
        <v>1</v>
      </c>
      <c r="AK385" s="0" t="n">
        <f aca="false">IF(AJ385=1,INDEX($F385:$J385,AI385)/MAX($P385:$S385),"")</f>
        <v>0.981818181818182</v>
      </c>
      <c r="AL385" s="0" t="n">
        <f aca="false">IF(AJ385=1,1+COUNTIF($P385:$S385,"&gt;"&amp;INDEX($F385:$J385,AI385)),"")</f>
        <v>2</v>
      </c>
      <c r="AM385" s="0" t="n">
        <f aca="false">AVERAGE($P385:$S385)/MAX($P385:$S385)</f>
        <v>0.796590909090909</v>
      </c>
      <c r="AN385" s="0" t="n">
        <f aca="false">100-INDEX($F385:$J385,$E385)</f>
        <v>70.1</v>
      </c>
    </row>
    <row r="386" customFormat="false" ht="15" hidden="false" customHeight="false" outlineLevel="0" collapsed="false">
      <c r="A386" s="0" t="s">
        <v>57</v>
      </c>
      <c r="B386" s="0" t="n">
        <v>2023</v>
      </c>
      <c r="C386" s="0" t="s">
        <v>51</v>
      </c>
      <c r="D386" s="0" t="s">
        <v>42</v>
      </c>
      <c r="E386" s="0" t="n">
        <v>1</v>
      </c>
      <c r="F386" s="0" t="n">
        <v>52.1</v>
      </c>
      <c r="G386" s="0" t="n">
        <v>17.6</v>
      </c>
      <c r="H386" s="0" t="n">
        <v>10.4</v>
      </c>
      <c r="I386" s="0" t="n">
        <v>12.7</v>
      </c>
      <c r="J386" s="0" t="n">
        <v>7.3</v>
      </c>
      <c r="K386" s="0" t="n">
        <v>99.4965470761</v>
      </c>
      <c r="L386" s="0" t="n">
        <v>0.40747248667</v>
      </c>
      <c r="M386" s="0" t="n">
        <v>0.0884971346145</v>
      </c>
      <c r="N386" s="0" t="n">
        <v>0.00402045515766</v>
      </c>
      <c r="O386" s="0" t="n">
        <v>0.00346284746308</v>
      </c>
      <c r="P386" s="0" t="n">
        <f aca="false">INDEX($F386:$J386,IF(1&lt;$E386,1,1+1))</f>
        <v>17.6</v>
      </c>
      <c r="Q386" s="0" t="n">
        <f aca="false">INDEX($F386:$J386,IF(2&lt;$E386,2,2+1))</f>
        <v>10.4</v>
      </c>
      <c r="R386" s="0" t="n">
        <f aca="false">INDEX($F386:$J386,IF(3&lt;$E386,3,3+1))</f>
        <v>12.7</v>
      </c>
      <c r="S386" s="0" t="n">
        <f aca="false">INDEX($F386:$J386,IF(4&lt;$E386,4,4+1))</f>
        <v>7.3</v>
      </c>
      <c r="T386" s="0" t="n">
        <f aca="false">INDEX($K386:$O386,IF(1&lt;$E386,1,1+1))</f>
        <v>0.40747248667</v>
      </c>
      <c r="U386" s="0" t="n">
        <f aca="false">INDEX($K386:$O386,IF(2&lt;$E386,2,2+1))</f>
        <v>0.0884971346145</v>
      </c>
      <c r="V386" s="0" t="n">
        <f aca="false">INDEX($K386:$O386,IF(3&lt;$E386,3,3+1))</f>
        <v>0.00402045515766</v>
      </c>
      <c r="W386" s="0" t="n">
        <f aca="false">INDEX($K386:$O386,IF(4&lt;$E386,4,4+1))</f>
        <v>0.00346284746308</v>
      </c>
      <c r="X386" s="0" t="n">
        <f aca="false">1+COUNTIF($P386:$S386,"&gt;"&amp;$P386)+(COUNTIF($P386:$S386,$P386)-1)/2</f>
        <v>1</v>
      </c>
      <c r="Y386" s="0" t="n">
        <f aca="false">1+COUNTIF($P386:$S386,"&gt;"&amp;$Q386)+(COUNTIF($P386:$S386,$Q386)-1)/2</f>
        <v>3</v>
      </c>
      <c r="Z386" s="0" t="n">
        <f aca="false">1+COUNTIF($P386:$S386,"&gt;"&amp;$R386)+(COUNTIF($P386:$S386,$R386)-1)/2</f>
        <v>2</v>
      </c>
      <c r="AA386" s="0" t="n">
        <f aca="false">1+COUNTIF($P386:$S386,"&gt;"&amp;$S386)+(COUNTIF($P386:$S386,$S386)-1)/2</f>
        <v>4</v>
      </c>
      <c r="AB386" s="0" t="n">
        <f aca="false">1+COUNTIF($T386:$W386,"&gt;"&amp;$T386)+(COUNTIF($T386:$W386,$T386)-1)/2</f>
        <v>1</v>
      </c>
      <c r="AC386" s="0" t="n">
        <f aca="false">1+COUNTIF($T386:$W386,"&gt;"&amp;$U386)+(COUNTIF($T386:$W386,$U386)-1)/2</f>
        <v>2</v>
      </c>
      <c r="AD386" s="0" t="n">
        <f aca="false">1+COUNTIF($T386:$W386,"&gt;"&amp;$V386)+(COUNTIF($T386:$W386,$V386)-1)/2</f>
        <v>3</v>
      </c>
      <c r="AE386" s="0" t="n">
        <f aca="false">1+COUNTIF($T386:$W386,"&gt;"&amp;$W386)+(COUNTIF($T386:$W386,$W386)-1)/2</f>
        <v>4</v>
      </c>
      <c r="AF386" s="0" t="n">
        <f aca="false">IFERROR(CORREL($P386:$S386,$T386:$W386),"")</f>
        <v>0.851069587697025</v>
      </c>
      <c r="AG386" s="0" t="n">
        <f aca="false">IFERROR(CORREL($X386:$AA386,$AB386:$AE386),"")</f>
        <v>0.8</v>
      </c>
      <c r="AH386" s="0" t="n">
        <f aca="false">IFERROR((SIGN($P386-$Q386)*SIGN($T386-$U386)+SIGN($P386-$R386)*SIGN($T386-$V386)+SIGN($P386-$S386)*SIGN($T386-$W386)+SIGN($Q386-$R386)*SIGN($U386-$V386)+SIGN($Q386-$S386)*SIGN($U386-$W386)+SIGN($R386-$S386)*SIGN($V386-$W386))/SQRT((6-(($P386=$Q386)*1+($P386=$R386)*1+($P386=$S386)*1+($Q386=$R386)*1+($Q386=$S386)*1+($R386=$S386)*1))*(6-(($T386=$U386)*1+($T386=$V386)*1+($T386=$W386)*1+($U386=$V386)*1+($U386=$W386)*1+($V386=$W386)*1))),"")</f>
        <v>0.666666666666667</v>
      </c>
      <c r="AI386" s="0" t="n">
        <f aca="false">MATCH(MAX($K386:$O386),$K386:$O386,0)</f>
        <v>1</v>
      </c>
      <c r="AJ386" s="0" t="n">
        <f aca="false">IF(AI386&lt;&gt;$E386,1,0)</f>
        <v>0</v>
      </c>
      <c r="AK386" s="0" t="str">
        <f aca="false">IF(AJ386=1,INDEX($F386:$J386,AI386)/MAX($P386:$S386),"")</f>
        <v/>
      </c>
      <c r="AL386" s="0" t="str">
        <f aca="false">IF(AJ386=1,1+COUNTIF($P386:$S386,"&gt;"&amp;INDEX($F386:$J386,AI386)),"")</f>
        <v/>
      </c>
      <c r="AM386" s="0" t="n">
        <f aca="false">AVERAGE($P386:$S386)/MAX($P386:$S386)</f>
        <v>0.681818181818182</v>
      </c>
      <c r="AN386" s="0" t="n">
        <f aca="false">100-INDEX($F386:$J386,$E386)</f>
        <v>47.9</v>
      </c>
    </row>
    <row r="387" customFormat="false" ht="15" hidden="false" customHeight="false" outlineLevel="0" collapsed="false">
      <c r="A387" s="0" t="s">
        <v>57</v>
      </c>
      <c r="B387" s="0" t="n">
        <v>2023</v>
      </c>
      <c r="C387" s="0" t="s">
        <v>51</v>
      </c>
      <c r="D387" s="0" t="s">
        <v>43</v>
      </c>
      <c r="E387" s="0" t="n">
        <v>3</v>
      </c>
      <c r="F387" s="0" t="n">
        <v>20.4</v>
      </c>
      <c r="G387" s="0" t="n">
        <v>18.6</v>
      </c>
      <c r="H387" s="0" t="n">
        <v>37.4</v>
      </c>
      <c r="I387" s="0" t="n">
        <v>11.4</v>
      </c>
      <c r="J387" s="0" t="n">
        <v>12.2</v>
      </c>
      <c r="K387" s="0" t="n">
        <v>15.7499360762</v>
      </c>
      <c r="L387" s="0" t="n">
        <v>15.7630419546</v>
      </c>
      <c r="M387" s="0" t="n">
        <v>44.9881790468</v>
      </c>
      <c r="N387" s="0" t="n">
        <v>1.66379082687</v>
      </c>
      <c r="O387" s="0" t="n">
        <v>21.8350520955</v>
      </c>
      <c r="P387" s="0" t="n">
        <f aca="false">INDEX($F387:$J387,IF(1&lt;$E387,1,1+1))</f>
        <v>20.4</v>
      </c>
      <c r="Q387" s="0" t="n">
        <f aca="false">INDEX($F387:$J387,IF(2&lt;$E387,2,2+1))</f>
        <v>18.6</v>
      </c>
      <c r="R387" s="0" t="n">
        <f aca="false">INDEX($F387:$J387,IF(3&lt;$E387,3,3+1))</f>
        <v>11.4</v>
      </c>
      <c r="S387" s="0" t="n">
        <f aca="false">INDEX($F387:$J387,IF(4&lt;$E387,4,4+1))</f>
        <v>12.2</v>
      </c>
      <c r="T387" s="0" t="n">
        <f aca="false">INDEX($K387:$O387,IF(1&lt;$E387,1,1+1))</f>
        <v>15.7499360762</v>
      </c>
      <c r="U387" s="0" t="n">
        <f aca="false">INDEX($K387:$O387,IF(2&lt;$E387,2,2+1))</f>
        <v>15.7630419546</v>
      </c>
      <c r="V387" s="0" t="n">
        <f aca="false">INDEX($K387:$O387,IF(3&lt;$E387,3,3+1))</f>
        <v>1.66379082687</v>
      </c>
      <c r="W387" s="0" t="n">
        <f aca="false">INDEX($K387:$O387,IF(4&lt;$E387,4,4+1))</f>
        <v>21.8350520955</v>
      </c>
      <c r="X387" s="0" t="n">
        <f aca="false">1+COUNTIF($P387:$S387,"&gt;"&amp;$P387)+(COUNTIF($P387:$S387,$P387)-1)/2</f>
        <v>1</v>
      </c>
      <c r="Y387" s="0" t="n">
        <f aca="false">1+COUNTIF($P387:$S387,"&gt;"&amp;$Q387)+(COUNTIF($P387:$S387,$Q387)-1)/2</f>
        <v>2</v>
      </c>
      <c r="Z387" s="0" t="n">
        <f aca="false">1+COUNTIF($P387:$S387,"&gt;"&amp;$R387)+(COUNTIF($P387:$S387,$R387)-1)/2</f>
        <v>4</v>
      </c>
      <c r="AA387" s="0" t="n">
        <f aca="false">1+COUNTIF($P387:$S387,"&gt;"&amp;$S387)+(COUNTIF($P387:$S387,$S387)-1)/2</f>
        <v>3</v>
      </c>
      <c r="AB387" s="0" t="n">
        <f aca="false">1+COUNTIF($T387:$W387,"&gt;"&amp;$T387)+(COUNTIF($T387:$W387,$T387)-1)/2</f>
        <v>3</v>
      </c>
      <c r="AC387" s="0" t="n">
        <f aca="false">1+COUNTIF($T387:$W387,"&gt;"&amp;$U387)+(COUNTIF($T387:$W387,$U387)-1)/2</f>
        <v>2</v>
      </c>
      <c r="AD387" s="0" t="n">
        <f aca="false">1+COUNTIF($T387:$W387,"&gt;"&amp;$V387)+(COUNTIF($T387:$W387,$V387)-1)/2</f>
        <v>4</v>
      </c>
      <c r="AE387" s="0" t="n">
        <f aca="false">1+COUNTIF($T387:$W387,"&gt;"&amp;$W387)+(COUNTIF($T387:$W387,$W387)-1)/2</f>
        <v>1</v>
      </c>
      <c r="AF387" s="0" t="n">
        <f aca="false">IFERROR(CORREL($P387:$S387,$T387:$W387),"")</f>
        <v>0.335643190460324</v>
      </c>
      <c r="AG387" s="0" t="n">
        <f aca="false">IFERROR(CORREL($X387:$AA387,$AB387:$AE387),"")</f>
        <v>0.2</v>
      </c>
      <c r="AH387" s="0" t="n">
        <f aca="false">IFERROR((SIGN($P387-$Q387)*SIGN($T387-$U387)+SIGN($P387-$R387)*SIGN($T387-$V387)+SIGN($P387-$S387)*SIGN($T387-$W387)+SIGN($Q387-$R387)*SIGN($U387-$V387)+SIGN($Q387-$S387)*SIGN($U387-$W387)+SIGN($R387-$S387)*SIGN($V387-$W387))/SQRT((6-(($P387=$Q387)*1+($P387=$R387)*1+($P387=$S387)*1+($Q387=$R387)*1+($Q387=$S387)*1+($R387=$S387)*1))*(6-(($T387=$U387)*1+($T387=$V387)*1+($T387=$W387)*1+($U387=$V387)*1+($U387=$W387)*1+($V387=$W387)*1))),"")</f>
        <v>0</v>
      </c>
      <c r="AI387" s="0" t="n">
        <f aca="false">MATCH(MAX($K387:$O387),$K387:$O387,0)</f>
        <v>3</v>
      </c>
      <c r="AJ387" s="0" t="n">
        <f aca="false">IF(AI387&lt;&gt;$E387,1,0)</f>
        <v>0</v>
      </c>
      <c r="AK387" s="0" t="str">
        <f aca="false">IF(AJ387=1,INDEX($F387:$J387,AI387)/MAX($P387:$S387),"")</f>
        <v/>
      </c>
      <c r="AL387" s="0" t="str">
        <f aca="false">IF(AJ387=1,1+COUNTIF($P387:$S387,"&gt;"&amp;INDEX($F387:$J387,AI387)),"")</f>
        <v/>
      </c>
      <c r="AM387" s="0" t="n">
        <f aca="false">AVERAGE($P387:$S387)/MAX($P387:$S387)</f>
        <v>0.767156862745098</v>
      </c>
      <c r="AN387" s="0" t="n">
        <f aca="false">100-INDEX($F387:$J387,$E387)</f>
        <v>62.6</v>
      </c>
    </row>
    <row r="388" customFormat="false" ht="15" hidden="false" customHeight="false" outlineLevel="0" collapsed="false">
      <c r="A388" s="0" t="s">
        <v>57</v>
      </c>
      <c r="B388" s="0" t="n">
        <v>2023</v>
      </c>
      <c r="C388" s="0" t="s">
        <v>51</v>
      </c>
      <c r="D388" s="0" t="s">
        <v>44</v>
      </c>
      <c r="E388" s="0" t="n">
        <v>3</v>
      </c>
      <c r="F388" s="0" t="n">
        <v>15.1</v>
      </c>
      <c r="G388" s="0" t="n">
        <v>16.4</v>
      </c>
      <c r="H388" s="0" t="n">
        <v>39.8</v>
      </c>
      <c r="I388" s="0" t="n">
        <v>18.4</v>
      </c>
      <c r="J388" s="0" t="n">
        <v>10.3</v>
      </c>
      <c r="K388" s="0" t="n">
        <v>9.9918062013</v>
      </c>
      <c r="L388" s="0" t="n">
        <v>27.6334827186</v>
      </c>
      <c r="M388" s="0" t="n">
        <v>20.6467885678</v>
      </c>
      <c r="N388" s="0" t="n">
        <v>11.288997691</v>
      </c>
      <c r="O388" s="0" t="n">
        <v>30.4389248214</v>
      </c>
      <c r="P388" s="0" t="n">
        <f aca="false">INDEX($F388:$J388,IF(1&lt;$E388,1,1+1))</f>
        <v>15.1</v>
      </c>
      <c r="Q388" s="0" t="n">
        <f aca="false">INDEX($F388:$J388,IF(2&lt;$E388,2,2+1))</f>
        <v>16.4</v>
      </c>
      <c r="R388" s="0" t="n">
        <f aca="false">INDEX($F388:$J388,IF(3&lt;$E388,3,3+1))</f>
        <v>18.4</v>
      </c>
      <c r="S388" s="0" t="n">
        <f aca="false">INDEX($F388:$J388,IF(4&lt;$E388,4,4+1))</f>
        <v>10.3</v>
      </c>
      <c r="T388" s="0" t="n">
        <f aca="false">INDEX($K388:$O388,IF(1&lt;$E388,1,1+1))</f>
        <v>9.9918062013</v>
      </c>
      <c r="U388" s="0" t="n">
        <f aca="false">INDEX($K388:$O388,IF(2&lt;$E388,2,2+1))</f>
        <v>27.6334827186</v>
      </c>
      <c r="V388" s="0" t="n">
        <f aca="false">INDEX($K388:$O388,IF(3&lt;$E388,3,3+1))</f>
        <v>11.288997691</v>
      </c>
      <c r="W388" s="0" t="n">
        <f aca="false">INDEX($K388:$O388,IF(4&lt;$E388,4,4+1))</f>
        <v>30.4389248214</v>
      </c>
      <c r="X388" s="0" t="n">
        <f aca="false">1+COUNTIF($P388:$S388,"&gt;"&amp;$P388)+(COUNTIF($P388:$S388,$P388)-1)/2</f>
        <v>3</v>
      </c>
      <c r="Y388" s="0" t="n">
        <f aca="false">1+COUNTIF($P388:$S388,"&gt;"&amp;$Q388)+(COUNTIF($P388:$S388,$Q388)-1)/2</f>
        <v>2</v>
      </c>
      <c r="Z388" s="0" t="n">
        <f aca="false">1+COUNTIF($P388:$S388,"&gt;"&amp;$R388)+(COUNTIF($P388:$S388,$R388)-1)/2</f>
        <v>1</v>
      </c>
      <c r="AA388" s="0" t="n">
        <f aca="false">1+COUNTIF($P388:$S388,"&gt;"&amp;$S388)+(COUNTIF($P388:$S388,$S388)-1)/2</f>
        <v>4</v>
      </c>
      <c r="AB388" s="0" t="n">
        <f aca="false">1+COUNTIF($T388:$W388,"&gt;"&amp;$T388)+(COUNTIF($T388:$W388,$T388)-1)/2</f>
        <v>4</v>
      </c>
      <c r="AC388" s="0" t="n">
        <f aca="false">1+COUNTIF($T388:$W388,"&gt;"&amp;$U388)+(COUNTIF($T388:$W388,$U388)-1)/2</f>
        <v>2</v>
      </c>
      <c r="AD388" s="0" t="n">
        <f aca="false">1+COUNTIF($T388:$W388,"&gt;"&amp;$V388)+(COUNTIF($T388:$W388,$V388)-1)/2</f>
        <v>3</v>
      </c>
      <c r="AE388" s="0" t="n">
        <f aca="false">1+COUNTIF($T388:$W388,"&gt;"&amp;$W388)+(COUNTIF($T388:$W388,$W388)-1)/2</f>
        <v>1</v>
      </c>
      <c r="AF388" s="0" t="n">
        <f aca="false">IFERROR(CORREL($P388:$S388,$T388:$W388),"")</f>
        <v>-0.623822835052048</v>
      </c>
      <c r="AG388" s="0" t="n">
        <f aca="false">IFERROR(CORREL($X388:$AA388,$AB388:$AE388),"")</f>
        <v>-0.4</v>
      </c>
      <c r="AH388" s="0" t="n">
        <f aca="false">IFERROR((SIGN($P388-$Q388)*SIGN($T388-$U388)+SIGN($P388-$R388)*SIGN($T388-$V388)+SIGN($P388-$S388)*SIGN($T388-$W388)+SIGN($Q388-$R388)*SIGN($U388-$V388)+SIGN($Q388-$S388)*SIGN($U388-$W388)+SIGN($R388-$S388)*SIGN($V388-$W388))/SQRT((6-(($P388=$Q388)*1+($P388=$R388)*1+($P388=$S388)*1+($Q388=$R388)*1+($Q388=$S388)*1+($R388=$S388)*1))*(6-(($T388=$U388)*1+($T388=$V388)*1+($T388=$W388)*1+($U388=$V388)*1+($U388=$W388)*1+($V388=$W388)*1))),"")</f>
        <v>-0.333333333333333</v>
      </c>
      <c r="AI388" s="0" t="n">
        <f aca="false">MATCH(MAX($K388:$O388),$K388:$O388,0)</f>
        <v>5</v>
      </c>
      <c r="AJ388" s="0" t="n">
        <f aca="false">IF(AI388&lt;&gt;$E388,1,0)</f>
        <v>1</v>
      </c>
      <c r="AK388" s="0" t="n">
        <f aca="false">IF(AJ388=1,INDEX($F388:$J388,AI388)/MAX($P388:$S388),"")</f>
        <v>0.559782608695652</v>
      </c>
      <c r="AL388" s="0" t="n">
        <f aca="false">IF(AJ388=1,1+COUNTIF($P388:$S388,"&gt;"&amp;INDEX($F388:$J388,AI388)),"")</f>
        <v>4</v>
      </c>
      <c r="AM388" s="0" t="n">
        <f aca="false">AVERAGE($P388:$S388)/MAX($P388:$S388)</f>
        <v>0.817934782608696</v>
      </c>
      <c r="AN388" s="0" t="n">
        <f aca="false">100-INDEX($F388:$J388,$E388)</f>
        <v>60.2</v>
      </c>
    </row>
    <row r="389" customFormat="false" ht="15" hidden="false" customHeight="false" outlineLevel="0" collapsed="false">
      <c r="A389" s="0" t="s">
        <v>57</v>
      </c>
      <c r="B389" s="0" t="n">
        <v>2023</v>
      </c>
      <c r="C389" s="0" t="s">
        <v>51</v>
      </c>
      <c r="D389" s="0" t="s">
        <v>45</v>
      </c>
      <c r="E389" s="0" t="n">
        <v>5</v>
      </c>
      <c r="F389" s="0" t="n">
        <v>17</v>
      </c>
      <c r="G389" s="0" t="n">
        <v>15.7</v>
      </c>
      <c r="H389" s="0" t="n">
        <v>19.1</v>
      </c>
      <c r="I389" s="0" t="n">
        <v>22</v>
      </c>
      <c r="J389" s="0" t="n">
        <v>26.2</v>
      </c>
      <c r="K389" s="0" t="n">
        <v>5.58800679887</v>
      </c>
      <c r="L389" s="0" t="n">
        <v>12.5754121246</v>
      </c>
      <c r="M389" s="0" t="n">
        <v>28.2471571898</v>
      </c>
      <c r="N389" s="0" t="n">
        <v>20.8913494025</v>
      </c>
      <c r="O389" s="0" t="n">
        <v>32.6980744843</v>
      </c>
      <c r="P389" s="0" t="n">
        <f aca="false">INDEX($F389:$J389,IF(1&lt;$E389,1,1+1))</f>
        <v>17</v>
      </c>
      <c r="Q389" s="0" t="n">
        <f aca="false">INDEX($F389:$J389,IF(2&lt;$E389,2,2+1))</f>
        <v>15.7</v>
      </c>
      <c r="R389" s="0" t="n">
        <f aca="false">INDEX($F389:$J389,IF(3&lt;$E389,3,3+1))</f>
        <v>19.1</v>
      </c>
      <c r="S389" s="0" t="n">
        <f aca="false">INDEX($F389:$J389,IF(4&lt;$E389,4,4+1))</f>
        <v>22</v>
      </c>
      <c r="T389" s="0" t="n">
        <f aca="false">INDEX($K389:$O389,IF(1&lt;$E389,1,1+1))</f>
        <v>5.58800679887</v>
      </c>
      <c r="U389" s="0" t="n">
        <f aca="false">INDEX($K389:$O389,IF(2&lt;$E389,2,2+1))</f>
        <v>12.5754121246</v>
      </c>
      <c r="V389" s="0" t="n">
        <f aca="false">INDEX($K389:$O389,IF(3&lt;$E389,3,3+1))</f>
        <v>28.2471571898</v>
      </c>
      <c r="W389" s="0" t="n">
        <f aca="false">INDEX($K389:$O389,IF(4&lt;$E389,4,4+1))</f>
        <v>20.8913494025</v>
      </c>
      <c r="X389" s="0" t="n">
        <f aca="false">1+COUNTIF($P389:$S389,"&gt;"&amp;$P389)+(COUNTIF($P389:$S389,$P389)-1)/2</f>
        <v>3</v>
      </c>
      <c r="Y389" s="0" t="n">
        <f aca="false">1+COUNTIF($P389:$S389,"&gt;"&amp;$Q389)+(COUNTIF($P389:$S389,$Q389)-1)/2</f>
        <v>4</v>
      </c>
      <c r="Z389" s="0" t="n">
        <f aca="false">1+COUNTIF($P389:$S389,"&gt;"&amp;$R389)+(COUNTIF($P389:$S389,$R389)-1)/2</f>
        <v>2</v>
      </c>
      <c r="AA389" s="0" t="n">
        <f aca="false">1+COUNTIF($P389:$S389,"&gt;"&amp;$S389)+(COUNTIF($P389:$S389,$S389)-1)/2</f>
        <v>1</v>
      </c>
      <c r="AB389" s="0" t="n">
        <f aca="false">1+COUNTIF($T389:$W389,"&gt;"&amp;$T389)+(COUNTIF($T389:$W389,$T389)-1)/2</f>
        <v>4</v>
      </c>
      <c r="AC389" s="0" t="n">
        <f aca="false">1+COUNTIF($T389:$W389,"&gt;"&amp;$U389)+(COUNTIF($T389:$W389,$U389)-1)/2</f>
        <v>3</v>
      </c>
      <c r="AD389" s="0" t="n">
        <f aca="false">1+COUNTIF($T389:$W389,"&gt;"&amp;$V389)+(COUNTIF($T389:$W389,$V389)-1)/2</f>
        <v>1</v>
      </c>
      <c r="AE389" s="0" t="n">
        <f aca="false">1+COUNTIF($T389:$W389,"&gt;"&amp;$W389)+(COUNTIF($T389:$W389,$W389)-1)/2</f>
        <v>2</v>
      </c>
      <c r="AF389" s="0" t="n">
        <f aca="false">IFERROR(CORREL($P389:$S389,$T389:$W389),"")</f>
        <v>0.613010376411978</v>
      </c>
      <c r="AG389" s="0" t="n">
        <f aca="false">IFERROR(CORREL($X389:$AA389,$AB389:$AE389),"")</f>
        <v>0.6</v>
      </c>
      <c r="AH389" s="0" t="n">
        <f aca="false">IFERROR((SIGN($P389-$Q389)*SIGN($T389-$U389)+SIGN($P389-$R389)*SIGN($T389-$V389)+SIGN($P389-$S389)*SIGN($T389-$W389)+SIGN($Q389-$R389)*SIGN($U389-$V389)+SIGN($Q389-$S389)*SIGN($U389-$W389)+SIGN($R389-$S389)*SIGN($V389-$W389))/SQRT((6-(($P389=$Q389)*1+($P389=$R389)*1+($P389=$S389)*1+($Q389=$R389)*1+($Q389=$S389)*1+($R389=$S389)*1))*(6-(($T389=$U389)*1+($T389=$V389)*1+($T389=$W389)*1+($U389=$V389)*1+($U389=$W389)*1+($V389=$W389)*1))),"")</f>
        <v>0.333333333333333</v>
      </c>
      <c r="AI389" s="0" t="n">
        <f aca="false">MATCH(MAX($K389:$O389),$K389:$O389,0)</f>
        <v>5</v>
      </c>
      <c r="AJ389" s="0" t="n">
        <f aca="false">IF(AI389&lt;&gt;$E389,1,0)</f>
        <v>0</v>
      </c>
      <c r="AK389" s="0" t="str">
        <f aca="false">IF(AJ389=1,INDEX($F389:$J389,AI389)/MAX($P389:$S389),"")</f>
        <v/>
      </c>
      <c r="AL389" s="0" t="str">
        <f aca="false">IF(AJ389=1,1+COUNTIF($P389:$S389,"&gt;"&amp;INDEX($F389:$J389,AI389)),"")</f>
        <v/>
      </c>
      <c r="AM389" s="0" t="n">
        <f aca="false">AVERAGE($P389:$S389)/MAX($P389:$S389)</f>
        <v>0.838636363636364</v>
      </c>
      <c r="AN389" s="0" t="n">
        <f aca="false">100-INDEX($F389:$J389,$E389)</f>
        <v>73.8</v>
      </c>
    </row>
    <row r="390" customFormat="false" ht="15" hidden="false" customHeight="false" outlineLevel="0" collapsed="false">
      <c r="A390" s="0" t="s">
        <v>57</v>
      </c>
      <c r="B390" s="0" t="n">
        <v>2023</v>
      </c>
      <c r="C390" s="0" t="s">
        <v>46</v>
      </c>
      <c r="D390" s="0" t="s">
        <v>42</v>
      </c>
      <c r="E390" s="0" t="n">
        <v>4</v>
      </c>
      <c r="F390" s="0" t="n">
        <v>7.7</v>
      </c>
      <c r="G390" s="0" t="n">
        <v>37.3</v>
      </c>
      <c r="H390" s="0" t="n">
        <v>17.4</v>
      </c>
      <c r="I390" s="0" t="n">
        <v>27.2</v>
      </c>
      <c r="J390" s="0" t="n">
        <v>10.3</v>
      </c>
      <c r="K390" s="0" t="n">
        <v>0.0135316352995</v>
      </c>
      <c r="L390" s="0" t="n">
        <v>10.2147359784</v>
      </c>
      <c r="M390" s="0" t="n">
        <v>0.249356205209</v>
      </c>
      <c r="N390" s="0" t="n">
        <v>89.5163936156</v>
      </c>
      <c r="O390" s="0" t="n">
        <v>0.00598256553072</v>
      </c>
      <c r="P390" s="0" t="n">
        <f aca="false">INDEX($F390:$J390,IF(1&lt;$E390,1,1+1))</f>
        <v>7.7</v>
      </c>
      <c r="Q390" s="0" t="n">
        <f aca="false">INDEX($F390:$J390,IF(2&lt;$E390,2,2+1))</f>
        <v>37.3</v>
      </c>
      <c r="R390" s="0" t="n">
        <f aca="false">INDEX($F390:$J390,IF(3&lt;$E390,3,3+1))</f>
        <v>17.4</v>
      </c>
      <c r="S390" s="0" t="n">
        <f aca="false">INDEX($F390:$J390,IF(4&lt;$E390,4,4+1))</f>
        <v>10.3</v>
      </c>
      <c r="T390" s="0" t="n">
        <f aca="false">INDEX($K390:$O390,IF(1&lt;$E390,1,1+1))</f>
        <v>0.0135316352995</v>
      </c>
      <c r="U390" s="0" t="n">
        <f aca="false">INDEX($K390:$O390,IF(2&lt;$E390,2,2+1))</f>
        <v>10.2147359784</v>
      </c>
      <c r="V390" s="0" t="n">
        <f aca="false">INDEX($K390:$O390,IF(3&lt;$E390,3,3+1))</f>
        <v>0.249356205209</v>
      </c>
      <c r="W390" s="0" t="n">
        <f aca="false">INDEX($K390:$O390,IF(4&lt;$E390,4,4+1))</f>
        <v>0.00598256553072</v>
      </c>
      <c r="X390" s="0" t="n">
        <f aca="false">1+COUNTIF($P390:$S390,"&gt;"&amp;$P390)+(COUNTIF($P390:$S390,$P390)-1)/2</f>
        <v>4</v>
      </c>
      <c r="Y390" s="0" t="n">
        <f aca="false">1+COUNTIF($P390:$S390,"&gt;"&amp;$Q390)+(COUNTIF($P390:$S390,$Q390)-1)/2</f>
        <v>1</v>
      </c>
      <c r="Z390" s="0" t="n">
        <f aca="false">1+COUNTIF($P390:$S390,"&gt;"&amp;$R390)+(COUNTIF($P390:$S390,$R390)-1)/2</f>
        <v>2</v>
      </c>
      <c r="AA390" s="0" t="n">
        <f aca="false">1+COUNTIF($P390:$S390,"&gt;"&amp;$S390)+(COUNTIF($P390:$S390,$S390)-1)/2</f>
        <v>3</v>
      </c>
      <c r="AB390" s="0" t="n">
        <f aca="false">1+COUNTIF($T390:$W390,"&gt;"&amp;$T390)+(COUNTIF($T390:$W390,$T390)-1)/2</f>
        <v>3</v>
      </c>
      <c r="AC390" s="0" t="n">
        <f aca="false">1+COUNTIF($T390:$W390,"&gt;"&amp;$U390)+(COUNTIF($T390:$W390,$U390)-1)/2</f>
        <v>1</v>
      </c>
      <c r="AD390" s="0" t="n">
        <f aca="false">1+COUNTIF($T390:$W390,"&gt;"&amp;$V390)+(COUNTIF($T390:$W390,$V390)-1)/2</f>
        <v>2</v>
      </c>
      <c r="AE390" s="0" t="n">
        <f aca="false">1+COUNTIF($T390:$W390,"&gt;"&amp;$W390)+(COUNTIF($T390:$W390,$W390)-1)/2</f>
        <v>4</v>
      </c>
      <c r="AF390" s="0" t="n">
        <f aca="false">IFERROR(CORREL($P390:$S390,$T390:$W390),"")</f>
        <v>0.958308076644449</v>
      </c>
      <c r="AG390" s="0" t="n">
        <f aca="false">IFERROR(CORREL($X390:$AA390,$AB390:$AE390),"")</f>
        <v>0.8</v>
      </c>
      <c r="AH390" s="0" t="n">
        <f aca="false">IFERROR((SIGN($P390-$Q390)*SIGN($T390-$U390)+SIGN($P390-$R390)*SIGN($T390-$V390)+SIGN($P390-$S390)*SIGN($T390-$W390)+SIGN($Q390-$R390)*SIGN($U390-$V390)+SIGN($Q390-$S390)*SIGN($U390-$W390)+SIGN($R390-$S390)*SIGN($V390-$W390))/SQRT((6-(($P390=$Q390)*1+($P390=$R390)*1+($P390=$S390)*1+($Q390=$R390)*1+($Q390=$S390)*1+($R390=$S390)*1))*(6-(($T390=$U390)*1+($T390=$V390)*1+($T390=$W390)*1+($U390=$V390)*1+($U390=$W390)*1+($V390=$W390)*1))),"")</f>
        <v>0.666666666666667</v>
      </c>
      <c r="AI390" s="0" t="n">
        <f aca="false">MATCH(MAX($K390:$O390),$K390:$O390,0)</f>
        <v>4</v>
      </c>
      <c r="AJ390" s="0" t="n">
        <f aca="false">IF(AI390&lt;&gt;$E390,1,0)</f>
        <v>0</v>
      </c>
      <c r="AK390" s="0" t="str">
        <f aca="false">IF(AJ390=1,INDEX($F390:$J390,AI390)/MAX($P390:$S390),"")</f>
        <v/>
      </c>
      <c r="AL390" s="0" t="str">
        <f aca="false">IF(AJ390=1,1+COUNTIF($P390:$S390,"&gt;"&amp;INDEX($F390:$J390,AI390)),"")</f>
        <v/>
      </c>
      <c r="AM390" s="0" t="n">
        <f aca="false">AVERAGE($P390:$S390)/MAX($P390:$S390)</f>
        <v>0.487265415549598</v>
      </c>
      <c r="AN390" s="0" t="n">
        <f aca="false">100-INDEX($F390:$J390,$E390)</f>
        <v>72.8</v>
      </c>
    </row>
    <row r="391" customFormat="false" ht="15" hidden="false" customHeight="false" outlineLevel="0" collapsed="false">
      <c r="A391" s="0" t="s">
        <v>57</v>
      </c>
      <c r="B391" s="0" t="n">
        <v>2023</v>
      </c>
      <c r="C391" s="0" t="s">
        <v>46</v>
      </c>
      <c r="D391" s="0" t="s">
        <v>43</v>
      </c>
      <c r="E391" s="0" t="n">
        <v>2</v>
      </c>
      <c r="F391" s="0" t="n">
        <v>9.1</v>
      </c>
      <c r="G391" s="0" t="n">
        <v>44</v>
      </c>
      <c r="H391" s="0" t="n">
        <v>13</v>
      </c>
      <c r="I391" s="0" t="n">
        <v>19.8</v>
      </c>
      <c r="J391" s="0" t="n">
        <v>14.2</v>
      </c>
      <c r="K391" s="0" t="n">
        <v>6.61857961907</v>
      </c>
      <c r="L391" s="0" t="n">
        <v>38.6935620288</v>
      </c>
      <c r="M391" s="0" t="n">
        <v>30.1674665698</v>
      </c>
      <c r="N391" s="0" t="n">
        <v>19.1878563727</v>
      </c>
      <c r="O391" s="0" t="n">
        <v>5.33253540968</v>
      </c>
      <c r="P391" s="0" t="n">
        <f aca="false">INDEX($F391:$J391,IF(1&lt;$E391,1,1+1))</f>
        <v>9.1</v>
      </c>
      <c r="Q391" s="0" t="n">
        <f aca="false">INDEX($F391:$J391,IF(2&lt;$E391,2,2+1))</f>
        <v>13</v>
      </c>
      <c r="R391" s="0" t="n">
        <f aca="false">INDEX($F391:$J391,IF(3&lt;$E391,3,3+1))</f>
        <v>19.8</v>
      </c>
      <c r="S391" s="0" t="n">
        <f aca="false">INDEX($F391:$J391,IF(4&lt;$E391,4,4+1))</f>
        <v>14.2</v>
      </c>
      <c r="T391" s="0" t="n">
        <f aca="false">INDEX($K391:$O391,IF(1&lt;$E391,1,1+1))</f>
        <v>6.61857961907</v>
      </c>
      <c r="U391" s="0" t="n">
        <f aca="false">INDEX($K391:$O391,IF(2&lt;$E391,2,2+1))</f>
        <v>30.1674665698</v>
      </c>
      <c r="V391" s="0" t="n">
        <f aca="false">INDEX($K391:$O391,IF(3&lt;$E391,3,3+1))</f>
        <v>19.1878563727</v>
      </c>
      <c r="W391" s="0" t="n">
        <f aca="false">INDEX($K391:$O391,IF(4&lt;$E391,4,4+1))</f>
        <v>5.33253540968</v>
      </c>
      <c r="X391" s="0" t="n">
        <f aca="false">1+COUNTIF($P391:$S391,"&gt;"&amp;$P391)+(COUNTIF($P391:$S391,$P391)-1)/2</f>
        <v>4</v>
      </c>
      <c r="Y391" s="0" t="n">
        <f aca="false">1+COUNTIF($P391:$S391,"&gt;"&amp;$Q391)+(COUNTIF($P391:$S391,$Q391)-1)/2</f>
        <v>3</v>
      </c>
      <c r="Z391" s="0" t="n">
        <f aca="false">1+COUNTIF($P391:$S391,"&gt;"&amp;$R391)+(COUNTIF($P391:$S391,$R391)-1)/2</f>
        <v>1</v>
      </c>
      <c r="AA391" s="0" t="n">
        <f aca="false">1+COUNTIF($P391:$S391,"&gt;"&amp;$S391)+(COUNTIF($P391:$S391,$S391)-1)/2</f>
        <v>2</v>
      </c>
      <c r="AB391" s="0" t="n">
        <f aca="false">1+COUNTIF($T391:$W391,"&gt;"&amp;$T391)+(COUNTIF($T391:$W391,$T391)-1)/2</f>
        <v>3</v>
      </c>
      <c r="AC391" s="0" t="n">
        <f aca="false">1+COUNTIF($T391:$W391,"&gt;"&amp;$U391)+(COUNTIF($T391:$W391,$U391)-1)/2</f>
        <v>1</v>
      </c>
      <c r="AD391" s="0" t="n">
        <f aca="false">1+COUNTIF($T391:$W391,"&gt;"&amp;$V391)+(COUNTIF($T391:$W391,$V391)-1)/2</f>
        <v>2</v>
      </c>
      <c r="AE391" s="0" t="n">
        <f aca="false">1+COUNTIF($T391:$W391,"&gt;"&amp;$W391)+(COUNTIF($T391:$W391,$W391)-1)/2</f>
        <v>4</v>
      </c>
      <c r="AF391" s="0" t="n">
        <f aca="false">IFERROR(CORREL($P391:$S391,$T391:$W391),"")</f>
        <v>0.310560018664603</v>
      </c>
      <c r="AG391" s="0" t="n">
        <f aca="false">IFERROR(CORREL($X391:$AA391,$AB391:$AE391),"")</f>
        <v>0</v>
      </c>
      <c r="AH391" s="0" t="n">
        <f aca="false">IFERROR((SIGN($P391-$Q391)*SIGN($T391-$U391)+SIGN($P391-$R391)*SIGN($T391-$V391)+SIGN($P391-$S391)*SIGN($T391-$W391)+SIGN($Q391-$R391)*SIGN($U391-$V391)+SIGN($Q391-$S391)*SIGN($U391-$W391)+SIGN($R391-$S391)*SIGN($V391-$W391))/SQRT((6-(($P391=$Q391)*1+($P391=$R391)*1+($P391=$S391)*1+($Q391=$R391)*1+($Q391=$S391)*1+($R391=$S391)*1))*(6-(($T391=$U391)*1+($T391=$V391)*1+($T391=$W391)*1+($U391=$V391)*1+($U391=$W391)*1+($V391=$W391)*1))),"")</f>
        <v>0</v>
      </c>
      <c r="AI391" s="0" t="n">
        <f aca="false">MATCH(MAX($K391:$O391),$K391:$O391,0)</f>
        <v>2</v>
      </c>
      <c r="AJ391" s="0" t="n">
        <f aca="false">IF(AI391&lt;&gt;$E391,1,0)</f>
        <v>0</v>
      </c>
      <c r="AK391" s="0" t="str">
        <f aca="false">IF(AJ391=1,INDEX($F391:$J391,AI391)/MAX($P391:$S391),"")</f>
        <v/>
      </c>
      <c r="AL391" s="0" t="str">
        <f aca="false">IF(AJ391=1,1+COUNTIF($P391:$S391,"&gt;"&amp;INDEX($F391:$J391,AI391)),"")</f>
        <v/>
      </c>
      <c r="AM391" s="0" t="n">
        <f aca="false">AVERAGE($P391:$S391)/MAX($P391:$S391)</f>
        <v>0.708333333333333</v>
      </c>
      <c r="AN391" s="0" t="n">
        <f aca="false">100-INDEX($F391:$J391,$E391)</f>
        <v>56</v>
      </c>
    </row>
    <row r="392" customFormat="false" ht="15" hidden="false" customHeight="false" outlineLevel="0" collapsed="false">
      <c r="A392" s="0" t="s">
        <v>57</v>
      </c>
      <c r="B392" s="0" t="n">
        <v>2023</v>
      </c>
      <c r="C392" s="0" t="s">
        <v>46</v>
      </c>
      <c r="D392" s="0" t="s">
        <v>44</v>
      </c>
      <c r="E392" s="0" t="n">
        <v>1</v>
      </c>
      <c r="F392" s="0" t="n">
        <v>41.6</v>
      </c>
      <c r="G392" s="0" t="n">
        <v>12.9</v>
      </c>
      <c r="H392" s="0" t="n">
        <v>22.2</v>
      </c>
      <c r="I392" s="0" t="n">
        <v>14.2</v>
      </c>
      <c r="J392" s="0" t="n">
        <v>9</v>
      </c>
      <c r="K392" s="0" t="n">
        <v>60.0775261344</v>
      </c>
      <c r="L392" s="0" t="n">
        <v>7.79718573919</v>
      </c>
      <c r="M392" s="0" t="n">
        <v>14.2941556883</v>
      </c>
      <c r="N392" s="0" t="n">
        <v>14.9146012499</v>
      </c>
      <c r="O392" s="0" t="n">
        <v>2.9165311882</v>
      </c>
      <c r="P392" s="0" t="n">
        <f aca="false">INDEX($F392:$J392,IF(1&lt;$E392,1,1+1))</f>
        <v>12.9</v>
      </c>
      <c r="Q392" s="0" t="n">
        <f aca="false">INDEX($F392:$J392,IF(2&lt;$E392,2,2+1))</f>
        <v>22.2</v>
      </c>
      <c r="R392" s="0" t="n">
        <f aca="false">INDEX($F392:$J392,IF(3&lt;$E392,3,3+1))</f>
        <v>14.2</v>
      </c>
      <c r="S392" s="0" t="n">
        <f aca="false">INDEX($F392:$J392,IF(4&lt;$E392,4,4+1))</f>
        <v>9</v>
      </c>
      <c r="T392" s="0" t="n">
        <f aca="false">INDEX($K392:$O392,IF(1&lt;$E392,1,1+1))</f>
        <v>7.79718573919</v>
      </c>
      <c r="U392" s="0" t="n">
        <f aca="false">INDEX($K392:$O392,IF(2&lt;$E392,2,2+1))</f>
        <v>14.2941556883</v>
      </c>
      <c r="V392" s="0" t="n">
        <f aca="false">INDEX($K392:$O392,IF(3&lt;$E392,3,3+1))</f>
        <v>14.9146012499</v>
      </c>
      <c r="W392" s="0" t="n">
        <f aca="false">INDEX($K392:$O392,IF(4&lt;$E392,4,4+1))</f>
        <v>2.9165311882</v>
      </c>
      <c r="X392" s="0" t="n">
        <f aca="false">1+COUNTIF($P392:$S392,"&gt;"&amp;$P392)+(COUNTIF($P392:$S392,$P392)-1)/2</f>
        <v>3</v>
      </c>
      <c r="Y392" s="0" t="n">
        <f aca="false">1+COUNTIF($P392:$S392,"&gt;"&amp;$Q392)+(COUNTIF($P392:$S392,$Q392)-1)/2</f>
        <v>1</v>
      </c>
      <c r="Z392" s="0" t="n">
        <f aca="false">1+COUNTIF($P392:$S392,"&gt;"&amp;$R392)+(COUNTIF($P392:$S392,$R392)-1)/2</f>
        <v>2</v>
      </c>
      <c r="AA392" s="0" t="n">
        <f aca="false">1+COUNTIF($P392:$S392,"&gt;"&amp;$S392)+(COUNTIF($P392:$S392,$S392)-1)/2</f>
        <v>4</v>
      </c>
      <c r="AB392" s="0" t="n">
        <f aca="false">1+COUNTIF($T392:$W392,"&gt;"&amp;$T392)+(COUNTIF($T392:$W392,$T392)-1)/2</f>
        <v>3</v>
      </c>
      <c r="AC392" s="0" t="n">
        <f aca="false">1+COUNTIF($T392:$W392,"&gt;"&amp;$U392)+(COUNTIF($T392:$W392,$U392)-1)/2</f>
        <v>2</v>
      </c>
      <c r="AD392" s="0" t="n">
        <f aca="false">1+COUNTIF($T392:$W392,"&gt;"&amp;$V392)+(COUNTIF($T392:$W392,$V392)-1)/2</f>
        <v>1</v>
      </c>
      <c r="AE392" s="0" t="n">
        <f aca="false">1+COUNTIF($T392:$W392,"&gt;"&amp;$W392)+(COUNTIF($T392:$W392,$W392)-1)/2</f>
        <v>4</v>
      </c>
      <c r="AF392" s="0" t="n">
        <f aca="false">IFERROR(CORREL($P392:$S392,$T392:$W392),"")</f>
        <v>0.780987117344658</v>
      </c>
      <c r="AG392" s="0" t="n">
        <f aca="false">IFERROR(CORREL($X392:$AA392,$AB392:$AE392),"")</f>
        <v>0.8</v>
      </c>
      <c r="AH392" s="0" t="n">
        <f aca="false">IFERROR((SIGN($P392-$Q392)*SIGN($T392-$U392)+SIGN($P392-$R392)*SIGN($T392-$V392)+SIGN($P392-$S392)*SIGN($T392-$W392)+SIGN($Q392-$R392)*SIGN($U392-$V392)+SIGN($Q392-$S392)*SIGN($U392-$W392)+SIGN($R392-$S392)*SIGN($V392-$W392))/SQRT((6-(($P392=$Q392)*1+($P392=$R392)*1+($P392=$S392)*1+($Q392=$R392)*1+($Q392=$S392)*1+($R392=$S392)*1))*(6-(($T392=$U392)*1+($T392=$V392)*1+($T392=$W392)*1+($U392=$V392)*1+($U392=$W392)*1+($V392=$W392)*1))),"")</f>
        <v>0.666666666666667</v>
      </c>
      <c r="AI392" s="0" t="n">
        <f aca="false">MATCH(MAX($K392:$O392),$K392:$O392,0)</f>
        <v>1</v>
      </c>
      <c r="AJ392" s="0" t="n">
        <f aca="false">IF(AI392&lt;&gt;$E392,1,0)</f>
        <v>0</v>
      </c>
      <c r="AK392" s="0" t="str">
        <f aca="false">IF(AJ392=1,INDEX($F392:$J392,AI392)/MAX($P392:$S392),"")</f>
        <v/>
      </c>
      <c r="AL392" s="0" t="str">
        <f aca="false">IF(AJ392=1,1+COUNTIF($P392:$S392,"&gt;"&amp;INDEX($F392:$J392,AI392)),"")</f>
        <v/>
      </c>
      <c r="AM392" s="0" t="n">
        <f aca="false">AVERAGE($P392:$S392)/MAX($P392:$S392)</f>
        <v>0.656531531531532</v>
      </c>
      <c r="AN392" s="0" t="n">
        <f aca="false">100-INDEX($F392:$J392,$E392)</f>
        <v>58.4</v>
      </c>
    </row>
    <row r="393" customFormat="false" ht="15" hidden="false" customHeight="false" outlineLevel="0" collapsed="false">
      <c r="A393" s="0" t="s">
        <v>57</v>
      </c>
      <c r="B393" s="0" t="n">
        <v>2023</v>
      </c>
      <c r="C393" s="0" t="s">
        <v>46</v>
      </c>
      <c r="D393" s="0" t="s">
        <v>45</v>
      </c>
      <c r="E393" s="0" t="n">
        <v>4</v>
      </c>
      <c r="F393" s="0" t="n">
        <v>9.6</v>
      </c>
      <c r="G393" s="0" t="n">
        <v>13.3</v>
      </c>
      <c r="H393" s="0" t="n">
        <v>24.4</v>
      </c>
      <c r="I393" s="0" t="n">
        <v>40.4</v>
      </c>
      <c r="J393" s="0" t="n">
        <v>12.3</v>
      </c>
      <c r="K393" s="0" t="n">
        <v>24.344625415</v>
      </c>
      <c r="L393" s="0" t="n">
        <v>4.03489574533</v>
      </c>
      <c r="M393" s="0" t="n">
        <v>8.33643983661</v>
      </c>
      <c r="N393" s="0" t="n">
        <v>37.6279137458</v>
      </c>
      <c r="O393" s="0" t="n">
        <v>25.6561252572</v>
      </c>
      <c r="P393" s="0" t="n">
        <f aca="false">INDEX($F393:$J393,IF(1&lt;$E393,1,1+1))</f>
        <v>9.6</v>
      </c>
      <c r="Q393" s="0" t="n">
        <f aca="false">INDEX($F393:$J393,IF(2&lt;$E393,2,2+1))</f>
        <v>13.3</v>
      </c>
      <c r="R393" s="0" t="n">
        <f aca="false">INDEX($F393:$J393,IF(3&lt;$E393,3,3+1))</f>
        <v>24.4</v>
      </c>
      <c r="S393" s="0" t="n">
        <f aca="false">INDEX($F393:$J393,IF(4&lt;$E393,4,4+1))</f>
        <v>12.3</v>
      </c>
      <c r="T393" s="0" t="n">
        <f aca="false">INDEX($K393:$O393,IF(1&lt;$E393,1,1+1))</f>
        <v>24.344625415</v>
      </c>
      <c r="U393" s="0" t="n">
        <f aca="false">INDEX($K393:$O393,IF(2&lt;$E393,2,2+1))</f>
        <v>4.03489574533</v>
      </c>
      <c r="V393" s="0" t="n">
        <f aca="false">INDEX($K393:$O393,IF(3&lt;$E393,3,3+1))</f>
        <v>8.33643983661</v>
      </c>
      <c r="W393" s="0" t="n">
        <f aca="false">INDEX($K393:$O393,IF(4&lt;$E393,4,4+1))</f>
        <v>25.6561252572</v>
      </c>
      <c r="X393" s="0" t="n">
        <f aca="false">1+COUNTIF($P393:$S393,"&gt;"&amp;$P393)+(COUNTIF($P393:$S393,$P393)-1)/2</f>
        <v>4</v>
      </c>
      <c r="Y393" s="0" t="n">
        <f aca="false">1+COUNTIF($P393:$S393,"&gt;"&amp;$Q393)+(COUNTIF($P393:$S393,$Q393)-1)/2</f>
        <v>2</v>
      </c>
      <c r="Z393" s="0" t="n">
        <f aca="false">1+COUNTIF($P393:$S393,"&gt;"&amp;$R393)+(COUNTIF($P393:$S393,$R393)-1)/2</f>
        <v>1</v>
      </c>
      <c r="AA393" s="0" t="n">
        <f aca="false">1+COUNTIF($P393:$S393,"&gt;"&amp;$S393)+(COUNTIF($P393:$S393,$S393)-1)/2</f>
        <v>3</v>
      </c>
      <c r="AB393" s="0" t="n">
        <f aca="false">1+COUNTIF($T393:$W393,"&gt;"&amp;$T393)+(COUNTIF($T393:$W393,$T393)-1)/2</f>
        <v>2</v>
      </c>
      <c r="AC393" s="0" t="n">
        <f aca="false">1+COUNTIF($T393:$W393,"&gt;"&amp;$U393)+(COUNTIF($T393:$W393,$U393)-1)/2</f>
        <v>4</v>
      </c>
      <c r="AD393" s="0" t="n">
        <f aca="false">1+COUNTIF($T393:$W393,"&gt;"&amp;$V393)+(COUNTIF($T393:$W393,$V393)-1)/2</f>
        <v>3</v>
      </c>
      <c r="AE393" s="0" t="n">
        <f aca="false">1+COUNTIF($T393:$W393,"&gt;"&amp;$W393)+(COUNTIF($T393:$W393,$W393)-1)/2</f>
        <v>1</v>
      </c>
      <c r="AF393" s="0" t="n">
        <f aca="false">IFERROR(CORREL($P393:$S393,$T393:$W393),"")</f>
        <v>-0.570474887834954</v>
      </c>
      <c r="AG393" s="0" t="n">
        <f aca="false">IFERROR(CORREL($X393:$AA393,$AB393:$AE393),"")</f>
        <v>-0.6</v>
      </c>
      <c r="AH393" s="0" t="n">
        <f aca="false">IFERROR((SIGN($P393-$Q393)*SIGN($T393-$U393)+SIGN($P393-$R393)*SIGN($T393-$V393)+SIGN($P393-$S393)*SIGN($T393-$W393)+SIGN($Q393-$R393)*SIGN($U393-$V393)+SIGN($Q393-$S393)*SIGN($U393-$W393)+SIGN($R393-$S393)*SIGN($V393-$W393))/SQRT((6-(($P393=$Q393)*1+($P393=$R393)*1+($P393=$S393)*1+($Q393=$R393)*1+($Q393=$S393)*1+($R393=$S393)*1))*(6-(($T393=$U393)*1+($T393=$V393)*1+($T393=$W393)*1+($U393=$V393)*1+($U393=$W393)*1+($V393=$W393)*1))),"")</f>
        <v>-0.333333333333333</v>
      </c>
      <c r="AI393" s="0" t="n">
        <f aca="false">MATCH(MAX($K393:$O393),$K393:$O393,0)</f>
        <v>4</v>
      </c>
      <c r="AJ393" s="0" t="n">
        <f aca="false">IF(AI393&lt;&gt;$E393,1,0)</f>
        <v>0</v>
      </c>
      <c r="AK393" s="0" t="str">
        <f aca="false">IF(AJ393=1,INDEX($F393:$J393,AI393)/MAX($P393:$S393),"")</f>
        <v/>
      </c>
      <c r="AL393" s="0" t="str">
        <f aca="false">IF(AJ393=1,1+COUNTIF($P393:$S393,"&gt;"&amp;INDEX($F393:$J393,AI393)),"")</f>
        <v/>
      </c>
      <c r="AM393" s="0" t="n">
        <f aca="false">AVERAGE($P393:$S393)/MAX($P393:$S393)</f>
        <v>0.610655737704918</v>
      </c>
      <c r="AN393" s="0" t="n">
        <f aca="false">100-INDEX($F393:$J393,$E393)</f>
        <v>59.6</v>
      </c>
    </row>
    <row r="394" customFormat="false" ht="15" hidden="false" customHeight="false" outlineLevel="0" collapsed="false">
      <c r="A394" s="0" t="s">
        <v>57</v>
      </c>
      <c r="B394" s="0" t="n">
        <v>2022</v>
      </c>
      <c r="C394" s="0" t="s">
        <v>58</v>
      </c>
      <c r="D394" s="0" t="s">
        <v>43</v>
      </c>
      <c r="E394" s="0" t="n">
        <v>1</v>
      </c>
      <c r="F394" s="0" t="n">
        <v>52.3</v>
      </c>
      <c r="G394" s="0" t="n">
        <v>14.4</v>
      </c>
      <c r="H394" s="0" t="n">
        <v>9</v>
      </c>
      <c r="I394" s="0" t="n">
        <v>10.9</v>
      </c>
      <c r="J394" s="0" t="n">
        <v>13.4</v>
      </c>
      <c r="K394" s="0" t="n">
        <v>21.942522551</v>
      </c>
      <c r="L394" s="0" t="n">
        <v>40.4048755596</v>
      </c>
      <c r="M394" s="0" t="n">
        <v>5.47917045069</v>
      </c>
      <c r="N394" s="0" t="n">
        <v>15.9662929831</v>
      </c>
      <c r="O394" s="0" t="n">
        <v>16.2071384556</v>
      </c>
      <c r="P394" s="0" t="n">
        <f aca="false">INDEX($F394:$J394,IF(1&lt;$E394,1,1+1))</f>
        <v>14.4</v>
      </c>
      <c r="Q394" s="0" t="n">
        <f aca="false">INDEX($F394:$J394,IF(2&lt;$E394,2,2+1))</f>
        <v>9</v>
      </c>
      <c r="R394" s="0" t="n">
        <f aca="false">INDEX($F394:$J394,IF(3&lt;$E394,3,3+1))</f>
        <v>10.9</v>
      </c>
      <c r="S394" s="0" t="n">
        <f aca="false">INDEX($F394:$J394,IF(4&lt;$E394,4,4+1))</f>
        <v>13.4</v>
      </c>
      <c r="T394" s="0" t="n">
        <f aca="false">INDEX($K394:$O394,IF(1&lt;$E394,1,1+1))</f>
        <v>40.4048755596</v>
      </c>
      <c r="U394" s="0" t="n">
        <f aca="false">INDEX($K394:$O394,IF(2&lt;$E394,2,2+1))</f>
        <v>5.47917045069</v>
      </c>
      <c r="V394" s="0" t="n">
        <f aca="false">INDEX($K394:$O394,IF(3&lt;$E394,3,3+1))</f>
        <v>15.9662929831</v>
      </c>
      <c r="W394" s="0" t="n">
        <f aca="false">INDEX($K394:$O394,IF(4&lt;$E394,4,4+1))</f>
        <v>16.2071384556</v>
      </c>
      <c r="X394" s="0" t="n">
        <f aca="false">1+COUNTIF($P394:$S394,"&gt;"&amp;$P394)+(COUNTIF($P394:$S394,$P394)-1)/2</f>
        <v>1</v>
      </c>
      <c r="Y394" s="0" t="n">
        <f aca="false">1+COUNTIF($P394:$S394,"&gt;"&amp;$Q394)+(COUNTIF($P394:$S394,$Q394)-1)/2</f>
        <v>4</v>
      </c>
      <c r="Z394" s="0" t="n">
        <f aca="false">1+COUNTIF($P394:$S394,"&gt;"&amp;$R394)+(COUNTIF($P394:$S394,$R394)-1)/2</f>
        <v>3</v>
      </c>
      <c r="AA394" s="0" t="n">
        <f aca="false">1+COUNTIF($P394:$S394,"&gt;"&amp;$S394)+(COUNTIF($P394:$S394,$S394)-1)/2</f>
        <v>2</v>
      </c>
      <c r="AB394" s="0" t="n">
        <f aca="false">1+COUNTIF($T394:$W394,"&gt;"&amp;$T394)+(COUNTIF($T394:$W394,$T394)-1)/2</f>
        <v>1</v>
      </c>
      <c r="AC394" s="0" t="n">
        <f aca="false">1+COUNTIF($T394:$W394,"&gt;"&amp;$U394)+(COUNTIF($T394:$W394,$U394)-1)/2</f>
        <v>4</v>
      </c>
      <c r="AD394" s="0" t="n">
        <f aca="false">1+COUNTIF($T394:$W394,"&gt;"&amp;$V394)+(COUNTIF($T394:$W394,$V394)-1)/2</f>
        <v>3</v>
      </c>
      <c r="AE394" s="0" t="n">
        <f aca="false">1+COUNTIF($T394:$W394,"&gt;"&amp;$W394)+(COUNTIF($T394:$W394,$W394)-1)/2</f>
        <v>2</v>
      </c>
      <c r="AF394" s="0" t="n">
        <f aca="false">IFERROR(CORREL($P394:$S394,$T394:$W394),"")</f>
        <v>0.843760266422489</v>
      </c>
      <c r="AG394" s="0" t="n">
        <f aca="false">IFERROR(CORREL($X394:$AA394,$AB394:$AE394),"")</f>
        <v>1</v>
      </c>
      <c r="AH394" s="0" t="n">
        <f aca="false">IFERROR((SIGN($P394-$Q394)*SIGN($T394-$U394)+SIGN($P394-$R394)*SIGN($T394-$V394)+SIGN($P394-$S394)*SIGN($T394-$W394)+SIGN($Q394-$R394)*SIGN($U394-$V394)+SIGN($Q394-$S394)*SIGN($U394-$W394)+SIGN($R394-$S394)*SIGN($V394-$W394))/SQRT((6-(($P394=$Q394)*1+($P394=$R394)*1+($P394=$S394)*1+($Q394=$R394)*1+($Q394=$S394)*1+($R394=$S394)*1))*(6-(($T394=$U394)*1+($T394=$V394)*1+($T394=$W394)*1+($U394=$V394)*1+($U394=$W394)*1+($V394=$W394)*1))),"")</f>
        <v>1</v>
      </c>
      <c r="AI394" s="0" t="n">
        <f aca="false">MATCH(MAX($K394:$O394),$K394:$O394,0)</f>
        <v>2</v>
      </c>
      <c r="AJ394" s="0" t="n">
        <f aca="false">IF(AI394&lt;&gt;$E394,1,0)</f>
        <v>1</v>
      </c>
      <c r="AK394" s="0" t="n">
        <f aca="false">IF(AJ394=1,INDEX($F394:$J394,AI394)/MAX($P394:$S394),"")</f>
        <v>1</v>
      </c>
      <c r="AL394" s="0" t="n">
        <f aca="false">IF(AJ394=1,1+COUNTIF($P394:$S394,"&gt;"&amp;INDEX($F394:$J394,AI394)),"")</f>
        <v>1</v>
      </c>
      <c r="AM394" s="0" t="n">
        <f aca="false">AVERAGE($P394:$S394)/MAX($P394:$S394)</f>
        <v>0.828125</v>
      </c>
      <c r="AN394" s="0" t="n">
        <f aca="false">100-INDEX($F394:$J394,$E394)</f>
        <v>47.7</v>
      </c>
    </row>
    <row r="395" customFormat="false" ht="15" hidden="false" customHeight="false" outlineLevel="0" collapsed="false">
      <c r="A395" s="0" t="s">
        <v>57</v>
      </c>
      <c r="B395" s="0" t="n">
        <v>2022</v>
      </c>
      <c r="C395" s="0" t="s">
        <v>58</v>
      </c>
      <c r="D395" s="0" t="s">
        <v>44</v>
      </c>
      <c r="E395" s="0" t="n">
        <v>1</v>
      </c>
      <c r="F395" s="0" t="n">
        <v>35.9</v>
      </c>
      <c r="G395" s="0" t="n">
        <v>10.1</v>
      </c>
      <c r="H395" s="0" t="n">
        <v>13.9</v>
      </c>
      <c r="I395" s="0" t="n">
        <v>24.5</v>
      </c>
      <c r="J395" s="0" t="n">
        <v>15.5</v>
      </c>
      <c r="K395" s="0" t="n">
        <v>79.4965556468</v>
      </c>
      <c r="L395" s="0" t="n">
        <v>1.18708270227</v>
      </c>
      <c r="M395" s="0" t="n">
        <v>1.97331387462</v>
      </c>
      <c r="N395" s="0" t="n">
        <v>7.13651855722</v>
      </c>
      <c r="O395" s="0" t="n">
        <v>10.206529219</v>
      </c>
      <c r="P395" s="0" t="n">
        <f aca="false">INDEX($F395:$J395,IF(1&lt;$E395,1,1+1))</f>
        <v>10.1</v>
      </c>
      <c r="Q395" s="0" t="n">
        <f aca="false">INDEX($F395:$J395,IF(2&lt;$E395,2,2+1))</f>
        <v>13.9</v>
      </c>
      <c r="R395" s="0" t="n">
        <f aca="false">INDEX($F395:$J395,IF(3&lt;$E395,3,3+1))</f>
        <v>24.5</v>
      </c>
      <c r="S395" s="0" t="n">
        <f aca="false">INDEX($F395:$J395,IF(4&lt;$E395,4,4+1))</f>
        <v>15.5</v>
      </c>
      <c r="T395" s="0" t="n">
        <f aca="false">INDEX($K395:$O395,IF(1&lt;$E395,1,1+1))</f>
        <v>1.18708270227</v>
      </c>
      <c r="U395" s="0" t="n">
        <f aca="false">INDEX($K395:$O395,IF(2&lt;$E395,2,2+1))</f>
        <v>1.97331387462</v>
      </c>
      <c r="V395" s="0" t="n">
        <f aca="false">INDEX($K395:$O395,IF(3&lt;$E395,3,3+1))</f>
        <v>7.13651855722</v>
      </c>
      <c r="W395" s="0" t="n">
        <f aca="false">INDEX($K395:$O395,IF(4&lt;$E395,4,4+1))</f>
        <v>10.206529219</v>
      </c>
      <c r="X395" s="0" t="n">
        <f aca="false">1+COUNTIF($P395:$S395,"&gt;"&amp;$P395)+(COUNTIF($P395:$S395,$P395)-1)/2</f>
        <v>4</v>
      </c>
      <c r="Y395" s="0" t="n">
        <f aca="false">1+COUNTIF($P395:$S395,"&gt;"&amp;$Q395)+(COUNTIF($P395:$S395,$Q395)-1)/2</f>
        <v>3</v>
      </c>
      <c r="Z395" s="0" t="n">
        <f aca="false">1+COUNTIF($P395:$S395,"&gt;"&amp;$R395)+(COUNTIF($P395:$S395,$R395)-1)/2</f>
        <v>1</v>
      </c>
      <c r="AA395" s="0" t="n">
        <f aca="false">1+COUNTIF($P395:$S395,"&gt;"&amp;$S395)+(COUNTIF($P395:$S395,$S395)-1)/2</f>
        <v>2</v>
      </c>
      <c r="AB395" s="0" t="n">
        <f aca="false">1+COUNTIF($T395:$W395,"&gt;"&amp;$T395)+(COUNTIF($T395:$W395,$T395)-1)/2</f>
        <v>4</v>
      </c>
      <c r="AC395" s="0" t="n">
        <f aca="false">1+COUNTIF($T395:$W395,"&gt;"&amp;$U395)+(COUNTIF($T395:$W395,$U395)-1)/2</f>
        <v>3</v>
      </c>
      <c r="AD395" s="0" t="n">
        <f aca="false">1+COUNTIF($T395:$W395,"&gt;"&amp;$V395)+(COUNTIF($T395:$W395,$V395)-1)/2</f>
        <v>2</v>
      </c>
      <c r="AE395" s="0" t="n">
        <f aca="false">1+COUNTIF($T395:$W395,"&gt;"&amp;$W395)+(COUNTIF($T395:$W395,$W395)-1)/2</f>
        <v>1</v>
      </c>
      <c r="AF395" s="0" t="n">
        <f aca="false">IFERROR(CORREL($P395:$S395,$T395:$W395),"")</f>
        <v>0.564954686394957</v>
      </c>
      <c r="AG395" s="0" t="n">
        <f aca="false">IFERROR(CORREL($X395:$AA395,$AB395:$AE395),"")</f>
        <v>0.8</v>
      </c>
      <c r="AH395" s="0" t="n">
        <f aca="false">IFERROR((SIGN($P395-$Q395)*SIGN($T395-$U395)+SIGN($P395-$R395)*SIGN($T395-$V395)+SIGN($P395-$S395)*SIGN($T395-$W395)+SIGN($Q395-$R395)*SIGN($U395-$V395)+SIGN($Q395-$S395)*SIGN($U395-$W395)+SIGN($R395-$S395)*SIGN($V395-$W395))/SQRT((6-(($P395=$Q395)*1+($P395=$R395)*1+($P395=$S395)*1+($Q395=$R395)*1+($Q395=$S395)*1+($R395=$S395)*1))*(6-(($T395=$U395)*1+($T395=$V395)*1+($T395=$W395)*1+($U395=$V395)*1+($U395=$W395)*1+($V395=$W395)*1))),"")</f>
        <v>0.666666666666667</v>
      </c>
      <c r="AI395" s="0" t="n">
        <f aca="false">MATCH(MAX($K395:$O395),$K395:$O395,0)</f>
        <v>1</v>
      </c>
      <c r="AJ395" s="0" t="n">
        <f aca="false">IF(AI395&lt;&gt;$E395,1,0)</f>
        <v>0</v>
      </c>
      <c r="AK395" s="0" t="str">
        <f aca="false">IF(AJ395=1,INDEX($F395:$J395,AI395)/MAX($P395:$S395),"")</f>
        <v/>
      </c>
      <c r="AL395" s="0" t="str">
        <f aca="false">IF(AJ395=1,1+COUNTIF($P395:$S395,"&gt;"&amp;INDEX($F395:$J395,AI395)),"")</f>
        <v/>
      </c>
      <c r="AM395" s="0" t="n">
        <f aca="false">AVERAGE($P395:$S395)/MAX($P395:$S395)</f>
        <v>0.653061224489796</v>
      </c>
      <c r="AN395" s="0" t="n">
        <f aca="false">100-INDEX($F395:$J395,$E395)</f>
        <v>64.1</v>
      </c>
    </row>
    <row r="396" customFormat="false" ht="15" hidden="false" customHeight="false" outlineLevel="0" collapsed="false">
      <c r="A396" s="0" t="s">
        <v>57</v>
      </c>
      <c r="B396" s="0" t="n">
        <v>2022</v>
      </c>
      <c r="C396" s="0" t="s">
        <v>58</v>
      </c>
      <c r="D396" s="0" t="s">
        <v>45</v>
      </c>
      <c r="E396" s="0" t="n">
        <v>2</v>
      </c>
      <c r="F396" s="0" t="n">
        <v>23.7</v>
      </c>
      <c r="G396" s="0" t="n">
        <v>37.7</v>
      </c>
      <c r="H396" s="0" t="n">
        <v>16.2</v>
      </c>
      <c r="I396" s="0" t="n">
        <v>13.2</v>
      </c>
      <c r="J396" s="0" t="n">
        <v>9.2</v>
      </c>
      <c r="K396" s="0" t="n">
        <v>5.08918703572</v>
      </c>
      <c r="L396" s="0" t="n">
        <v>54.4603826367</v>
      </c>
      <c r="M396" s="0" t="n">
        <v>13.1076324016</v>
      </c>
      <c r="N396" s="0" t="n">
        <v>21.8435466317</v>
      </c>
      <c r="O396" s="0" t="n">
        <v>5.49925129428</v>
      </c>
      <c r="P396" s="0" t="n">
        <f aca="false">INDEX($F396:$J396,IF(1&lt;$E396,1,1+1))</f>
        <v>23.7</v>
      </c>
      <c r="Q396" s="0" t="n">
        <f aca="false">INDEX($F396:$J396,IF(2&lt;$E396,2,2+1))</f>
        <v>16.2</v>
      </c>
      <c r="R396" s="0" t="n">
        <f aca="false">INDEX($F396:$J396,IF(3&lt;$E396,3,3+1))</f>
        <v>13.2</v>
      </c>
      <c r="S396" s="0" t="n">
        <f aca="false">INDEX($F396:$J396,IF(4&lt;$E396,4,4+1))</f>
        <v>9.2</v>
      </c>
      <c r="T396" s="0" t="n">
        <f aca="false">INDEX($K396:$O396,IF(1&lt;$E396,1,1+1))</f>
        <v>5.08918703572</v>
      </c>
      <c r="U396" s="0" t="n">
        <f aca="false">INDEX($K396:$O396,IF(2&lt;$E396,2,2+1))</f>
        <v>13.1076324016</v>
      </c>
      <c r="V396" s="0" t="n">
        <f aca="false">INDEX($K396:$O396,IF(3&lt;$E396,3,3+1))</f>
        <v>21.8435466317</v>
      </c>
      <c r="W396" s="0" t="n">
        <f aca="false">INDEX($K396:$O396,IF(4&lt;$E396,4,4+1))</f>
        <v>5.49925129428</v>
      </c>
      <c r="X396" s="0" t="n">
        <f aca="false">1+COUNTIF($P396:$S396,"&gt;"&amp;$P396)+(COUNTIF($P396:$S396,$P396)-1)/2</f>
        <v>1</v>
      </c>
      <c r="Y396" s="0" t="n">
        <f aca="false">1+COUNTIF($P396:$S396,"&gt;"&amp;$Q396)+(COUNTIF($P396:$S396,$Q396)-1)/2</f>
        <v>2</v>
      </c>
      <c r="Z396" s="0" t="n">
        <f aca="false">1+COUNTIF($P396:$S396,"&gt;"&amp;$R396)+(COUNTIF($P396:$S396,$R396)-1)/2</f>
        <v>3</v>
      </c>
      <c r="AA396" s="0" t="n">
        <f aca="false">1+COUNTIF($P396:$S396,"&gt;"&amp;$S396)+(COUNTIF($P396:$S396,$S396)-1)/2</f>
        <v>4</v>
      </c>
      <c r="AB396" s="0" t="n">
        <f aca="false">1+COUNTIF($T396:$W396,"&gt;"&amp;$T396)+(COUNTIF($T396:$W396,$T396)-1)/2</f>
        <v>4</v>
      </c>
      <c r="AC396" s="0" t="n">
        <f aca="false">1+COUNTIF($T396:$W396,"&gt;"&amp;$U396)+(COUNTIF($T396:$W396,$U396)-1)/2</f>
        <v>2</v>
      </c>
      <c r="AD396" s="0" t="n">
        <f aca="false">1+COUNTIF($T396:$W396,"&gt;"&amp;$V396)+(COUNTIF($T396:$W396,$V396)-1)/2</f>
        <v>1</v>
      </c>
      <c r="AE396" s="0" t="n">
        <f aca="false">1+COUNTIF($T396:$W396,"&gt;"&amp;$W396)+(COUNTIF($T396:$W396,$W396)-1)/2</f>
        <v>3</v>
      </c>
      <c r="AF396" s="0" t="n">
        <f aca="false">IFERROR(CORREL($P396:$S396,$T396:$W396),"")</f>
        <v>-0.257856706860197</v>
      </c>
      <c r="AG396" s="0" t="n">
        <f aca="false">IFERROR(CORREL($X396:$AA396,$AB396:$AE396),"")</f>
        <v>-0.4</v>
      </c>
      <c r="AH396" s="0" t="n">
        <f aca="false">IFERROR((SIGN($P396-$Q396)*SIGN($T396-$U396)+SIGN($P396-$R396)*SIGN($T396-$V396)+SIGN($P396-$S396)*SIGN($T396-$W396)+SIGN($Q396-$R396)*SIGN($U396-$V396)+SIGN($Q396-$S396)*SIGN($U396-$W396)+SIGN($R396-$S396)*SIGN($V396-$W396))/SQRT((6-(($P396=$Q396)*1+($P396=$R396)*1+($P396=$S396)*1+($Q396=$R396)*1+($Q396=$S396)*1+($R396=$S396)*1))*(6-(($T396=$U396)*1+($T396=$V396)*1+($T396=$W396)*1+($U396=$V396)*1+($U396=$W396)*1+($V396=$W396)*1))),"")</f>
        <v>-0.333333333333333</v>
      </c>
      <c r="AI396" s="0" t="n">
        <f aca="false">MATCH(MAX($K396:$O396),$K396:$O396,0)</f>
        <v>2</v>
      </c>
      <c r="AJ396" s="0" t="n">
        <f aca="false">IF(AI396&lt;&gt;$E396,1,0)</f>
        <v>0</v>
      </c>
      <c r="AK396" s="0" t="str">
        <f aca="false">IF(AJ396=1,INDEX($F396:$J396,AI396)/MAX($P396:$S396),"")</f>
        <v/>
      </c>
      <c r="AL396" s="0" t="str">
        <f aca="false">IF(AJ396=1,1+COUNTIF($P396:$S396,"&gt;"&amp;INDEX($F396:$J396,AI396)),"")</f>
        <v/>
      </c>
      <c r="AM396" s="0" t="n">
        <f aca="false">AVERAGE($P396:$S396)/MAX($P396:$S396)</f>
        <v>0.657172995780591</v>
      </c>
      <c r="AN396" s="0" t="n">
        <f aca="false">100-INDEX($F396:$J396,$E396)</f>
        <v>62.3</v>
      </c>
    </row>
    <row r="397" customFormat="false" ht="15" hidden="false" customHeight="false" outlineLevel="0" collapsed="false">
      <c r="A397" s="0" t="s">
        <v>57</v>
      </c>
      <c r="B397" s="0" t="n">
        <v>2022</v>
      </c>
      <c r="C397" s="0" t="s">
        <v>49</v>
      </c>
      <c r="D397" s="0" t="s">
        <v>42</v>
      </c>
      <c r="E397" s="0" t="n">
        <v>3</v>
      </c>
      <c r="F397" s="0" t="n">
        <v>22.5</v>
      </c>
      <c r="G397" s="0" t="n">
        <v>8</v>
      </c>
      <c r="H397" s="0" t="n">
        <v>53.5</v>
      </c>
      <c r="I397" s="0" t="n">
        <v>10.1</v>
      </c>
      <c r="J397" s="0" t="n">
        <v>5.8</v>
      </c>
      <c r="K397" s="0" t="n">
        <v>18.9119716621</v>
      </c>
      <c r="L397" s="0" t="n">
        <v>3.26216074561</v>
      </c>
      <c r="M397" s="0" t="n">
        <v>0.0880903547691</v>
      </c>
      <c r="N397" s="0" t="n">
        <v>74.8654345654</v>
      </c>
      <c r="O397" s="0" t="n">
        <v>2.87234267212</v>
      </c>
      <c r="P397" s="0" t="n">
        <f aca="false">INDEX($F397:$J397,IF(1&lt;$E397,1,1+1))</f>
        <v>22.5</v>
      </c>
      <c r="Q397" s="0" t="n">
        <f aca="false">INDEX($F397:$J397,IF(2&lt;$E397,2,2+1))</f>
        <v>8</v>
      </c>
      <c r="R397" s="0" t="n">
        <f aca="false">INDEX($F397:$J397,IF(3&lt;$E397,3,3+1))</f>
        <v>10.1</v>
      </c>
      <c r="S397" s="0" t="n">
        <f aca="false">INDEX($F397:$J397,IF(4&lt;$E397,4,4+1))</f>
        <v>5.8</v>
      </c>
      <c r="T397" s="0" t="n">
        <f aca="false">INDEX($K397:$O397,IF(1&lt;$E397,1,1+1))</f>
        <v>18.9119716621</v>
      </c>
      <c r="U397" s="0" t="n">
        <f aca="false">INDEX($K397:$O397,IF(2&lt;$E397,2,2+1))</f>
        <v>3.26216074561</v>
      </c>
      <c r="V397" s="0" t="n">
        <f aca="false">INDEX($K397:$O397,IF(3&lt;$E397,3,3+1))</f>
        <v>74.8654345654</v>
      </c>
      <c r="W397" s="0" t="n">
        <f aca="false">INDEX($K397:$O397,IF(4&lt;$E397,4,4+1))</f>
        <v>2.87234267212</v>
      </c>
      <c r="X397" s="0" t="n">
        <f aca="false">1+COUNTIF($P397:$S397,"&gt;"&amp;$P397)+(COUNTIF($P397:$S397,$P397)-1)/2</f>
        <v>1</v>
      </c>
      <c r="Y397" s="0" t="n">
        <f aca="false">1+COUNTIF($P397:$S397,"&gt;"&amp;$Q397)+(COUNTIF($P397:$S397,$Q397)-1)/2</f>
        <v>3</v>
      </c>
      <c r="Z397" s="0" t="n">
        <f aca="false">1+COUNTIF($P397:$S397,"&gt;"&amp;$R397)+(COUNTIF($P397:$S397,$R397)-1)/2</f>
        <v>2</v>
      </c>
      <c r="AA397" s="0" t="n">
        <f aca="false">1+COUNTIF($P397:$S397,"&gt;"&amp;$S397)+(COUNTIF($P397:$S397,$S397)-1)/2</f>
        <v>4</v>
      </c>
      <c r="AB397" s="0" t="n">
        <f aca="false">1+COUNTIF($T397:$W397,"&gt;"&amp;$T397)+(COUNTIF($T397:$W397,$T397)-1)/2</f>
        <v>2</v>
      </c>
      <c r="AC397" s="0" t="n">
        <f aca="false">1+COUNTIF($T397:$W397,"&gt;"&amp;$U397)+(COUNTIF($T397:$W397,$U397)-1)/2</f>
        <v>3</v>
      </c>
      <c r="AD397" s="0" t="n">
        <f aca="false">1+COUNTIF($T397:$W397,"&gt;"&amp;$V397)+(COUNTIF($T397:$W397,$V397)-1)/2</f>
        <v>1</v>
      </c>
      <c r="AE397" s="0" t="n">
        <f aca="false">1+COUNTIF($T397:$W397,"&gt;"&amp;$W397)+(COUNTIF($T397:$W397,$W397)-1)/2</f>
        <v>4</v>
      </c>
      <c r="AF397" s="0" t="n">
        <f aca="false">IFERROR(CORREL($P397:$S397,$T397:$W397),"")</f>
        <v>0.0855994744175907</v>
      </c>
      <c r="AG397" s="0" t="n">
        <f aca="false">IFERROR(CORREL($X397:$AA397,$AB397:$AE397),"")</f>
        <v>0.8</v>
      </c>
      <c r="AH397" s="0" t="n">
        <f aca="false">IFERROR((SIGN($P397-$Q397)*SIGN($T397-$U397)+SIGN($P397-$R397)*SIGN($T397-$V397)+SIGN($P397-$S397)*SIGN($T397-$W397)+SIGN($Q397-$R397)*SIGN($U397-$V397)+SIGN($Q397-$S397)*SIGN($U397-$W397)+SIGN($R397-$S397)*SIGN($V397-$W397))/SQRT((6-(($P397=$Q397)*1+($P397=$R397)*1+($P397=$S397)*1+($Q397=$R397)*1+($Q397=$S397)*1+($R397=$S397)*1))*(6-(($T397=$U397)*1+($T397=$V397)*1+($T397=$W397)*1+($U397=$V397)*1+($U397=$W397)*1+($V397=$W397)*1))),"")</f>
        <v>0.666666666666667</v>
      </c>
      <c r="AI397" s="0" t="n">
        <f aca="false">MATCH(MAX($K397:$O397),$K397:$O397,0)</f>
        <v>4</v>
      </c>
      <c r="AJ397" s="0" t="n">
        <f aca="false">IF(AI397&lt;&gt;$E397,1,0)</f>
        <v>1</v>
      </c>
      <c r="AK397" s="0" t="n">
        <f aca="false">IF(AJ397=1,INDEX($F397:$J397,AI397)/MAX($P397:$S397),"")</f>
        <v>0.448888888888889</v>
      </c>
      <c r="AL397" s="0" t="n">
        <f aca="false">IF(AJ397=1,1+COUNTIF($P397:$S397,"&gt;"&amp;INDEX($F397:$J397,AI397)),"")</f>
        <v>2</v>
      </c>
      <c r="AM397" s="0" t="n">
        <f aca="false">AVERAGE($P397:$S397)/MAX($P397:$S397)</f>
        <v>0.515555555555556</v>
      </c>
      <c r="AN397" s="0" t="n">
        <f aca="false">100-INDEX($F397:$J397,$E397)</f>
        <v>46.5</v>
      </c>
    </row>
    <row r="398" customFormat="false" ht="15" hidden="false" customHeight="false" outlineLevel="0" collapsed="false">
      <c r="A398" s="0" t="s">
        <v>57</v>
      </c>
      <c r="B398" s="0" t="n">
        <v>2022</v>
      </c>
      <c r="C398" s="0" t="s">
        <v>49</v>
      </c>
      <c r="D398" s="0" t="s">
        <v>43</v>
      </c>
      <c r="E398" s="0" t="n">
        <v>1</v>
      </c>
      <c r="F398" s="0" t="n">
        <v>39.8</v>
      </c>
      <c r="G398" s="0" t="n">
        <v>20.9</v>
      </c>
      <c r="H398" s="0" t="n">
        <v>9.6</v>
      </c>
      <c r="I398" s="0" t="n">
        <v>20.4</v>
      </c>
      <c r="J398" s="0" t="n">
        <v>9.3</v>
      </c>
      <c r="K398" s="0" t="n">
        <v>53.8889793699</v>
      </c>
      <c r="L398" s="0" t="n">
        <v>17.1830991277</v>
      </c>
      <c r="M398" s="0" t="n">
        <v>9.45330208566</v>
      </c>
      <c r="N398" s="0" t="n">
        <v>16.0557522805</v>
      </c>
      <c r="O398" s="0" t="n">
        <v>3.41886713625</v>
      </c>
      <c r="P398" s="0" t="n">
        <f aca="false">INDEX($F398:$J398,IF(1&lt;$E398,1,1+1))</f>
        <v>20.9</v>
      </c>
      <c r="Q398" s="0" t="n">
        <f aca="false">INDEX($F398:$J398,IF(2&lt;$E398,2,2+1))</f>
        <v>9.6</v>
      </c>
      <c r="R398" s="0" t="n">
        <f aca="false">INDEX($F398:$J398,IF(3&lt;$E398,3,3+1))</f>
        <v>20.4</v>
      </c>
      <c r="S398" s="0" t="n">
        <f aca="false">INDEX($F398:$J398,IF(4&lt;$E398,4,4+1))</f>
        <v>9.3</v>
      </c>
      <c r="T398" s="0" t="n">
        <f aca="false">INDEX($K398:$O398,IF(1&lt;$E398,1,1+1))</f>
        <v>17.1830991277</v>
      </c>
      <c r="U398" s="0" t="n">
        <f aca="false">INDEX($K398:$O398,IF(2&lt;$E398,2,2+1))</f>
        <v>9.45330208566</v>
      </c>
      <c r="V398" s="0" t="n">
        <f aca="false">INDEX($K398:$O398,IF(3&lt;$E398,3,3+1))</f>
        <v>16.0557522805</v>
      </c>
      <c r="W398" s="0" t="n">
        <f aca="false">INDEX($K398:$O398,IF(4&lt;$E398,4,4+1))</f>
        <v>3.41886713625</v>
      </c>
      <c r="X398" s="0" t="n">
        <f aca="false">1+COUNTIF($P398:$S398,"&gt;"&amp;$P398)+(COUNTIF($P398:$S398,$P398)-1)/2</f>
        <v>1</v>
      </c>
      <c r="Y398" s="0" t="n">
        <f aca="false">1+COUNTIF($P398:$S398,"&gt;"&amp;$Q398)+(COUNTIF($P398:$S398,$Q398)-1)/2</f>
        <v>3</v>
      </c>
      <c r="Z398" s="0" t="n">
        <f aca="false">1+COUNTIF($P398:$S398,"&gt;"&amp;$R398)+(COUNTIF($P398:$S398,$R398)-1)/2</f>
        <v>2</v>
      </c>
      <c r="AA398" s="0" t="n">
        <f aca="false">1+COUNTIF($P398:$S398,"&gt;"&amp;$S398)+(COUNTIF($P398:$S398,$S398)-1)/2</f>
        <v>4</v>
      </c>
      <c r="AB398" s="0" t="n">
        <f aca="false">1+COUNTIF($T398:$W398,"&gt;"&amp;$T398)+(COUNTIF($T398:$W398,$T398)-1)/2</f>
        <v>1</v>
      </c>
      <c r="AC398" s="0" t="n">
        <f aca="false">1+COUNTIF($T398:$W398,"&gt;"&amp;$U398)+(COUNTIF($T398:$W398,$U398)-1)/2</f>
        <v>3</v>
      </c>
      <c r="AD398" s="0" t="n">
        <f aca="false">1+COUNTIF($T398:$W398,"&gt;"&amp;$V398)+(COUNTIF($T398:$W398,$V398)-1)/2</f>
        <v>2</v>
      </c>
      <c r="AE398" s="0" t="n">
        <f aca="false">1+COUNTIF($T398:$W398,"&gt;"&amp;$W398)+(COUNTIF($T398:$W398,$W398)-1)/2</f>
        <v>4</v>
      </c>
      <c r="AF398" s="0" t="n">
        <f aca="false">IFERROR(CORREL($P398:$S398,$T398:$W398),"")</f>
        <v>0.928855832538268</v>
      </c>
      <c r="AG398" s="0" t="n">
        <f aca="false">IFERROR(CORREL($X398:$AA398,$AB398:$AE398),"")</f>
        <v>1</v>
      </c>
      <c r="AH398" s="0" t="n">
        <f aca="false">IFERROR((SIGN($P398-$Q398)*SIGN($T398-$U398)+SIGN($P398-$R398)*SIGN($T398-$V398)+SIGN($P398-$S398)*SIGN($T398-$W398)+SIGN($Q398-$R398)*SIGN($U398-$V398)+SIGN($Q398-$S398)*SIGN($U398-$W398)+SIGN($R398-$S398)*SIGN($V398-$W398))/SQRT((6-(($P398=$Q398)*1+($P398=$R398)*1+($P398=$S398)*1+($Q398=$R398)*1+($Q398=$S398)*1+($R398=$S398)*1))*(6-(($T398=$U398)*1+($T398=$V398)*1+($T398=$W398)*1+($U398=$V398)*1+($U398=$W398)*1+($V398=$W398)*1))),"")</f>
        <v>1</v>
      </c>
      <c r="AI398" s="0" t="n">
        <f aca="false">MATCH(MAX($K398:$O398),$K398:$O398,0)</f>
        <v>1</v>
      </c>
      <c r="AJ398" s="0" t="n">
        <f aca="false">IF(AI398&lt;&gt;$E398,1,0)</f>
        <v>0</v>
      </c>
      <c r="AK398" s="0" t="str">
        <f aca="false">IF(AJ398=1,INDEX($F398:$J398,AI398)/MAX($P398:$S398),"")</f>
        <v/>
      </c>
      <c r="AL398" s="0" t="str">
        <f aca="false">IF(AJ398=1,1+COUNTIF($P398:$S398,"&gt;"&amp;INDEX($F398:$J398,AI398)),"")</f>
        <v/>
      </c>
      <c r="AM398" s="0" t="n">
        <f aca="false">AVERAGE($P398:$S398)/MAX($P398:$S398)</f>
        <v>0.720095693779904</v>
      </c>
      <c r="AN398" s="0" t="n">
        <f aca="false">100-INDEX($F398:$J398,$E398)</f>
        <v>60.2</v>
      </c>
    </row>
    <row r="399" customFormat="false" ht="15" hidden="false" customHeight="false" outlineLevel="0" collapsed="false">
      <c r="A399" s="0" t="s">
        <v>57</v>
      </c>
      <c r="B399" s="0" t="n">
        <v>2022</v>
      </c>
      <c r="C399" s="0" t="s">
        <v>49</v>
      </c>
      <c r="D399" s="0" t="s">
        <v>44</v>
      </c>
      <c r="E399" s="0" t="n">
        <v>1</v>
      </c>
      <c r="F399" s="0" t="n">
        <v>44</v>
      </c>
      <c r="G399" s="0" t="n">
        <v>16.8</v>
      </c>
      <c r="H399" s="0" t="n">
        <v>16.5</v>
      </c>
      <c r="I399" s="0" t="n">
        <v>14.8</v>
      </c>
      <c r="J399" s="0" t="n">
        <v>8</v>
      </c>
      <c r="K399" s="0" t="n">
        <v>13.9075139737</v>
      </c>
      <c r="L399" s="0" t="n">
        <v>70.7222686736</v>
      </c>
      <c r="M399" s="0" t="n">
        <v>4.53371169192</v>
      </c>
      <c r="N399" s="0" t="n">
        <v>8.60689369524</v>
      </c>
      <c r="O399" s="0" t="n">
        <v>2.22961196559</v>
      </c>
      <c r="P399" s="0" t="n">
        <f aca="false">INDEX($F399:$J399,IF(1&lt;$E399,1,1+1))</f>
        <v>16.8</v>
      </c>
      <c r="Q399" s="0" t="n">
        <f aca="false">INDEX($F399:$J399,IF(2&lt;$E399,2,2+1))</f>
        <v>16.5</v>
      </c>
      <c r="R399" s="0" t="n">
        <f aca="false">INDEX($F399:$J399,IF(3&lt;$E399,3,3+1))</f>
        <v>14.8</v>
      </c>
      <c r="S399" s="0" t="n">
        <f aca="false">INDEX($F399:$J399,IF(4&lt;$E399,4,4+1))</f>
        <v>8</v>
      </c>
      <c r="T399" s="0" t="n">
        <f aca="false">INDEX($K399:$O399,IF(1&lt;$E399,1,1+1))</f>
        <v>70.7222686736</v>
      </c>
      <c r="U399" s="0" t="n">
        <f aca="false">INDEX($K399:$O399,IF(2&lt;$E399,2,2+1))</f>
        <v>4.53371169192</v>
      </c>
      <c r="V399" s="0" t="n">
        <f aca="false">INDEX($K399:$O399,IF(3&lt;$E399,3,3+1))</f>
        <v>8.60689369524</v>
      </c>
      <c r="W399" s="0" t="n">
        <f aca="false">INDEX($K399:$O399,IF(4&lt;$E399,4,4+1))</f>
        <v>2.22961196559</v>
      </c>
      <c r="X399" s="0" t="n">
        <f aca="false">1+COUNTIF($P399:$S399,"&gt;"&amp;$P399)+(COUNTIF($P399:$S399,$P399)-1)/2</f>
        <v>1</v>
      </c>
      <c r="Y399" s="0" t="n">
        <f aca="false">1+COUNTIF($P399:$S399,"&gt;"&amp;$Q399)+(COUNTIF($P399:$S399,$Q399)-1)/2</f>
        <v>2</v>
      </c>
      <c r="Z399" s="0" t="n">
        <f aca="false">1+COUNTIF($P399:$S399,"&gt;"&amp;$R399)+(COUNTIF($P399:$S399,$R399)-1)/2</f>
        <v>3</v>
      </c>
      <c r="AA399" s="0" t="n">
        <f aca="false">1+COUNTIF($P399:$S399,"&gt;"&amp;$S399)+(COUNTIF($P399:$S399,$S399)-1)/2</f>
        <v>4</v>
      </c>
      <c r="AB399" s="0" t="n">
        <f aca="false">1+COUNTIF($T399:$W399,"&gt;"&amp;$T399)+(COUNTIF($T399:$W399,$T399)-1)/2</f>
        <v>1</v>
      </c>
      <c r="AC399" s="0" t="n">
        <f aca="false">1+COUNTIF($T399:$W399,"&gt;"&amp;$U399)+(COUNTIF($T399:$W399,$U399)-1)/2</f>
        <v>3</v>
      </c>
      <c r="AD399" s="0" t="n">
        <f aca="false">1+COUNTIF($T399:$W399,"&gt;"&amp;$V399)+(COUNTIF($T399:$W399,$V399)-1)/2</f>
        <v>2</v>
      </c>
      <c r="AE399" s="0" t="n">
        <f aca="false">1+COUNTIF($T399:$W399,"&gt;"&amp;$W399)+(COUNTIF($T399:$W399,$W399)-1)/2</f>
        <v>4</v>
      </c>
      <c r="AF399" s="0" t="n">
        <f aca="false">IFERROR(CORREL($P399:$S399,$T399:$W399),"")</f>
        <v>0.494454418581906</v>
      </c>
      <c r="AG399" s="0" t="n">
        <f aca="false">IFERROR(CORREL($X399:$AA399,$AB399:$AE399),"")</f>
        <v>0.8</v>
      </c>
      <c r="AH399" s="0" t="n">
        <f aca="false">IFERROR((SIGN($P399-$Q399)*SIGN($T399-$U399)+SIGN($P399-$R399)*SIGN($T399-$V399)+SIGN($P399-$S399)*SIGN($T399-$W399)+SIGN($Q399-$R399)*SIGN($U399-$V399)+SIGN($Q399-$S399)*SIGN($U399-$W399)+SIGN($R399-$S399)*SIGN($V399-$W399))/SQRT((6-(($P399=$Q399)*1+($P399=$R399)*1+($P399=$S399)*1+($Q399=$R399)*1+($Q399=$S399)*1+($R399=$S399)*1))*(6-(($T399=$U399)*1+($T399=$V399)*1+($T399=$W399)*1+($U399=$V399)*1+($U399=$W399)*1+($V399=$W399)*1))),"")</f>
        <v>0.666666666666667</v>
      </c>
      <c r="AI399" s="0" t="n">
        <f aca="false">MATCH(MAX($K399:$O399),$K399:$O399,0)</f>
        <v>2</v>
      </c>
      <c r="AJ399" s="0" t="n">
        <f aca="false">IF(AI399&lt;&gt;$E399,1,0)</f>
        <v>1</v>
      </c>
      <c r="AK399" s="0" t="n">
        <f aca="false">IF(AJ399=1,INDEX($F399:$J399,AI399)/MAX($P399:$S399),"")</f>
        <v>1</v>
      </c>
      <c r="AL399" s="0" t="n">
        <f aca="false">IF(AJ399=1,1+COUNTIF($P399:$S399,"&gt;"&amp;INDEX($F399:$J399,AI399)),"")</f>
        <v>1</v>
      </c>
      <c r="AM399" s="0" t="n">
        <f aca="false">AVERAGE($P399:$S399)/MAX($P399:$S399)</f>
        <v>0.834821428571429</v>
      </c>
      <c r="AN399" s="0" t="n">
        <f aca="false">100-INDEX($F399:$J399,$E399)</f>
        <v>56</v>
      </c>
    </row>
    <row r="400" customFormat="false" ht="15" hidden="false" customHeight="false" outlineLevel="0" collapsed="false">
      <c r="A400" s="0" t="s">
        <v>57</v>
      </c>
      <c r="B400" s="0" t="n">
        <v>2022</v>
      </c>
      <c r="C400" s="0" t="s">
        <v>49</v>
      </c>
      <c r="D400" s="0" t="s">
        <v>45</v>
      </c>
      <c r="E400" s="0" t="n">
        <v>3</v>
      </c>
      <c r="F400" s="0" t="n">
        <v>8.6</v>
      </c>
      <c r="G400" s="0" t="n">
        <v>11</v>
      </c>
      <c r="H400" s="0" t="n">
        <v>54.9</v>
      </c>
      <c r="I400" s="0" t="n">
        <v>15.6</v>
      </c>
      <c r="J400" s="0" t="n">
        <v>9.9</v>
      </c>
      <c r="K400" s="0" t="n">
        <v>3.31101602697</v>
      </c>
      <c r="L400" s="0" t="n">
        <v>28.4582293104</v>
      </c>
      <c r="M400" s="0" t="n">
        <v>8.78336644126</v>
      </c>
      <c r="N400" s="0" t="n">
        <v>22.8777615366</v>
      </c>
      <c r="O400" s="0" t="n">
        <v>36.5696266848</v>
      </c>
      <c r="P400" s="0" t="n">
        <f aca="false">INDEX($F400:$J400,IF(1&lt;$E400,1,1+1))</f>
        <v>8.6</v>
      </c>
      <c r="Q400" s="0" t="n">
        <f aca="false">INDEX($F400:$J400,IF(2&lt;$E400,2,2+1))</f>
        <v>11</v>
      </c>
      <c r="R400" s="0" t="n">
        <f aca="false">INDEX($F400:$J400,IF(3&lt;$E400,3,3+1))</f>
        <v>15.6</v>
      </c>
      <c r="S400" s="0" t="n">
        <f aca="false">INDEX($F400:$J400,IF(4&lt;$E400,4,4+1))</f>
        <v>9.9</v>
      </c>
      <c r="T400" s="0" t="n">
        <f aca="false">INDEX($K400:$O400,IF(1&lt;$E400,1,1+1))</f>
        <v>3.31101602697</v>
      </c>
      <c r="U400" s="0" t="n">
        <f aca="false">INDEX($K400:$O400,IF(2&lt;$E400,2,2+1))</f>
        <v>28.4582293104</v>
      </c>
      <c r="V400" s="0" t="n">
        <f aca="false">INDEX($K400:$O400,IF(3&lt;$E400,3,3+1))</f>
        <v>22.8777615366</v>
      </c>
      <c r="W400" s="0" t="n">
        <f aca="false">INDEX($K400:$O400,IF(4&lt;$E400,4,4+1))</f>
        <v>36.5696266848</v>
      </c>
      <c r="X400" s="0" t="n">
        <f aca="false">1+COUNTIF($P400:$S400,"&gt;"&amp;$P400)+(COUNTIF($P400:$S400,$P400)-1)/2</f>
        <v>4</v>
      </c>
      <c r="Y400" s="0" t="n">
        <f aca="false">1+COUNTIF($P400:$S400,"&gt;"&amp;$Q400)+(COUNTIF($P400:$S400,$Q400)-1)/2</f>
        <v>2</v>
      </c>
      <c r="Z400" s="0" t="n">
        <f aca="false">1+COUNTIF($P400:$S400,"&gt;"&amp;$R400)+(COUNTIF($P400:$S400,$R400)-1)/2</f>
        <v>1</v>
      </c>
      <c r="AA400" s="0" t="n">
        <f aca="false">1+COUNTIF($P400:$S400,"&gt;"&amp;$S400)+(COUNTIF($P400:$S400,$S400)-1)/2</f>
        <v>3</v>
      </c>
      <c r="AB400" s="0" t="n">
        <f aca="false">1+COUNTIF($T400:$W400,"&gt;"&amp;$T400)+(COUNTIF($T400:$W400,$T400)-1)/2</f>
        <v>4</v>
      </c>
      <c r="AC400" s="0" t="n">
        <f aca="false">1+COUNTIF($T400:$W400,"&gt;"&amp;$U400)+(COUNTIF($T400:$W400,$U400)-1)/2</f>
        <v>2</v>
      </c>
      <c r="AD400" s="0" t="n">
        <f aca="false">1+COUNTIF($T400:$W400,"&gt;"&amp;$V400)+(COUNTIF($T400:$W400,$V400)-1)/2</f>
        <v>3</v>
      </c>
      <c r="AE400" s="0" t="n">
        <f aca="false">1+COUNTIF($T400:$W400,"&gt;"&amp;$W400)+(COUNTIF($T400:$W400,$W400)-1)/2</f>
        <v>1</v>
      </c>
      <c r="AF400" s="0" t="n">
        <f aca="false">IFERROR(CORREL($P400:$S400,$T400:$W400),"")</f>
        <v>0.247197971056752</v>
      </c>
      <c r="AG400" s="0" t="n">
        <f aca="false">IFERROR(CORREL($X400:$AA400,$AB400:$AE400),"")</f>
        <v>0.2</v>
      </c>
      <c r="AH400" s="0" t="n">
        <f aca="false">IFERROR((SIGN($P400-$Q400)*SIGN($T400-$U400)+SIGN($P400-$R400)*SIGN($T400-$V400)+SIGN($P400-$S400)*SIGN($T400-$W400)+SIGN($Q400-$R400)*SIGN($U400-$V400)+SIGN($Q400-$S400)*SIGN($U400-$W400)+SIGN($R400-$S400)*SIGN($V400-$W400))/SQRT((6-(($P400=$Q400)*1+($P400=$R400)*1+($P400=$S400)*1+($Q400=$R400)*1+($Q400=$S400)*1+($R400=$S400)*1))*(6-(($T400=$U400)*1+($T400=$V400)*1+($T400=$W400)*1+($U400=$V400)*1+($U400=$W400)*1+($V400=$W400)*1))),"")</f>
        <v>0</v>
      </c>
      <c r="AI400" s="0" t="n">
        <f aca="false">MATCH(MAX($K400:$O400),$K400:$O400,0)</f>
        <v>5</v>
      </c>
      <c r="AJ400" s="0" t="n">
        <f aca="false">IF(AI400&lt;&gt;$E400,1,0)</f>
        <v>1</v>
      </c>
      <c r="AK400" s="0" t="n">
        <f aca="false">IF(AJ400=1,INDEX($F400:$J400,AI400)/MAX($P400:$S400),"")</f>
        <v>0.634615384615385</v>
      </c>
      <c r="AL400" s="0" t="n">
        <f aca="false">IF(AJ400=1,1+COUNTIF($P400:$S400,"&gt;"&amp;INDEX($F400:$J400,AI400)),"")</f>
        <v>3</v>
      </c>
      <c r="AM400" s="0" t="n">
        <f aca="false">AVERAGE($P400:$S400)/MAX($P400:$S400)</f>
        <v>0.72275641025641</v>
      </c>
      <c r="AN400" s="0" t="n">
        <f aca="false">100-INDEX($F400:$J400,$E400)</f>
        <v>45.1</v>
      </c>
    </row>
    <row r="401" customFormat="false" ht="15" hidden="false" customHeight="false" outlineLevel="0" collapsed="false">
      <c r="A401" s="0" t="s">
        <v>57</v>
      </c>
      <c r="B401" s="0" t="n">
        <v>2022</v>
      </c>
      <c r="C401" s="0" t="s">
        <v>51</v>
      </c>
      <c r="D401" s="0" t="s">
        <v>42</v>
      </c>
      <c r="E401" s="0" t="n">
        <v>3</v>
      </c>
      <c r="F401" s="0" t="n">
        <v>13.8</v>
      </c>
      <c r="G401" s="0" t="n">
        <v>14.7</v>
      </c>
      <c r="H401" s="0" t="n">
        <v>38.8</v>
      </c>
      <c r="I401" s="0" t="n">
        <v>20.1</v>
      </c>
      <c r="J401" s="0" t="n">
        <v>12.7</v>
      </c>
      <c r="K401" s="0" t="n">
        <v>28.2265019788</v>
      </c>
      <c r="L401" s="0" t="n">
        <v>0.701190544211</v>
      </c>
      <c r="M401" s="0" t="n">
        <v>69.1510113471</v>
      </c>
      <c r="N401" s="0" t="n">
        <v>0.287329583574</v>
      </c>
      <c r="O401" s="0" t="n">
        <v>1.63396654625</v>
      </c>
      <c r="P401" s="0" t="n">
        <f aca="false">INDEX($F401:$J401,IF(1&lt;$E401,1,1+1))</f>
        <v>13.8</v>
      </c>
      <c r="Q401" s="0" t="n">
        <f aca="false">INDEX($F401:$J401,IF(2&lt;$E401,2,2+1))</f>
        <v>14.7</v>
      </c>
      <c r="R401" s="0" t="n">
        <f aca="false">INDEX($F401:$J401,IF(3&lt;$E401,3,3+1))</f>
        <v>20.1</v>
      </c>
      <c r="S401" s="0" t="n">
        <f aca="false">INDEX($F401:$J401,IF(4&lt;$E401,4,4+1))</f>
        <v>12.7</v>
      </c>
      <c r="T401" s="0" t="n">
        <f aca="false">INDEX($K401:$O401,IF(1&lt;$E401,1,1+1))</f>
        <v>28.2265019788</v>
      </c>
      <c r="U401" s="0" t="n">
        <f aca="false">INDEX($K401:$O401,IF(2&lt;$E401,2,2+1))</f>
        <v>0.701190544211</v>
      </c>
      <c r="V401" s="0" t="n">
        <f aca="false">INDEX($K401:$O401,IF(3&lt;$E401,3,3+1))</f>
        <v>0.287329583574</v>
      </c>
      <c r="W401" s="0" t="n">
        <f aca="false">INDEX($K401:$O401,IF(4&lt;$E401,4,4+1))</f>
        <v>1.63396654625</v>
      </c>
      <c r="X401" s="0" t="n">
        <f aca="false">1+COUNTIF($P401:$S401,"&gt;"&amp;$P401)+(COUNTIF($P401:$S401,$P401)-1)/2</f>
        <v>3</v>
      </c>
      <c r="Y401" s="0" t="n">
        <f aca="false">1+COUNTIF($P401:$S401,"&gt;"&amp;$Q401)+(COUNTIF($P401:$S401,$Q401)-1)/2</f>
        <v>2</v>
      </c>
      <c r="Z401" s="0" t="n">
        <f aca="false">1+COUNTIF($P401:$S401,"&gt;"&amp;$R401)+(COUNTIF($P401:$S401,$R401)-1)/2</f>
        <v>1</v>
      </c>
      <c r="AA401" s="0" t="n">
        <f aca="false">1+COUNTIF($P401:$S401,"&gt;"&amp;$S401)+(COUNTIF($P401:$S401,$S401)-1)/2</f>
        <v>4</v>
      </c>
      <c r="AB401" s="0" t="n">
        <f aca="false">1+COUNTIF($T401:$W401,"&gt;"&amp;$T401)+(COUNTIF($T401:$W401,$T401)-1)/2</f>
        <v>1</v>
      </c>
      <c r="AC401" s="0" t="n">
        <f aca="false">1+COUNTIF($T401:$W401,"&gt;"&amp;$U401)+(COUNTIF($T401:$W401,$U401)-1)/2</f>
        <v>3</v>
      </c>
      <c r="AD401" s="0" t="n">
        <f aca="false">1+COUNTIF($T401:$W401,"&gt;"&amp;$V401)+(COUNTIF($T401:$W401,$V401)-1)/2</f>
        <v>4</v>
      </c>
      <c r="AE401" s="0" t="n">
        <f aca="false">1+COUNTIF($T401:$W401,"&gt;"&amp;$W401)+(COUNTIF($T401:$W401,$W401)-1)/2</f>
        <v>2</v>
      </c>
      <c r="AF401" s="0" t="n">
        <f aca="false">IFERROR(CORREL($P401:$S401,$T401:$W401),"")</f>
        <v>-0.343803153347625</v>
      </c>
      <c r="AG401" s="0" t="n">
        <f aca="false">IFERROR(CORREL($X401:$AA401,$AB401:$AE401),"")</f>
        <v>-0.8</v>
      </c>
      <c r="AH401" s="0" t="n">
        <f aca="false">IFERROR((SIGN($P401-$Q401)*SIGN($T401-$U401)+SIGN($P401-$R401)*SIGN($T401-$V401)+SIGN($P401-$S401)*SIGN($T401-$W401)+SIGN($Q401-$R401)*SIGN($U401-$V401)+SIGN($Q401-$S401)*SIGN($U401-$W401)+SIGN($R401-$S401)*SIGN($V401-$W401))/SQRT((6-(($P401=$Q401)*1+($P401=$R401)*1+($P401=$S401)*1+($Q401=$R401)*1+($Q401=$S401)*1+($R401=$S401)*1))*(6-(($T401=$U401)*1+($T401=$V401)*1+($T401=$W401)*1+($U401=$V401)*1+($U401=$W401)*1+($V401=$W401)*1))),"")</f>
        <v>-0.666666666666667</v>
      </c>
      <c r="AI401" s="0" t="n">
        <f aca="false">MATCH(MAX($K401:$O401),$K401:$O401,0)</f>
        <v>3</v>
      </c>
      <c r="AJ401" s="0" t="n">
        <f aca="false">IF(AI401&lt;&gt;$E401,1,0)</f>
        <v>0</v>
      </c>
      <c r="AK401" s="0" t="str">
        <f aca="false">IF(AJ401=1,INDEX($F401:$J401,AI401)/MAX($P401:$S401),"")</f>
        <v/>
      </c>
      <c r="AL401" s="0" t="str">
        <f aca="false">IF(AJ401=1,1+COUNTIF($P401:$S401,"&gt;"&amp;INDEX($F401:$J401,AI401)),"")</f>
        <v/>
      </c>
      <c r="AM401" s="0" t="n">
        <f aca="false">AVERAGE($P401:$S401)/MAX($P401:$S401)</f>
        <v>0.762437810945274</v>
      </c>
      <c r="AN401" s="0" t="n">
        <f aca="false">100-INDEX($F401:$J401,$E401)</f>
        <v>61.2</v>
      </c>
    </row>
    <row r="402" customFormat="false" ht="15" hidden="false" customHeight="false" outlineLevel="0" collapsed="false">
      <c r="A402" s="0" t="s">
        <v>57</v>
      </c>
      <c r="B402" s="0" t="n">
        <v>2022</v>
      </c>
      <c r="C402" s="0" t="s">
        <v>51</v>
      </c>
      <c r="D402" s="0" t="s">
        <v>43</v>
      </c>
      <c r="E402" s="0" t="n">
        <v>5</v>
      </c>
      <c r="F402" s="0" t="n">
        <v>19.6</v>
      </c>
      <c r="G402" s="0" t="n">
        <v>10.4</v>
      </c>
      <c r="H402" s="0" t="n">
        <v>14.7</v>
      </c>
      <c r="I402" s="0" t="n">
        <v>11.5</v>
      </c>
      <c r="J402" s="0" t="n">
        <v>43.8</v>
      </c>
      <c r="K402" s="0" t="n">
        <v>24.1500366502</v>
      </c>
      <c r="L402" s="0" t="n">
        <v>15.0454304053</v>
      </c>
      <c r="M402" s="0" t="n">
        <v>3.93770074241</v>
      </c>
      <c r="N402" s="0" t="n">
        <v>6.03876475783</v>
      </c>
      <c r="O402" s="0" t="n">
        <v>50.8280674443</v>
      </c>
      <c r="P402" s="0" t="n">
        <f aca="false">INDEX($F402:$J402,IF(1&lt;$E402,1,1+1))</f>
        <v>19.6</v>
      </c>
      <c r="Q402" s="0" t="n">
        <f aca="false">INDEX($F402:$J402,IF(2&lt;$E402,2,2+1))</f>
        <v>10.4</v>
      </c>
      <c r="R402" s="0" t="n">
        <f aca="false">INDEX($F402:$J402,IF(3&lt;$E402,3,3+1))</f>
        <v>14.7</v>
      </c>
      <c r="S402" s="0" t="n">
        <f aca="false">INDEX($F402:$J402,IF(4&lt;$E402,4,4+1))</f>
        <v>11.5</v>
      </c>
      <c r="T402" s="0" t="n">
        <f aca="false">INDEX($K402:$O402,IF(1&lt;$E402,1,1+1))</f>
        <v>24.1500366502</v>
      </c>
      <c r="U402" s="0" t="n">
        <f aca="false">INDEX($K402:$O402,IF(2&lt;$E402,2,2+1))</f>
        <v>15.0454304053</v>
      </c>
      <c r="V402" s="0" t="n">
        <f aca="false">INDEX($K402:$O402,IF(3&lt;$E402,3,3+1))</f>
        <v>3.93770074241</v>
      </c>
      <c r="W402" s="0" t="n">
        <f aca="false">INDEX($K402:$O402,IF(4&lt;$E402,4,4+1))</f>
        <v>6.03876475783</v>
      </c>
      <c r="X402" s="0" t="n">
        <f aca="false">1+COUNTIF($P402:$S402,"&gt;"&amp;$P402)+(COUNTIF($P402:$S402,$P402)-1)/2</f>
        <v>1</v>
      </c>
      <c r="Y402" s="0" t="n">
        <f aca="false">1+COUNTIF($P402:$S402,"&gt;"&amp;$Q402)+(COUNTIF($P402:$S402,$Q402)-1)/2</f>
        <v>4</v>
      </c>
      <c r="Z402" s="0" t="n">
        <f aca="false">1+COUNTIF($P402:$S402,"&gt;"&amp;$R402)+(COUNTIF($P402:$S402,$R402)-1)/2</f>
        <v>2</v>
      </c>
      <c r="AA402" s="0" t="n">
        <f aca="false">1+COUNTIF($P402:$S402,"&gt;"&amp;$S402)+(COUNTIF($P402:$S402,$S402)-1)/2</f>
        <v>3</v>
      </c>
      <c r="AB402" s="0" t="n">
        <f aca="false">1+COUNTIF($T402:$W402,"&gt;"&amp;$T402)+(COUNTIF($T402:$W402,$T402)-1)/2</f>
        <v>1</v>
      </c>
      <c r="AC402" s="0" t="n">
        <f aca="false">1+COUNTIF($T402:$W402,"&gt;"&amp;$U402)+(COUNTIF($T402:$W402,$U402)-1)/2</f>
        <v>2</v>
      </c>
      <c r="AD402" s="0" t="n">
        <f aca="false">1+COUNTIF($T402:$W402,"&gt;"&amp;$V402)+(COUNTIF($T402:$W402,$V402)-1)/2</f>
        <v>4</v>
      </c>
      <c r="AE402" s="0" t="n">
        <f aca="false">1+COUNTIF($T402:$W402,"&gt;"&amp;$W402)+(COUNTIF($T402:$W402,$W402)-1)/2</f>
        <v>3</v>
      </c>
      <c r="AF402" s="0" t="n">
        <f aca="false">IFERROR(CORREL($P402:$S402,$T402:$W402),"")</f>
        <v>0.578528136420076</v>
      </c>
      <c r="AG402" s="0" t="n">
        <f aca="false">IFERROR(CORREL($X402:$AA402,$AB402:$AE402),"")</f>
        <v>0.2</v>
      </c>
      <c r="AH402" s="0" t="n">
        <f aca="false">IFERROR((SIGN($P402-$Q402)*SIGN($T402-$U402)+SIGN($P402-$R402)*SIGN($T402-$V402)+SIGN($P402-$S402)*SIGN($T402-$W402)+SIGN($Q402-$R402)*SIGN($U402-$V402)+SIGN($Q402-$S402)*SIGN($U402-$W402)+SIGN($R402-$S402)*SIGN($V402-$W402))/SQRT((6-(($P402=$Q402)*1+($P402=$R402)*1+($P402=$S402)*1+($Q402=$R402)*1+($Q402=$S402)*1+($R402=$S402)*1))*(6-(($T402=$U402)*1+($T402=$V402)*1+($T402=$W402)*1+($U402=$V402)*1+($U402=$W402)*1+($V402=$W402)*1))),"")</f>
        <v>0</v>
      </c>
      <c r="AI402" s="0" t="n">
        <f aca="false">MATCH(MAX($K402:$O402),$K402:$O402,0)</f>
        <v>5</v>
      </c>
      <c r="AJ402" s="0" t="n">
        <f aca="false">IF(AI402&lt;&gt;$E402,1,0)</f>
        <v>0</v>
      </c>
      <c r="AK402" s="0" t="str">
        <f aca="false">IF(AJ402=1,INDEX($F402:$J402,AI402)/MAX($P402:$S402),"")</f>
        <v/>
      </c>
      <c r="AL402" s="0" t="str">
        <f aca="false">IF(AJ402=1,1+COUNTIF($P402:$S402,"&gt;"&amp;INDEX($F402:$J402,AI402)),"")</f>
        <v/>
      </c>
      <c r="AM402" s="0" t="n">
        <f aca="false">AVERAGE($P402:$S402)/MAX($P402:$S402)</f>
        <v>0.716836734693878</v>
      </c>
      <c r="AN402" s="0" t="n">
        <f aca="false">100-INDEX($F402:$J402,$E402)</f>
        <v>56.2</v>
      </c>
    </row>
    <row r="403" customFormat="false" ht="15" hidden="false" customHeight="false" outlineLevel="0" collapsed="false">
      <c r="A403" s="0" t="s">
        <v>57</v>
      </c>
      <c r="B403" s="0" t="n">
        <v>2022</v>
      </c>
      <c r="C403" s="0" t="s">
        <v>51</v>
      </c>
      <c r="D403" s="0" t="s">
        <v>44</v>
      </c>
      <c r="E403" s="0" t="n">
        <v>1</v>
      </c>
      <c r="F403" s="0" t="n">
        <v>28.4</v>
      </c>
      <c r="G403" s="0" t="n">
        <v>13</v>
      </c>
      <c r="H403" s="0" t="n">
        <v>24.6</v>
      </c>
      <c r="I403" s="0" t="n">
        <v>19.8</v>
      </c>
      <c r="J403" s="0" t="n">
        <v>14.2</v>
      </c>
      <c r="K403" s="0" t="n">
        <v>19.143168763</v>
      </c>
      <c r="L403" s="0" t="n">
        <v>46.8136631081</v>
      </c>
      <c r="M403" s="0" t="n">
        <v>16.8264363038</v>
      </c>
      <c r="N403" s="0" t="n">
        <v>4.32067810711</v>
      </c>
      <c r="O403" s="0" t="n">
        <v>12.8960537179</v>
      </c>
      <c r="P403" s="0" t="n">
        <f aca="false">INDEX($F403:$J403,IF(1&lt;$E403,1,1+1))</f>
        <v>13</v>
      </c>
      <c r="Q403" s="0" t="n">
        <f aca="false">INDEX($F403:$J403,IF(2&lt;$E403,2,2+1))</f>
        <v>24.6</v>
      </c>
      <c r="R403" s="0" t="n">
        <f aca="false">INDEX($F403:$J403,IF(3&lt;$E403,3,3+1))</f>
        <v>19.8</v>
      </c>
      <c r="S403" s="0" t="n">
        <f aca="false">INDEX($F403:$J403,IF(4&lt;$E403,4,4+1))</f>
        <v>14.2</v>
      </c>
      <c r="T403" s="0" t="n">
        <f aca="false">INDEX($K403:$O403,IF(1&lt;$E403,1,1+1))</f>
        <v>46.8136631081</v>
      </c>
      <c r="U403" s="0" t="n">
        <f aca="false">INDEX($K403:$O403,IF(2&lt;$E403,2,2+1))</f>
        <v>16.8264363038</v>
      </c>
      <c r="V403" s="0" t="n">
        <f aca="false">INDEX($K403:$O403,IF(3&lt;$E403,3,3+1))</f>
        <v>4.32067810711</v>
      </c>
      <c r="W403" s="0" t="n">
        <f aca="false">INDEX($K403:$O403,IF(4&lt;$E403,4,4+1))</f>
        <v>12.8960537179</v>
      </c>
      <c r="X403" s="0" t="n">
        <f aca="false">1+COUNTIF($P403:$S403,"&gt;"&amp;$P403)+(COUNTIF($P403:$S403,$P403)-1)/2</f>
        <v>4</v>
      </c>
      <c r="Y403" s="0" t="n">
        <f aca="false">1+COUNTIF($P403:$S403,"&gt;"&amp;$Q403)+(COUNTIF($P403:$S403,$Q403)-1)/2</f>
        <v>1</v>
      </c>
      <c r="Z403" s="0" t="n">
        <f aca="false">1+COUNTIF($P403:$S403,"&gt;"&amp;$R403)+(COUNTIF($P403:$S403,$R403)-1)/2</f>
        <v>2</v>
      </c>
      <c r="AA403" s="0" t="n">
        <f aca="false">1+COUNTIF($P403:$S403,"&gt;"&amp;$S403)+(COUNTIF($P403:$S403,$S403)-1)/2</f>
        <v>3</v>
      </c>
      <c r="AB403" s="0" t="n">
        <f aca="false">1+COUNTIF($T403:$W403,"&gt;"&amp;$T403)+(COUNTIF($T403:$W403,$T403)-1)/2</f>
        <v>1</v>
      </c>
      <c r="AC403" s="0" t="n">
        <f aca="false">1+COUNTIF($T403:$W403,"&gt;"&amp;$U403)+(COUNTIF($T403:$W403,$U403)-1)/2</f>
        <v>2</v>
      </c>
      <c r="AD403" s="0" t="n">
        <f aca="false">1+COUNTIF($T403:$W403,"&gt;"&amp;$V403)+(COUNTIF($T403:$W403,$V403)-1)/2</f>
        <v>4</v>
      </c>
      <c r="AE403" s="0" t="n">
        <f aca="false">1+COUNTIF($T403:$W403,"&gt;"&amp;$W403)+(COUNTIF($T403:$W403,$W403)-1)/2</f>
        <v>3</v>
      </c>
      <c r="AF403" s="0" t="n">
        <f aca="false">IFERROR(CORREL($P403:$S403,$T403:$W403),"")</f>
        <v>-0.525300013730607</v>
      </c>
      <c r="AG403" s="0" t="n">
        <f aca="false">IFERROR(CORREL($X403:$AA403,$AB403:$AE403),"")</f>
        <v>-0.4</v>
      </c>
      <c r="AH403" s="0" t="n">
        <f aca="false">IFERROR((SIGN($P403-$Q403)*SIGN($T403-$U403)+SIGN($P403-$R403)*SIGN($T403-$V403)+SIGN($P403-$S403)*SIGN($T403-$W403)+SIGN($Q403-$R403)*SIGN($U403-$V403)+SIGN($Q403-$S403)*SIGN($U403-$W403)+SIGN($R403-$S403)*SIGN($V403-$W403))/SQRT((6-(($P403=$Q403)*1+($P403=$R403)*1+($P403=$S403)*1+($Q403=$R403)*1+($Q403=$S403)*1+($R403=$S403)*1))*(6-(($T403=$U403)*1+($T403=$V403)*1+($T403=$W403)*1+($U403=$V403)*1+($U403=$W403)*1+($V403=$W403)*1))),"")</f>
        <v>-0.333333333333333</v>
      </c>
      <c r="AI403" s="0" t="n">
        <f aca="false">MATCH(MAX($K403:$O403),$K403:$O403,0)</f>
        <v>2</v>
      </c>
      <c r="AJ403" s="0" t="n">
        <f aca="false">IF(AI403&lt;&gt;$E403,1,0)</f>
        <v>1</v>
      </c>
      <c r="AK403" s="0" t="n">
        <f aca="false">IF(AJ403=1,INDEX($F403:$J403,AI403)/MAX($P403:$S403),"")</f>
        <v>0.528455284552846</v>
      </c>
      <c r="AL403" s="0" t="n">
        <f aca="false">IF(AJ403=1,1+COUNTIF($P403:$S403,"&gt;"&amp;INDEX($F403:$J403,AI403)),"")</f>
        <v>4</v>
      </c>
      <c r="AM403" s="0" t="n">
        <f aca="false">AVERAGE($P403:$S403)/MAX($P403:$S403)</f>
        <v>0.727642276422764</v>
      </c>
      <c r="AN403" s="0" t="n">
        <f aca="false">100-INDEX($F403:$J403,$E403)</f>
        <v>71.6</v>
      </c>
    </row>
    <row r="404" customFormat="false" ht="15" hidden="false" customHeight="false" outlineLevel="0" collapsed="false">
      <c r="A404" s="0" t="s">
        <v>57</v>
      </c>
      <c r="B404" s="0" t="n">
        <v>2022</v>
      </c>
      <c r="C404" s="0" t="s">
        <v>51</v>
      </c>
      <c r="D404" s="0" t="s">
        <v>45</v>
      </c>
      <c r="E404" s="0" t="n">
        <v>1</v>
      </c>
      <c r="F404" s="0" t="n">
        <v>28.4</v>
      </c>
      <c r="G404" s="0" t="n">
        <v>25.5</v>
      </c>
      <c r="H404" s="0" t="n">
        <v>18.8</v>
      </c>
      <c r="I404" s="0" t="n">
        <v>18.8</v>
      </c>
      <c r="J404" s="0" t="n">
        <v>8.5</v>
      </c>
      <c r="K404" s="0" t="n">
        <v>14.9901598974</v>
      </c>
      <c r="L404" s="0" t="n">
        <v>24.2488406401</v>
      </c>
      <c r="M404" s="0" t="n">
        <v>30.7229291917</v>
      </c>
      <c r="N404" s="0" t="n">
        <v>21.3216010125</v>
      </c>
      <c r="O404" s="0" t="n">
        <v>8.71646925834</v>
      </c>
      <c r="P404" s="0" t="n">
        <f aca="false">INDEX($F404:$J404,IF(1&lt;$E404,1,1+1))</f>
        <v>25.5</v>
      </c>
      <c r="Q404" s="0" t="n">
        <f aca="false">INDEX($F404:$J404,IF(2&lt;$E404,2,2+1))</f>
        <v>18.8</v>
      </c>
      <c r="R404" s="0" t="n">
        <f aca="false">INDEX($F404:$J404,IF(3&lt;$E404,3,3+1))</f>
        <v>18.8</v>
      </c>
      <c r="S404" s="0" t="n">
        <f aca="false">INDEX($F404:$J404,IF(4&lt;$E404,4,4+1))</f>
        <v>8.5</v>
      </c>
      <c r="T404" s="0" t="n">
        <f aca="false">INDEX($K404:$O404,IF(1&lt;$E404,1,1+1))</f>
        <v>24.2488406401</v>
      </c>
      <c r="U404" s="0" t="n">
        <f aca="false">INDEX($K404:$O404,IF(2&lt;$E404,2,2+1))</f>
        <v>30.7229291917</v>
      </c>
      <c r="V404" s="0" t="n">
        <f aca="false">INDEX($K404:$O404,IF(3&lt;$E404,3,3+1))</f>
        <v>21.3216010125</v>
      </c>
      <c r="W404" s="0" t="n">
        <f aca="false">INDEX($K404:$O404,IF(4&lt;$E404,4,4+1))</f>
        <v>8.71646925834</v>
      </c>
      <c r="X404" s="0" t="n">
        <f aca="false">1+COUNTIF($P404:$S404,"&gt;"&amp;$P404)+(COUNTIF($P404:$S404,$P404)-1)/2</f>
        <v>1</v>
      </c>
      <c r="Y404" s="0" t="n">
        <f aca="false">1+COUNTIF($P404:$S404,"&gt;"&amp;$Q404)+(COUNTIF($P404:$S404,$Q404)-1)/2</f>
        <v>2.5</v>
      </c>
      <c r="Z404" s="0" t="n">
        <f aca="false">1+COUNTIF($P404:$S404,"&gt;"&amp;$R404)+(COUNTIF($P404:$S404,$R404)-1)/2</f>
        <v>2.5</v>
      </c>
      <c r="AA404" s="0" t="n">
        <f aca="false">1+COUNTIF($P404:$S404,"&gt;"&amp;$S404)+(COUNTIF($P404:$S404,$S404)-1)/2</f>
        <v>4</v>
      </c>
      <c r="AB404" s="0" t="n">
        <f aca="false">1+COUNTIF($T404:$W404,"&gt;"&amp;$T404)+(COUNTIF($T404:$W404,$T404)-1)/2</f>
        <v>2</v>
      </c>
      <c r="AC404" s="0" t="n">
        <f aca="false">1+COUNTIF($T404:$W404,"&gt;"&amp;$U404)+(COUNTIF($T404:$W404,$U404)-1)/2</f>
        <v>1</v>
      </c>
      <c r="AD404" s="0" t="n">
        <f aca="false">1+COUNTIF($T404:$W404,"&gt;"&amp;$V404)+(COUNTIF($T404:$W404,$V404)-1)/2</f>
        <v>3</v>
      </c>
      <c r="AE404" s="0" t="n">
        <f aca="false">1+COUNTIF($T404:$W404,"&gt;"&amp;$W404)+(COUNTIF($T404:$W404,$W404)-1)/2</f>
        <v>4</v>
      </c>
      <c r="AF404" s="0" t="n">
        <f aca="false">IFERROR(CORREL($P404:$S404,$T404:$W404),"")</f>
        <v>0.767430181957022</v>
      </c>
      <c r="AG404" s="0" t="n">
        <f aca="false">IFERROR(CORREL($X404:$AA404,$AB404:$AE404),"")</f>
        <v>0.632455532033676</v>
      </c>
      <c r="AH404" s="0" t="n">
        <f aca="false">IFERROR((SIGN($P404-$Q404)*SIGN($T404-$U404)+SIGN($P404-$R404)*SIGN($T404-$V404)+SIGN($P404-$S404)*SIGN($T404-$W404)+SIGN($Q404-$R404)*SIGN($U404-$V404)+SIGN($Q404-$S404)*SIGN($U404-$W404)+SIGN($R404-$S404)*SIGN($V404-$W404))/SQRT((6-(($P404=$Q404)*1+($P404=$R404)*1+($P404=$S404)*1+($Q404=$R404)*1+($Q404=$S404)*1+($R404=$S404)*1))*(6-(($T404=$U404)*1+($T404=$V404)*1+($T404=$W404)*1+($U404=$V404)*1+($U404=$W404)*1+($V404=$W404)*1))),"")</f>
        <v>0.547722557505166</v>
      </c>
      <c r="AI404" s="0" t="n">
        <f aca="false">MATCH(MAX($K404:$O404),$K404:$O404,0)</f>
        <v>3</v>
      </c>
      <c r="AJ404" s="0" t="n">
        <f aca="false">IF(AI404&lt;&gt;$E404,1,0)</f>
        <v>1</v>
      </c>
      <c r="AK404" s="0" t="n">
        <f aca="false">IF(AJ404=1,INDEX($F404:$J404,AI404)/MAX($P404:$S404),"")</f>
        <v>0.737254901960784</v>
      </c>
      <c r="AL404" s="0" t="n">
        <f aca="false">IF(AJ404=1,1+COUNTIF($P404:$S404,"&gt;"&amp;INDEX($F404:$J404,AI404)),"")</f>
        <v>2</v>
      </c>
      <c r="AM404" s="0" t="n">
        <f aca="false">AVERAGE($P404:$S404)/MAX($P404:$S404)</f>
        <v>0.701960784313725</v>
      </c>
      <c r="AN404" s="0" t="n">
        <f aca="false">100-INDEX($F404:$J404,$E404)</f>
        <v>71.6</v>
      </c>
    </row>
    <row r="405" customFormat="false" ht="15" hidden="false" customHeight="false" outlineLevel="0" collapsed="false">
      <c r="A405" s="0" t="s">
        <v>57</v>
      </c>
      <c r="B405" s="0" t="n">
        <v>2022</v>
      </c>
      <c r="C405" s="0" t="s">
        <v>46</v>
      </c>
      <c r="D405" s="0" t="s">
        <v>42</v>
      </c>
      <c r="E405" s="0" t="n">
        <v>2</v>
      </c>
      <c r="F405" s="0" t="n">
        <v>31.7</v>
      </c>
      <c r="G405" s="0" t="n">
        <v>32.7</v>
      </c>
      <c r="H405" s="0" t="n">
        <v>7.1</v>
      </c>
      <c r="I405" s="0" t="n">
        <v>8.3</v>
      </c>
      <c r="J405" s="0" t="n">
        <v>18.3</v>
      </c>
      <c r="K405" s="0" t="n">
        <v>26.5746571702</v>
      </c>
      <c r="L405" s="0" t="n">
        <v>70.9769745754</v>
      </c>
      <c r="M405" s="0" t="n">
        <v>0.0433861739049</v>
      </c>
      <c r="N405" s="0" t="n">
        <v>2.059764181</v>
      </c>
      <c r="O405" s="0" t="n">
        <v>0.345217899496</v>
      </c>
      <c r="P405" s="0" t="n">
        <f aca="false">INDEX($F405:$J405,IF(1&lt;$E405,1,1+1))</f>
        <v>31.7</v>
      </c>
      <c r="Q405" s="0" t="n">
        <f aca="false">INDEX($F405:$J405,IF(2&lt;$E405,2,2+1))</f>
        <v>7.1</v>
      </c>
      <c r="R405" s="0" t="n">
        <f aca="false">INDEX($F405:$J405,IF(3&lt;$E405,3,3+1))</f>
        <v>8.3</v>
      </c>
      <c r="S405" s="0" t="n">
        <f aca="false">INDEX($F405:$J405,IF(4&lt;$E405,4,4+1))</f>
        <v>18.3</v>
      </c>
      <c r="T405" s="0" t="n">
        <f aca="false">INDEX($K405:$O405,IF(1&lt;$E405,1,1+1))</f>
        <v>26.5746571702</v>
      </c>
      <c r="U405" s="0" t="n">
        <f aca="false">INDEX($K405:$O405,IF(2&lt;$E405,2,2+1))</f>
        <v>0.0433861739049</v>
      </c>
      <c r="V405" s="0" t="n">
        <f aca="false">INDEX($K405:$O405,IF(3&lt;$E405,3,3+1))</f>
        <v>2.059764181</v>
      </c>
      <c r="W405" s="0" t="n">
        <f aca="false">INDEX($K405:$O405,IF(4&lt;$E405,4,4+1))</f>
        <v>0.345217899496</v>
      </c>
      <c r="X405" s="0" t="n">
        <f aca="false">1+COUNTIF($P405:$S405,"&gt;"&amp;$P405)+(COUNTIF($P405:$S405,$P405)-1)/2</f>
        <v>1</v>
      </c>
      <c r="Y405" s="0" t="n">
        <f aca="false">1+COUNTIF($P405:$S405,"&gt;"&amp;$Q405)+(COUNTIF($P405:$S405,$Q405)-1)/2</f>
        <v>4</v>
      </c>
      <c r="Z405" s="0" t="n">
        <f aca="false">1+COUNTIF($P405:$S405,"&gt;"&amp;$R405)+(COUNTIF($P405:$S405,$R405)-1)/2</f>
        <v>3</v>
      </c>
      <c r="AA405" s="0" t="n">
        <f aca="false">1+COUNTIF($P405:$S405,"&gt;"&amp;$S405)+(COUNTIF($P405:$S405,$S405)-1)/2</f>
        <v>2</v>
      </c>
      <c r="AB405" s="0" t="n">
        <f aca="false">1+COUNTIF($T405:$W405,"&gt;"&amp;$T405)+(COUNTIF($T405:$W405,$T405)-1)/2</f>
        <v>1</v>
      </c>
      <c r="AC405" s="0" t="n">
        <f aca="false">1+COUNTIF($T405:$W405,"&gt;"&amp;$U405)+(COUNTIF($T405:$W405,$U405)-1)/2</f>
        <v>4</v>
      </c>
      <c r="AD405" s="0" t="n">
        <f aca="false">1+COUNTIF($T405:$W405,"&gt;"&amp;$V405)+(COUNTIF($T405:$W405,$V405)-1)/2</f>
        <v>2</v>
      </c>
      <c r="AE405" s="0" t="n">
        <f aca="false">1+COUNTIF($T405:$W405,"&gt;"&amp;$W405)+(COUNTIF($T405:$W405,$W405)-1)/2</f>
        <v>3</v>
      </c>
      <c r="AF405" s="0" t="n">
        <f aca="false">IFERROR(CORREL($P405:$S405,$T405:$W405),"")</f>
        <v>0.8870718312365</v>
      </c>
      <c r="AG405" s="0" t="n">
        <f aca="false">IFERROR(CORREL($X405:$AA405,$AB405:$AE405),"")</f>
        <v>0.8</v>
      </c>
      <c r="AH405" s="0" t="n">
        <f aca="false">IFERROR((SIGN($P405-$Q405)*SIGN($T405-$U405)+SIGN($P405-$R405)*SIGN($T405-$V405)+SIGN($P405-$S405)*SIGN($T405-$W405)+SIGN($Q405-$R405)*SIGN($U405-$V405)+SIGN($Q405-$S405)*SIGN($U405-$W405)+SIGN($R405-$S405)*SIGN($V405-$W405))/SQRT((6-(($P405=$Q405)*1+($P405=$R405)*1+($P405=$S405)*1+($Q405=$R405)*1+($Q405=$S405)*1+($R405=$S405)*1))*(6-(($T405=$U405)*1+($T405=$V405)*1+($T405=$W405)*1+($U405=$V405)*1+($U405=$W405)*1+($V405=$W405)*1))),"")</f>
        <v>0.666666666666667</v>
      </c>
      <c r="AI405" s="0" t="n">
        <f aca="false">MATCH(MAX($K405:$O405),$K405:$O405,0)</f>
        <v>2</v>
      </c>
      <c r="AJ405" s="0" t="n">
        <f aca="false">IF(AI405&lt;&gt;$E405,1,0)</f>
        <v>0</v>
      </c>
      <c r="AK405" s="0" t="str">
        <f aca="false">IF(AJ405=1,INDEX($F405:$J405,AI405)/MAX($P405:$S405),"")</f>
        <v/>
      </c>
      <c r="AL405" s="0" t="str">
        <f aca="false">IF(AJ405=1,1+COUNTIF($P405:$S405,"&gt;"&amp;INDEX($F405:$J405,AI405)),"")</f>
        <v/>
      </c>
      <c r="AM405" s="0" t="n">
        <f aca="false">AVERAGE($P405:$S405)/MAX($P405:$S405)</f>
        <v>0.515772870662461</v>
      </c>
      <c r="AN405" s="0" t="n">
        <f aca="false">100-INDEX($F405:$J405,$E405)</f>
        <v>67.3</v>
      </c>
    </row>
    <row r="406" customFormat="false" ht="15" hidden="false" customHeight="false" outlineLevel="0" collapsed="false">
      <c r="A406" s="0" t="s">
        <v>57</v>
      </c>
      <c r="B406" s="0" t="n">
        <v>2022</v>
      </c>
      <c r="C406" s="0" t="s">
        <v>46</v>
      </c>
      <c r="D406" s="0" t="s">
        <v>43</v>
      </c>
      <c r="E406" s="0" t="n">
        <v>4</v>
      </c>
      <c r="F406" s="0" t="n">
        <v>8.4</v>
      </c>
      <c r="G406" s="0" t="n">
        <v>12.5</v>
      </c>
      <c r="H406" s="0" t="n">
        <v>18.8</v>
      </c>
      <c r="I406" s="0" t="n">
        <v>49</v>
      </c>
      <c r="J406" s="0" t="n">
        <v>9.3</v>
      </c>
      <c r="K406" s="0" t="n">
        <v>21.9233699834</v>
      </c>
      <c r="L406" s="0" t="n">
        <v>2.96266946001</v>
      </c>
      <c r="M406" s="0" t="n">
        <v>35.4864825751</v>
      </c>
      <c r="N406" s="0" t="n">
        <v>16.94041927</v>
      </c>
      <c r="O406" s="0" t="n">
        <v>22.6870587115</v>
      </c>
      <c r="P406" s="0" t="n">
        <f aca="false">INDEX($F406:$J406,IF(1&lt;$E406,1,1+1))</f>
        <v>8.4</v>
      </c>
      <c r="Q406" s="0" t="n">
        <f aca="false">INDEX($F406:$J406,IF(2&lt;$E406,2,2+1))</f>
        <v>12.5</v>
      </c>
      <c r="R406" s="0" t="n">
        <f aca="false">INDEX($F406:$J406,IF(3&lt;$E406,3,3+1))</f>
        <v>18.8</v>
      </c>
      <c r="S406" s="0" t="n">
        <f aca="false">INDEX($F406:$J406,IF(4&lt;$E406,4,4+1))</f>
        <v>9.3</v>
      </c>
      <c r="T406" s="0" t="n">
        <f aca="false">INDEX($K406:$O406,IF(1&lt;$E406,1,1+1))</f>
        <v>21.9233699834</v>
      </c>
      <c r="U406" s="0" t="n">
        <f aca="false">INDEX($K406:$O406,IF(2&lt;$E406,2,2+1))</f>
        <v>2.96266946001</v>
      </c>
      <c r="V406" s="0" t="n">
        <f aca="false">INDEX($K406:$O406,IF(3&lt;$E406,3,3+1))</f>
        <v>35.4864825751</v>
      </c>
      <c r="W406" s="0" t="n">
        <f aca="false">INDEX($K406:$O406,IF(4&lt;$E406,4,4+1))</f>
        <v>22.6870587115</v>
      </c>
      <c r="X406" s="0" t="n">
        <f aca="false">1+COUNTIF($P406:$S406,"&gt;"&amp;$P406)+(COUNTIF($P406:$S406,$P406)-1)/2</f>
        <v>4</v>
      </c>
      <c r="Y406" s="0" t="n">
        <f aca="false">1+COUNTIF($P406:$S406,"&gt;"&amp;$Q406)+(COUNTIF($P406:$S406,$Q406)-1)/2</f>
        <v>2</v>
      </c>
      <c r="Z406" s="0" t="n">
        <f aca="false">1+COUNTIF($P406:$S406,"&gt;"&amp;$R406)+(COUNTIF($P406:$S406,$R406)-1)/2</f>
        <v>1</v>
      </c>
      <c r="AA406" s="0" t="n">
        <f aca="false">1+COUNTIF($P406:$S406,"&gt;"&amp;$S406)+(COUNTIF($P406:$S406,$S406)-1)/2</f>
        <v>3</v>
      </c>
      <c r="AB406" s="0" t="n">
        <f aca="false">1+COUNTIF($T406:$W406,"&gt;"&amp;$T406)+(COUNTIF($T406:$W406,$T406)-1)/2</f>
        <v>3</v>
      </c>
      <c r="AC406" s="0" t="n">
        <f aca="false">1+COUNTIF($T406:$W406,"&gt;"&amp;$U406)+(COUNTIF($T406:$W406,$U406)-1)/2</f>
        <v>4</v>
      </c>
      <c r="AD406" s="0" t="n">
        <f aca="false">1+COUNTIF($T406:$W406,"&gt;"&amp;$V406)+(COUNTIF($T406:$W406,$V406)-1)/2</f>
        <v>1</v>
      </c>
      <c r="AE406" s="0" t="n">
        <f aca="false">1+COUNTIF($T406:$W406,"&gt;"&amp;$W406)+(COUNTIF($T406:$W406,$W406)-1)/2</f>
        <v>2</v>
      </c>
      <c r="AF406" s="0" t="n">
        <f aca="false">IFERROR(CORREL($P406:$S406,$T406:$W406),"")</f>
        <v>0.432463890021498</v>
      </c>
      <c r="AG406" s="0" t="n">
        <f aca="false">IFERROR(CORREL($X406:$AA406,$AB406:$AE406),"")</f>
        <v>0.4</v>
      </c>
      <c r="AH406" s="0" t="n">
        <f aca="false">IFERROR((SIGN($P406-$Q406)*SIGN($T406-$U406)+SIGN($P406-$R406)*SIGN($T406-$V406)+SIGN($P406-$S406)*SIGN($T406-$W406)+SIGN($Q406-$R406)*SIGN($U406-$V406)+SIGN($Q406-$S406)*SIGN($U406-$W406)+SIGN($R406-$S406)*SIGN($V406-$W406))/SQRT((6-(($P406=$Q406)*1+($P406=$R406)*1+($P406=$S406)*1+($Q406=$R406)*1+($Q406=$S406)*1+($R406=$S406)*1))*(6-(($T406=$U406)*1+($T406=$V406)*1+($T406=$W406)*1+($U406=$V406)*1+($U406=$W406)*1+($V406=$W406)*1))),"")</f>
        <v>0.333333333333333</v>
      </c>
      <c r="AI406" s="0" t="n">
        <f aca="false">MATCH(MAX($K406:$O406),$K406:$O406,0)</f>
        <v>3</v>
      </c>
      <c r="AJ406" s="0" t="n">
        <f aca="false">IF(AI406&lt;&gt;$E406,1,0)</f>
        <v>1</v>
      </c>
      <c r="AK406" s="0" t="n">
        <f aca="false">IF(AJ406=1,INDEX($F406:$J406,AI406)/MAX($P406:$S406),"")</f>
        <v>1</v>
      </c>
      <c r="AL406" s="0" t="n">
        <f aca="false">IF(AJ406=1,1+COUNTIF($P406:$S406,"&gt;"&amp;INDEX($F406:$J406,AI406)),"")</f>
        <v>1</v>
      </c>
      <c r="AM406" s="0" t="n">
        <f aca="false">AVERAGE($P406:$S406)/MAX($P406:$S406)</f>
        <v>0.651595744680851</v>
      </c>
      <c r="AN406" s="0" t="n">
        <f aca="false">100-INDEX($F406:$J406,$E406)</f>
        <v>51</v>
      </c>
    </row>
    <row r="407" customFormat="false" ht="15" hidden="false" customHeight="false" outlineLevel="0" collapsed="false">
      <c r="A407" s="0" t="s">
        <v>57</v>
      </c>
      <c r="B407" s="0" t="n">
        <v>2022</v>
      </c>
      <c r="C407" s="0" t="s">
        <v>46</v>
      </c>
      <c r="D407" s="0" t="s">
        <v>44</v>
      </c>
      <c r="E407" s="0" t="n">
        <v>3</v>
      </c>
      <c r="F407" s="0" t="n">
        <v>8.5</v>
      </c>
      <c r="G407" s="0" t="n">
        <v>15.8</v>
      </c>
      <c r="H407" s="0" t="n">
        <v>40.9</v>
      </c>
      <c r="I407" s="0" t="n">
        <v>14.3</v>
      </c>
      <c r="J407" s="0" t="n">
        <v>18.3</v>
      </c>
      <c r="K407" s="0" t="n">
        <v>9.45535465501</v>
      </c>
      <c r="L407" s="0" t="n">
        <v>18.3795758993</v>
      </c>
      <c r="M407" s="0" t="n">
        <v>16.349012269</v>
      </c>
      <c r="N407" s="0" t="n">
        <v>19.7959249452</v>
      </c>
      <c r="O407" s="0" t="n">
        <v>36.0201322315</v>
      </c>
      <c r="P407" s="0" t="n">
        <f aca="false">INDEX($F407:$J407,IF(1&lt;$E407,1,1+1))</f>
        <v>8.5</v>
      </c>
      <c r="Q407" s="0" t="n">
        <f aca="false">INDEX($F407:$J407,IF(2&lt;$E407,2,2+1))</f>
        <v>15.8</v>
      </c>
      <c r="R407" s="0" t="n">
        <f aca="false">INDEX($F407:$J407,IF(3&lt;$E407,3,3+1))</f>
        <v>14.3</v>
      </c>
      <c r="S407" s="0" t="n">
        <f aca="false">INDEX($F407:$J407,IF(4&lt;$E407,4,4+1))</f>
        <v>18.3</v>
      </c>
      <c r="T407" s="0" t="n">
        <f aca="false">INDEX($K407:$O407,IF(1&lt;$E407,1,1+1))</f>
        <v>9.45535465501</v>
      </c>
      <c r="U407" s="0" t="n">
        <f aca="false">INDEX($K407:$O407,IF(2&lt;$E407,2,2+1))</f>
        <v>18.3795758993</v>
      </c>
      <c r="V407" s="0" t="n">
        <f aca="false">INDEX($K407:$O407,IF(3&lt;$E407,3,3+1))</f>
        <v>19.7959249452</v>
      </c>
      <c r="W407" s="0" t="n">
        <f aca="false">INDEX($K407:$O407,IF(4&lt;$E407,4,4+1))</f>
        <v>36.0201322315</v>
      </c>
      <c r="X407" s="0" t="n">
        <f aca="false">1+COUNTIF($P407:$S407,"&gt;"&amp;$P407)+(COUNTIF($P407:$S407,$P407)-1)/2</f>
        <v>4</v>
      </c>
      <c r="Y407" s="0" t="n">
        <f aca="false">1+COUNTIF($P407:$S407,"&gt;"&amp;$Q407)+(COUNTIF($P407:$S407,$Q407)-1)/2</f>
        <v>2</v>
      </c>
      <c r="Z407" s="0" t="n">
        <f aca="false">1+COUNTIF($P407:$S407,"&gt;"&amp;$R407)+(COUNTIF($P407:$S407,$R407)-1)/2</f>
        <v>3</v>
      </c>
      <c r="AA407" s="0" t="n">
        <f aca="false">1+COUNTIF($P407:$S407,"&gt;"&amp;$S407)+(COUNTIF($P407:$S407,$S407)-1)/2</f>
        <v>1</v>
      </c>
      <c r="AB407" s="0" t="n">
        <f aca="false">1+COUNTIF($T407:$W407,"&gt;"&amp;$T407)+(COUNTIF($T407:$W407,$T407)-1)/2</f>
        <v>4</v>
      </c>
      <c r="AC407" s="0" t="n">
        <f aca="false">1+COUNTIF($T407:$W407,"&gt;"&amp;$U407)+(COUNTIF($T407:$W407,$U407)-1)/2</f>
        <v>3</v>
      </c>
      <c r="AD407" s="0" t="n">
        <f aca="false">1+COUNTIF($T407:$W407,"&gt;"&amp;$V407)+(COUNTIF($T407:$W407,$V407)-1)/2</f>
        <v>2</v>
      </c>
      <c r="AE407" s="0" t="n">
        <f aca="false">1+COUNTIF($T407:$W407,"&gt;"&amp;$W407)+(COUNTIF($T407:$W407,$W407)-1)/2</f>
        <v>1</v>
      </c>
      <c r="AF407" s="0" t="n">
        <f aca="false">IFERROR(CORREL($P407:$S407,$T407:$W407),"")</f>
        <v>0.891899885453732</v>
      </c>
      <c r="AG407" s="0" t="n">
        <f aca="false">IFERROR(CORREL($X407:$AA407,$AB407:$AE407),"")</f>
        <v>0.8</v>
      </c>
      <c r="AH407" s="0" t="n">
        <f aca="false">IFERROR((SIGN($P407-$Q407)*SIGN($T407-$U407)+SIGN($P407-$R407)*SIGN($T407-$V407)+SIGN($P407-$S407)*SIGN($T407-$W407)+SIGN($Q407-$R407)*SIGN($U407-$V407)+SIGN($Q407-$S407)*SIGN($U407-$W407)+SIGN($R407-$S407)*SIGN($V407-$W407))/SQRT((6-(($P407=$Q407)*1+($P407=$R407)*1+($P407=$S407)*1+($Q407=$R407)*1+($Q407=$S407)*1+($R407=$S407)*1))*(6-(($T407=$U407)*1+($T407=$V407)*1+($T407=$W407)*1+($U407=$V407)*1+($U407=$W407)*1+($V407=$W407)*1))),"")</f>
        <v>0.666666666666667</v>
      </c>
      <c r="AI407" s="0" t="n">
        <f aca="false">MATCH(MAX($K407:$O407),$K407:$O407,0)</f>
        <v>5</v>
      </c>
      <c r="AJ407" s="0" t="n">
        <f aca="false">IF(AI407&lt;&gt;$E407,1,0)</f>
        <v>1</v>
      </c>
      <c r="AK407" s="0" t="n">
        <f aca="false">IF(AJ407=1,INDEX($F407:$J407,AI407)/MAX($P407:$S407),"")</f>
        <v>1</v>
      </c>
      <c r="AL407" s="0" t="n">
        <f aca="false">IF(AJ407=1,1+COUNTIF($P407:$S407,"&gt;"&amp;INDEX($F407:$J407,AI407)),"")</f>
        <v>1</v>
      </c>
      <c r="AM407" s="0" t="n">
        <f aca="false">AVERAGE($P407:$S407)/MAX($P407:$S407)</f>
        <v>0.777322404371585</v>
      </c>
      <c r="AN407" s="0" t="n">
        <f aca="false">100-INDEX($F407:$J407,$E407)</f>
        <v>59.1</v>
      </c>
    </row>
    <row r="408" customFormat="false" ht="15" hidden="false" customHeight="false" outlineLevel="0" collapsed="false">
      <c r="A408" s="0" t="s">
        <v>57</v>
      </c>
      <c r="B408" s="0" t="n">
        <v>2022</v>
      </c>
      <c r="C408" s="0" t="s">
        <v>46</v>
      </c>
      <c r="D408" s="0" t="s">
        <v>45</v>
      </c>
      <c r="E408" s="0" t="n">
        <v>2</v>
      </c>
      <c r="F408" s="0" t="n">
        <v>9.3</v>
      </c>
      <c r="G408" s="0" t="n">
        <v>44.5</v>
      </c>
      <c r="H408" s="0" t="n">
        <v>11.3</v>
      </c>
      <c r="I408" s="0" t="n">
        <v>12.5</v>
      </c>
      <c r="J408" s="0" t="n">
        <v>20.3</v>
      </c>
      <c r="K408" s="0" t="n">
        <v>7.41551955178</v>
      </c>
      <c r="L408" s="0" t="n">
        <v>30.8254013872</v>
      </c>
      <c r="M408" s="0" t="n">
        <v>14.3417361436</v>
      </c>
      <c r="N408" s="0" t="n">
        <v>23.087623533</v>
      </c>
      <c r="O408" s="0" t="n">
        <v>24.3297193845</v>
      </c>
      <c r="P408" s="0" t="n">
        <f aca="false">INDEX($F408:$J408,IF(1&lt;$E408,1,1+1))</f>
        <v>9.3</v>
      </c>
      <c r="Q408" s="0" t="n">
        <f aca="false">INDEX($F408:$J408,IF(2&lt;$E408,2,2+1))</f>
        <v>11.3</v>
      </c>
      <c r="R408" s="0" t="n">
        <f aca="false">INDEX($F408:$J408,IF(3&lt;$E408,3,3+1))</f>
        <v>12.5</v>
      </c>
      <c r="S408" s="0" t="n">
        <f aca="false">INDEX($F408:$J408,IF(4&lt;$E408,4,4+1))</f>
        <v>20.3</v>
      </c>
      <c r="T408" s="0" t="n">
        <f aca="false">INDEX($K408:$O408,IF(1&lt;$E408,1,1+1))</f>
        <v>7.41551955178</v>
      </c>
      <c r="U408" s="0" t="n">
        <f aca="false">INDEX($K408:$O408,IF(2&lt;$E408,2,2+1))</f>
        <v>14.3417361436</v>
      </c>
      <c r="V408" s="0" t="n">
        <f aca="false">INDEX($K408:$O408,IF(3&lt;$E408,3,3+1))</f>
        <v>23.087623533</v>
      </c>
      <c r="W408" s="0" t="n">
        <f aca="false">INDEX($K408:$O408,IF(4&lt;$E408,4,4+1))</f>
        <v>24.3297193845</v>
      </c>
      <c r="X408" s="0" t="n">
        <f aca="false">1+COUNTIF($P408:$S408,"&gt;"&amp;$P408)+(COUNTIF($P408:$S408,$P408)-1)/2</f>
        <v>4</v>
      </c>
      <c r="Y408" s="0" t="n">
        <f aca="false">1+COUNTIF($P408:$S408,"&gt;"&amp;$Q408)+(COUNTIF($P408:$S408,$Q408)-1)/2</f>
        <v>3</v>
      </c>
      <c r="Z408" s="0" t="n">
        <f aca="false">1+COUNTIF($P408:$S408,"&gt;"&amp;$R408)+(COUNTIF($P408:$S408,$R408)-1)/2</f>
        <v>2</v>
      </c>
      <c r="AA408" s="0" t="n">
        <f aca="false">1+COUNTIF($P408:$S408,"&gt;"&amp;$S408)+(COUNTIF($P408:$S408,$S408)-1)/2</f>
        <v>1</v>
      </c>
      <c r="AB408" s="0" t="n">
        <f aca="false">1+COUNTIF($T408:$W408,"&gt;"&amp;$T408)+(COUNTIF($T408:$W408,$T408)-1)/2</f>
        <v>4</v>
      </c>
      <c r="AC408" s="0" t="n">
        <f aca="false">1+COUNTIF($T408:$W408,"&gt;"&amp;$U408)+(COUNTIF($T408:$W408,$U408)-1)/2</f>
        <v>3</v>
      </c>
      <c r="AD408" s="0" t="n">
        <f aca="false">1+COUNTIF($T408:$W408,"&gt;"&amp;$V408)+(COUNTIF($T408:$W408,$V408)-1)/2</f>
        <v>2</v>
      </c>
      <c r="AE408" s="0" t="n">
        <f aca="false">1+COUNTIF($T408:$W408,"&gt;"&amp;$W408)+(COUNTIF($T408:$W408,$W408)-1)/2</f>
        <v>1</v>
      </c>
      <c r="AF408" s="0" t="n">
        <f aca="false">IFERROR(CORREL($P408:$S408,$T408:$W408),"")</f>
        <v>0.784068102312012</v>
      </c>
      <c r="AG408" s="0" t="n">
        <f aca="false">IFERROR(CORREL($X408:$AA408,$AB408:$AE408),"")</f>
        <v>1</v>
      </c>
      <c r="AH408" s="0" t="n">
        <f aca="false">IFERROR((SIGN($P408-$Q408)*SIGN($T408-$U408)+SIGN($P408-$R408)*SIGN($T408-$V408)+SIGN($P408-$S408)*SIGN($T408-$W408)+SIGN($Q408-$R408)*SIGN($U408-$V408)+SIGN($Q408-$S408)*SIGN($U408-$W408)+SIGN($R408-$S408)*SIGN($V408-$W408))/SQRT((6-(($P408=$Q408)*1+($P408=$R408)*1+($P408=$S408)*1+($Q408=$R408)*1+($Q408=$S408)*1+($R408=$S408)*1))*(6-(($T408=$U408)*1+($T408=$V408)*1+($T408=$W408)*1+($U408=$V408)*1+($U408=$W408)*1+($V408=$W408)*1))),"")</f>
        <v>1</v>
      </c>
      <c r="AI408" s="0" t="n">
        <f aca="false">MATCH(MAX($K408:$O408),$K408:$O408,0)</f>
        <v>2</v>
      </c>
      <c r="AJ408" s="0" t="n">
        <f aca="false">IF(AI408&lt;&gt;$E408,1,0)</f>
        <v>0</v>
      </c>
      <c r="AK408" s="0" t="str">
        <f aca="false">IF(AJ408=1,INDEX($F408:$J408,AI408)/MAX($P408:$S408),"")</f>
        <v/>
      </c>
      <c r="AL408" s="0" t="str">
        <f aca="false">IF(AJ408=1,1+COUNTIF($P408:$S408,"&gt;"&amp;INDEX($F408:$J408,AI408)),"")</f>
        <v/>
      </c>
      <c r="AM408" s="0" t="n">
        <f aca="false">AVERAGE($P408:$S408)/MAX($P408:$S408)</f>
        <v>0.657635467980296</v>
      </c>
      <c r="AN408" s="0" t="n">
        <f aca="false">100-INDEX($F408:$J408,$E408)</f>
        <v>55.5</v>
      </c>
    </row>
    <row r="409" customFormat="false" ht="15" hidden="false" customHeight="false" outlineLevel="0" collapsed="false">
      <c r="A409" s="0" t="s">
        <v>57</v>
      </c>
      <c r="B409" s="0" t="n">
        <v>2021</v>
      </c>
      <c r="C409" s="0" t="s">
        <v>58</v>
      </c>
      <c r="D409" s="0" t="s">
        <v>42</v>
      </c>
      <c r="E409" s="0" t="n">
        <v>1</v>
      </c>
      <c r="F409" s="0" t="n">
        <v>46.9</v>
      </c>
      <c r="G409" s="0" t="n">
        <v>15.9</v>
      </c>
      <c r="H409" s="0" t="n">
        <v>11.2</v>
      </c>
      <c r="I409" s="0" t="n">
        <v>13.9</v>
      </c>
      <c r="J409" s="0" t="n">
        <v>9.2</v>
      </c>
      <c r="K409" s="0" t="n">
        <v>24.0307343549</v>
      </c>
      <c r="L409" s="0" t="n">
        <v>4.41621016659</v>
      </c>
      <c r="M409" s="0" t="n">
        <v>4.26636923945</v>
      </c>
      <c r="N409" s="0" t="n">
        <v>36.9706584036</v>
      </c>
      <c r="O409" s="0" t="n">
        <v>30.3160278355</v>
      </c>
      <c r="P409" s="0" t="n">
        <f aca="false">INDEX($F409:$J409,IF(1&lt;$E409,1,1+1))</f>
        <v>15.9</v>
      </c>
      <c r="Q409" s="0" t="n">
        <f aca="false">INDEX($F409:$J409,IF(2&lt;$E409,2,2+1))</f>
        <v>11.2</v>
      </c>
      <c r="R409" s="0" t="n">
        <f aca="false">INDEX($F409:$J409,IF(3&lt;$E409,3,3+1))</f>
        <v>13.9</v>
      </c>
      <c r="S409" s="0" t="n">
        <f aca="false">INDEX($F409:$J409,IF(4&lt;$E409,4,4+1))</f>
        <v>9.2</v>
      </c>
      <c r="T409" s="0" t="n">
        <f aca="false">INDEX($K409:$O409,IF(1&lt;$E409,1,1+1))</f>
        <v>4.41621016659</v>
      </c>
      <c r="U409" s="0" t="n">
        <f aca="false">INDEX($K409:$O409,IF(2&lt;$E409,2,2+1))</f>
        <v>4.26636923945</v>
      </c>
      <c r="V409" s="0" t="n">
        <f aca="false">INDEX($K409:$O409,IF(3&lt;$E409,3,3+1))</f>
        <v>36.9706584036</v>
      </c>
      <c r="W409" s="0" t="n">
        <f aca="false">INDEX($K409:$O409,IF(4&lt;$E409,4,4+1))</f>
        <v>30.3160278355</v>
      </c>
      <c r="X409" s="0" t="n">
        <f aca="false">1+COUNTIF($P409:$S409,"&gt;"&amp;$P409)+(COUNTIF($P409:$S409,$P409)-1)/2</f>
        <v>1</v>
      </c>
      <c r="Y409" s="0" t="n">
        <f aca="false">1+COUNTIF($P409:$S409,"&gt;"&amp;$Q409)+(COUNTIF($P409:$S409,$Q409)-1)/2</f>
        <v>3</v>
      </c>
      <c r="Z409" s="0" t="n">
        <f aca="false">1+COUNTIF($P409:$S409,"&gt;"&amp;$R409)+(COUNTIF($P409:$S409,$R409)-1)/2</f>
        <v>2</v>
      </c>
      <c r="AA409" s="0" t="n">
        <f aca="false">1+COUNTIF($P409:$S409,"&gt;"&amp;$S409)+(COUNTIF($P409:$S409,$S409)-1)/2</f>
        <v>4</v>
      </c>
      <c r="AB409" s="0" t="n">
        <f aca="false">1+COUNTIF($T409:$W409,"&gt;"&amp;$T409)+(COUNTIF($T409:$W409,$T409)-1)/2</f>
        <v>3</v>
      </c>
      <c r="AC409" s="0" t="n">
        <f aca="false">1+COUNTIF($T409:$W409,"&gt;"&amp;$U409)+(COUNTIF($T409:$W409,$U409)-1)/2</f>
        <v>4</v>
      </c>
      <c r="AD409" s="0" t="n">
        <f aca="false">1+COUNTIF($T409:$W409,"&gt;"&amp;$V409)+(COUNTIF($T409:$W409,$V409)-1)/2</f>
        <v>1</v>
      </c>
      <c r="AE409" s="0" t="n">
        <f aca="false">1+COUNTIF($T409:$W409,"&gt;"&amp;$W409)+(COUNTIF($T409:$W409,$W409)-1)/2</f>
        <v>2</v>
      </c>
      <c r="AF409" s="0" t="n">
        <f aca="false">IFERROR(CORREL($P409:$S409,$T409:$W409),"")</f>
        <v>-0.281113363086746</v>
      </c>
      <c r="AG409" s="0" t="n">
        <f aca="false">IFERROR(CORREL($X409:$AA409,$AB409:$AE409),"")</f>
        <v>0</v>
      </c>
      <c r="AH409" s="0" t="n">
        <f aca="false">IFERROR((SIGN($P409-$Q409)*SIGN($T409-$U409)+SIGN($P409-$R409)*SIGN($T409-$V409)+SIGN($P409-$S409)*SIGN($T409-$W409)+SIGN($Q409-$R409)*SIGN($U409-$V409)+SIGN($Q409-$S409)*SIGN($U409-$W409)+SIGN($R409-$S409)*SIGN($V409-$W409))/SQRT((6-(($P409=$Q409)*1+($P409=$R409)*1+($P409=$S409)*1+($Q409=$R409)*1+($Q409=$S409)*1+($R409=$S409)*1))*(6-(($T409=$U409)*1+($T409=$V409)*1+($T409=$W409)*1+($U409=$V409)*1+($U409=$W409)*1+($V409=$W409)*1))),"")</f>
        <v>0</v>
      </c>
      <c r="AI409" s="0" t="n">
        <f aca="false">MATCH(MAX($K409:$O409),$K409:$O409,0)</f>
        <v>4</v>
      </c>
      <c r="AJ409" s="0" t="n">
        <f aca="false">IF(AI409&lt;&gt;$E409,1,0)</f>
        <v>1</v>
      </c>
      <c r="AK409" s="0" t="n">
        <f aca="false">IF(AJ409=1,INDEX($F409:$J409,AI409)/MAX($P409:$S409),"")</f>
        <v>0.874213836477987</v>
      </c>
      <c r="AL409" s="0" t="n">
        <f aca="false">IF(AJ409=1,1+COUNTIF($P409:$S409,"&gt;"&amp;INDEX($F409:$J409,AI409)),"")</f>
        <v>2</v>
      </c>
      <c r="AM409" s="0" t="n">
        <f aca="false">AVERAGE($P409:$S409)/MAX($P409:$S409)</f>
        <v>0.789308176100629</v>
      </c>
      <c r="AN409" s="0" t="n">
        <f aca="false">100-INDEX($F409:$J409,$E409)</f>
        <v>53.1</v>
      </c>
    </row>
    <row r="410" customFormat="false" ht="15" hidden="false" customHeight="false" outlineLevel="0" collapsed="false">
      <c r="A410" s="0" t="s">
        <v>57</v>
      </c>
      <c r="B410" s="0" t="n">
        <v>2021</v>
      </c>
      <c r="C410" s="0" t="s">
        <v>58</v>
      </c>
      <c r="D410" s="0" t="s">
        <v>43</v>
      </c>
      <c r="E410" s="0" t="n">
        <v>1</v>
      </c>
      <c r="F410" s="0" t="n">
        <v>39.3</v>
      </c>
      <c r="G410" s="0" t="n">
        <v>10.1</v>
      </c>
      <c r="H410" s="0" t="n">
        <v>12.5</v>
      </c>
      <c r="I410" s="0" t="n">
        <v>23.2</v>
      </c>
      <c r="J410" s="0" t="n">
        <v>11.9</v>
      </c>
      <c r="K410" s="0" t="n">
        <v>45.2576566359</v>
      </c>
      <c r="L410" s="0" t="n">
        <v>4.96533129918</v>
      </c>
      <c r="M410" s="0" t="n">
        <v>7.28480311386</v>
      </c>
      <c r="N410" s="0" t="n">
        <v>27.3826464653</v>
      </c>
      <c r="O410" s="0" t="n">
        <v>15.1095624857</v>
      </c>
      <c r="P410" s="0" t="n">
        <f aca="false">INDEX($F410:$J410,IF(1&lt;$E410,1,1+1))</f>
        <v>10.1</v>
      </c>
      <c r="Q410" s="0" t="n">
        <f aca="false">INDEX($F410:$J410,IF(2&lt;$E410,2,2+1))</f>
        <v>12.5</v>
      </c>
      <c r="R410" s="0" t="n">
        <f aca="false">INDEX($F410:$J410,IF(3&lt;$E410,3,3+1))</f>
        <v>23.2</v>
      </c>
      <c r="S410" s="0" t="n">
        <f aca="false">INDEX($F410:$J410,IF(4&lt;$E410,4,4+1))</f>
        <v>11.9</v>
      </c>
      <c r="T410" s="0" t="n">
        <f aca="false">INDEX($K410:$O410,IF(1&lt;$E410,1,1+1))</f>
        <v>4.96533129918</v>
      </c>
      <c r="U410" s="0" t="n">
        <f aca="false">INDEX($K410:$O410,IF(2&lt;$E410,2,2+1))</f>
        <v>7.28480311386</v>
      </c>
      <c r="V410" s="0" t="n">
        <f aca="false">INDEX($K410:$O410,IF(3&lt;$E410,3,3+1))</f>
        <v>27.3826464653</v>
      </c>
      <c r="W410" s="0" t="n">
        <f aca="false">INDEX($K410:$O410,IF(4&lt;$E410,4,4+1))</f>
        <v>15.1095624857</v>
      </c>
      <c r="X410" s="0" t="n">
        <f aca="false">1+COUNTIF($P410:$S410,"&gt;"&amp;$P410)+(COUNTIF($P410:$S410,$P410)-1)/2</f>
        <v>4</v>
      </c>
      <c r="Y410" s="0" t="n">
        <f aca="false">1+COUNTIF($P410:$S410,"&gt;"&amp;$Q410)+(COUNTIF($P410:$S410,$Q410)-1)/2</f>
        <v>2</v>
      </c>
      <c r="Z410" s="0" t="n">
        <f aca="false">1+COUNTIF($P410:$S410,"&gt;"&amp;$R410)+(COUNTIF($P410:$S410,$R410)-1)/2</f>
        <v>1</v>
      </c>
      <c r="AA410" s="0" t="n">
        <f aca="false">1+COUNTIF($P410:$S410,"&gt;"&amp;$S410)+(COUNTIF($P410:$S410,$S410)-1)/2</f>
        <v>3</v>
      </c>
      <c r="AB410" s="0" t="n">
        <f aca="false">1+COUNTIF($T410:$W410,"&gt;"&amp;$T410)+(COUNTIF($T410:$W410,$T410)-1)/2</f>
        <v>4</v>
      </c>
      <c r="AC410" s="0" t="n">
        <f aca="false">1+COUNTIF($T410:$W410,"&gt;"&amp;$U410)+(COUNTIF($T410:$W410,$U410)-1)/2</f>
        <v>3</v>
      </c>
      <c r="AD410" s="0" t="n">
        <f aca="false">1+COUNTIF($T410:$W410,"&gt;"&amp;$V410)+(COUNTIF($T410:$W410,$V410)-1)/2</f>
        <v>1</v>
      </c>
      <c r="AE410" s="0" t="n">
        <f aca="false">1+COUNTIF($T410:$W410,"&gt;"&amp;$W410)+(COUNTIF($T410:$W410,$W410)-1)/2</f>
        <v>2</v>
      </c>
      <c r="AF410" s="0" t="n">
        <f aca="false">IFERROR(CORREL($P410:$S410,$T410:$W410),"")</f>
        <v>0.925170411398075</v>
      </c>
      <c r="AG410" s="0" t="n">
        <f aca="false">IFERROR(CORREL($X410:$AA410,$AB410:$AE410),"")</f>
        <v>0.8</v>
      </c>
      <c r="AH410" s="0" t="n">
        <f aca="false">IFERROR((SIGN($P410-$Q410)*SIGN($T410-$U410)+SIGN($P410-$R410)*SIGN($T410-$V410)+SIGN($P410-$S410)*SIGN($T410-$W410)+SIGN($Q410-$R410)*SIGN($U410-$V410)+SIGN($Q410-$S410)*SIGN($U410-$W410)+SIGN($R410-$S410)*SIGN($V410-$W410))/SQRT((6-(($P410=$Q410)*1+($P410=$R410)*1+($P410=$S410)*1+($Q410=$R410)*1+($Q410=$S410)*1+($R410=$S410)*1))*(6-(($T410=$U410)*1+($T410=$V410)*1+($T410=$W410)*1+($U410=$V410)*1+($U410=$W410)*1+($V410=$W410)*1))),"")</f>
        <v>0.666666666666667</v>
      </c>
      <c r="AI410" s="0" t="n">
        <f aca="false">MATCH(MAX($K410:$O410),$K410:$O410,0)</f>
        <v>1</v>
      </c>
      <c r="AJ410" s="0" t="n">
        <f aca="false">IF(AI410&lt;&gt;$E410,1,0)</f>
        <v>0</v>
      </c>
      <c r="AK410" s="0" t="str">
        <f aca="false">IF(AJ410=1,INDEX($F410:$J410,AI410)/MAX($P410:$S410),"")</f>
        <v/>
      </c>
      <c r="AL410" s="0" t="str">
        <f aca="false">IF(AJ410=1,1+COUNTIF($P410:$S410,"&gt;"&amp;INDEX($F410:$J410,AI410)),"")</f>
        <v/>
      </c>
      <c r="AM410" s="0" t="n">
        <f aca="false">AVERAGE($P410:$S410)/MAX($P410:$S410)</f>
        <v>0.62176724137931</v>
      </c>
      <c r="AN410" s="0" t="n">
        <f aca="false">100-INDEX($F410:$J410,$E410)</f>
        <v>60.7</v>
      </c>
    </row>
    <row r="411" customFormat="false" ht="15" hidden="false" customHeight="false" outlineLevel="0" collapsed="false">
      <c r="A411" s="0" t="s">
        <v>57</v>
      </c>
      <c r="B411" s="0" t="n">
        <v>2021</v>
      </c>
      <c r="C411" s="0" t="s">
        <v>58</v>
      </c>
      <c r="D411" s="0" t="s">
        <v>44</v>
      </c>
      <c r="E411" s="0" t="n">
        <v>3</v>
      </c>
      <c r="F411" s="0" t="n">
        <v>13.7</v>
      </c>
      <c r="G411" s="0" t="n">
        <v>13.2</v>
      </c>
      <c r="H411" s="0" t="n">
        <v>44.3</v>
      </c>
      <c r="I411" s="0" t="n">
        <v>12.7</v>
      </c>
      <c r="J411" s="0" t="n">
        <v>13.1</v>
      </c>
      <c r="K411" s="0" t="n">
        <v>5.3239529963</v>
      </c>
      <c r="L411" s="0" t="n">
        <v>10.761429556</v>
      </c>
      <c r="M411" s="0" t="n">
        <v>66.2798225136</v>
      </c>
      <c r="N411" s="0" t="n">
        <v>5.74297321933</v>
      </c>
      <c r="O411" s="0" t="n">
        <v>11.8918217148</v>
      </c>
      <c r="P411" s="0" t="n">
        <f aca="false">INDEX($F411:$J411,IF(1&lt;$E411,1,1+1))</f>
        <v>13.7</v>
      </c>
      <c r="Q411" s="0" t="n">
        <f aca="false">INDEX($F411:$J411,IF(2&lt;$E411,2,2+1))</f>
        <v>13.2</v>
      </c>
      <c r="R411" s="0" t="n">
        <f aca="false">INDEX($F411:$J411,IF(3&lt;$E411,3,3+1))</f>
        <v>12.7</v>
      </c>
      <c r="S411" s="0" t="n">
        <f aca="false">INDEX($F411:$J411,IF(4&lt;$E411,4,4+1))</f>
        <v>13.1</v>
      </c>
      <c r="T411" s="0" t="n">
        <f aca="false">INDEX($K411:$O411,IF(1&lt;$E411,1,1+1))</f>
        <v>5.3239529963</v>
      </c>
      <c r="U411" s="0" t="n">
        <f aca="false">INDEX($K411:$O411,IF(2&lt;$E411,2,2+1))</f>
        <v>10.761429556</v>
      </c>
      <c r="V411" s="0" t="n">
        <f aca="false">INDEX($K411:$O411,IF(3&lt;$E411,3,3+1))</f>
        <v>5.74297321933</v>
      </c>
      <c r="W411" s="0" t="n">
        <f aca="false">INDEX($K411:$O411,IF(4&lt;$E411,4,4+1))</f>
        <v>11.8918217148</v>
      </c>
      <c r="X411" s="0" t="n">
        <f aca="false">1+COUNTIF($P411:$S411,"&gt;"&amp;$P411)+(COUNTIF($P411:$S411,$P411)-1)/2</f>
        <v>1</v>
      </c>
      <c r="Y411" s="0" t="n">
        <f aca="false">1+COUNTIF($P411:$S411,"&gt;"&amp;$Q411)+(COUNTIF($P411:$S411,$Q411)-1)/2</f>
        <v>2</v>
      </c>
      <c r="Z411" s="0" t="n">
        <f aca="false">1+COUNTIF($P411:$S411,"&gt;"&amp;$R411)+(COUNTIF($P411:$S411,$R411)-1)/2</f>
        <v>4</v>
      </c>
      <c r="AA411" s="0" t="n">
        <f aca="false">1+COUNTIF($P411:$S411,"&gt;"&amp;$S411)+(COUNTIF($P411:$S411,$S411)-1)/2</f>
        <v>3</v>
      </c>
      <c r="AB411" s="0" t="n">
        <f aca="false">1+COUNTIF($T411:$W411,"&gt;"&amp;$T411)+(COUNTIF($T411:$W411,$T411)-1)/2</f>
        <v>4</v>
      </c>
      <c r="AC411" s="0" t="n">
        <f aca="false">1+COUNTIF($T411:$W411,"&gt;"&amp;$U411)+(COUNTIF($T411:$W411,$U411)-1)/2</f>
        <v>2</v>
      </c>
      <c r="AD411" s="0" t="n">
        <f aca="false">1+COUNTIF($T411:$W411,"&gt;"&amp;$V411)+(COUNTIF($T411:$W411,$V411)-1)/2</f>
        <v>3</v>
      </c>
      <c r="AE411" s="0" t="n">
        <f aca="false">1+COUNTIF($T411:$W411,"&gt;"&amp;$W411)+(COUNTIF($T411:$W411,$W411)-1)/2</f>
        <v>1</v>
      </c>
      <c r="AF411" s="0" t="n">
        <f aca="false">IFERROR(CORREL($P411:$S411,$T411:$W411),"")</f>
        <v>-0.133212662104514</v>
      </c>
      <c r="AG411" s="0" t="n">
        <f aca="false">IFERROR(CORREL($X411:$AA411,$AB411:$AE411),"")</f>
        <v>-0.4</v>
      </c>
      <c r="AH411" s="0" t="n">
        <f aca="false">IFERROR((SIGN($P411-$Q411)*SIGN($T411-$U411)+SIGN($P411-$R411)*SIGN($T411-$V411)+SIGN($P411-$S411)*SIGN($T411-$W411)+SIGN($Q411-$R411)*SIGN($U411-$V411)+SIGN($Q411-$S411)*SIGN($U411-$W411)+SIGN($R411-$S411)*SIGN($V411-$W411))/SQRT((6-(($P411=$Q411)*1+($P411=$R411)*1+($P411=$S411)*1+($Q411=$R411)*1+($Q411=$S411)*1+($R411=$S411)*1))*(6-(($T411=$U411)*1+($T411=$V411)*1+($T411=$W411)*1+($U411=$V411)*1+($U411=$W411)*1+($V411=$W411)*1))),"")</f>
        <v>-0.333333333333333</v>
      </c>
      <c r="AI411" s="0" t="n">
        <f aca="false">MATCH(MAX($K411:$O411),$K411:$O411,0)</f>
        <v>3</v>
      </c>
      <c r="AJ411" s="0" t="n">
        <f aca="false">IF(AI411&lt;&gt;$E411,1,0)</f>
        <v>0</v>
      </c>
      <c r="AK411" s="0" t="str">
        <f aca="false">IF(AJ411=1,INDEX($F411:$J411,AI411)/MAX($P411:$S411),"")</f>
        <v/>
      </c>
      <c r="AL411" s="0" t="str">
        <f aca="false">IF(AJ411=1,1+COUNTIF($P411:$S411,"&gt;"&amp;INDEX($F411:$J411,AI411)),"")</f>
        <v/>
      </c>
      <c r="AM411" s="0" t="n">
        <f aca="false">AVERAGE($P411:$S411)/MAX($P411:$S411)</f>
        <v>0.961678832116788</v>
      </c>
      <c r="AN411" s="0" t="n">
        <f aca="false">100-INDEX($F411:$J411,$E411)</f>
        <v>55.7</v>
      </c>
    </row>
    <row r="412" customFormat="false" ht="15" hidden="false" customHeight="false" outlineLevel="0" collapsed="false">
      <c r="A412" s="0" t="s">
        <v>57</v>
      </c>
      <c r="B412" s="0" t="n">
        <v>2021</v>
      </c>
      <c r="C412" s="0" t="s">
        <v>58</v>
      </c>
      <c r="D412" s="0" t="s">
        <v>45</v>
      </c>
      <c r="E412" s="0" t="n">
        <v>5</v>
      </c>
      <c r="F412" s="0" t="n">
        <v>15</v>
      </c>
      <c r="G412" s="0" t="n">
        <v>21.2</v>
      </c>
      <c r="H412" s="0" t="n">
        <v>24.3</v>
      </c>
      <c r="I412" s="0" t="n">
        <v>18.4</v>
      </c>
      <c r="J412" s="0" t="n">
        <v>18</v>
      </c>
      <c r="K412" s="0" t="n">
        <v>61.702267201</v>
      </c>
      <c r="L412" s="0" t="n">
        <v>10.4682733432</v>
      </c>
      <c r="M412" s="0" t="n">
        <v>3.78121948858</v>
      </c>
      <c r="N412" s="0" t="n">
        <v>17.6274464887</v>
      </c>
      <c r="O412" s="0" t="n">
        <v>6.42079347857</v>
      </c>
      <c r="P412" s="0" t="n">
        <f aca="false">INDEX($F412:$J412,IF(1&lt;$E412,1,1+1))</f>
        <v>15</v>
      </c>
      <c r="Q412" s="0" t="n">
        <f aca="false">INDEX($F412:$J412,IF(2&lt;$E412,2,2+1))</f>
        <v>21.2</v>
      </c>
      <c r="R412" s="0" t="n">
        <f aca="false">INDEX($F412:$J412,IF(3&lt;$E412,3,3+1))</f>
        <v>24.3</v>
      </c>
      <c r="S412" s="0" t="n">
        <f aca="false">INDEX($F412:$J412,IF(4&lt;$E412,4,4+1))</f>
        <v>18.4</v>
      </c>
      <c r="T412" s="0" t="n">
        <f aca="false">INDEX($K412:$O412,IF(1&lt;$E412,1,1+1))</f>
        <v>61.702267201</v>
      </c>
      <c r="U412" s="0" t="n">
        <f aca="false">INDEX($K412:$O412,IF(2&lt;$E412,2,2+1))</f>
        <v>10.4682733432</v>
      </c>
      <c r="V412" s="0" t="n">
        <f aca="false">INDEX($K412:$O412,IF(3&lt;$E412,3,3+1))</f>
        <v>3.78121948858</v>
      </c>
      <c r="W412" s="0" t="n">
        <f aca="false">INDEX($K412:$O412,IF(4&lt;$E412,4,4+1))</f>
        <v>17.6274464887</v>
      </c>
      <c r="X412" s="0" t="n">
        <f aca="false">1+COUNTIF($P412:$S412,"&gt;"&amp;$P412)+(COUNTIF($P412:$S412,$P412)-1)/2</f>
        <v>4</v>
      </c>
      <c r="Y412" s="0" t="n">
        <f aca="false">1+COUNTIF($P412:$S412,"&gt;"&amp;$Q412)+(COUNTIF($P412:$S412,$Q412)-1)/2</f>
        <v>2</v>
      </c>
      <c r="Z412" s="0" t="n">
        <f aca="false">1+COUNTIF($P412:$S412,"&gt;"&amp;$R412)+(COUNTIF($P412:$S412,$R412)-1)/2</f>
        <v>1</v>
      </c>
      <c r="AA412" s="0" t="n">
        <f aca="false">1+COUNTIF($P412:$S412,"&gt;"&amp;$S412)+(COUNTIF($P412:$S412,$S412)-1)/2</f>
        <v>3</v>
      </c>
      <c r="AB412" s="0" t="n">
        <f aca="false">1+COUNTIF($T412:$W412,"&gt;"&amp;$T412)+(COUNTIF($T412:$W412,$T412)-1)/2</f>
        <v>1</v>
      </c>
      <c r="AC412" s="0" t="n">
        <f aca="false">1+COUNTIF($T412:$W412,"&gt;"&amp;$U412)+(COUNTIF($T412:$W412,$U412)-1)/2</f>
        <v>3</v>
      </c>
      <c r="AD412" s="0" t="n">
        <f aca="false">1+COUNTIF($T412:$W412,"&gt;"&amp;$V412)+(COUNTIF($T412:$W412,$V412)-1)/2</f>
        <v>4</v>
      </c>
      <c r="AE412" s="0" t="n">
        <f aca="false">1+COUNTIF($T412:$W412,"&gt;"&amp;$W412)+(COUNTIF($T412:$W412,$W412)-1)/2</f>
        <v>2</v>
      </c>
      <c r="AF412" s="0" t="n">
        <f aca="false">IFERROR(CORREL($P412:$S412,$T412:$W412),"")</f>
        <v>-0.906648176714614</v>
      </c>
      <c r="AG412" s="0" t="n">
        <f aca="false">IFERROR(CORREL($X412:$AA412,$AB412:$AE412),"")</f>
        <v>-1</v>
      </c>
      <c r="AH412" s="0" t="n">
        <f aca="false">IFERROR((SIGN($P412-$Q412)*SIGN($T412-$U412)+SIGN($P412-$R412)*SIGN($T412-$V412)+SIGN($P412-$S412)*SIGN($T412-$W412)+SIGN($Q412-$R412)*SIGN($U412-$V412)+SIGN($Q412-$S412)*SIGN($U412-$W412)+SIGN($R412-$S412)*SIGN($V412-$W412))/SQRT((6-(($P412=$Q412)*1+($P412=$R412)*1+($P412=$S412)*1+($Q412=$R412)*1+($Q412=$S412)*1+($R412=$S412)*1))*(6-(($T412=$U412)*1+($T412=$V412)*1+($T412=$W412)*1+($U412=$V412)*1+($U412=$W412)*1+($V412=$W412)*1))),"")</f>
        <v>-1</v>
      </c>
      <c r="AI412" s="0" t="n">
        <f aca="false">MATCH(MAX($K412:$O412),$K412:$O412,0)</f>
        <v>1</v>
      </c>
      <c r="AJ412" s="0" t="n">
        <f aca="false">IF(AI412&lt;&gt;$E412,1,0)</f>
        <v>1</v>
      </c>
      <c r="AK412" s="0" t="n">
        <f aca="false">IF(AJ412=1,INDEX($F412:$J412,AI412)/MAX($P412:$S412),"")</f>
        <v>0.617283950617284</v>
      </c>
      <c r="AL412" s="0" t="n">
        <f aca="false">IF(AJ412=1,1+COUNTIF($P412:$S412,"&gt;"&amp;INDEX($F412:$J412,AI412)),"")</f>
        <v>4</v>
      </c>
      <c r="AM412" s="0" t="n">
        <f aca="false">AVERAGE($P412:$S412)/MAX($P412:$S412)</f>
        <v>0.811728395061728</v>
      </c>
      <c r="AN412" s="0" t="n">
        <f aca="false">100-INDEX($F412:$J412,$E412)</f>
        <v>82</v>
      </c>
    </row>
    <row r="413" customFormat="false" ht="15" hidden="false" customHeight="false" outlineLevel="0" collapsed="false">
      <c r="A413" s="0" t="s">
        <v>57</v>
      </c>
      <c r="B413" s="0" t="n">
        <v>2021</v>
      </c>
      <c r="C413" s="0" t="s">
        <v>49</v>
      </c>
      <c r="D413" s="0" t="s">
        <v>42</v>
      </c>
      <c r="E413" s="0" t="n">
        <v>2</v>
      </c>
      <c r="F413" s="0" t="n">
        <v>13.2</v>
      </c>
      <c r="G413" s="0" t="n">
        <v>46.3</v>
      </c>
      <c r="H413" s="0" t="n">
        <v>18.7</v>
      </c>
      <c r="I413" s="0" t="n">
        <v>12.3</v>
      </c>
      <c r="J413" s="0" t="n">
        <v>6.5</v>
      </c>
      <c r="K413" s="0" t="n">
        <v>4.95693803565</v>
      </c>
      <c r="L413" s="0" t="n">
        <v>11.514255489</v>
      </c>
      <c r="M413" s="0" t="n">
        <v>13.3711275552</v>
      </c>
      <c r="N413" s="0" t="n">
        <v>68.5578149716</v>
      </c>
      <c r="O413" s="0" t="n">
        <v>1.5998639486</v>
      </c>
      <c r="P413" s="0" t="n">
        <f aca="false">INDEX($F413:$J413,IF(1&lt;$E413,1,1+1))</f>
        <v>13.2</v>
      </c>
      <c r="Q413" s="0" t="n">
        <f aca="false">INDEX($F413:$J413,IF(2&lt;$E413,2,2+1))</f>
        <v>18.7</v>
      </c>
      <c r="R413" s="0" t="n">
        <f aca="false">INDEX($F413:$J413,IF(3&lt;$E413,3,3+1))</f>
        <v>12.3</v>
      </c>
      <c r="S413" s="0" t="n">
        <f aca="false">INDEX($F413:$J413,IF(4&lt;$E413,4,4+1))</f>
        <v>6.5</v>
      </c>
      <c r="T413" s="0" t="n">
        <f aca="false">INDEX($K413:$O413,IF(1&lt;$E413,1,1+1))</f>
        <v>4.95693803565</v>
      </c>
      <c r="U413" s="0" t="n">
        <f aca="false">INDEX($K413:$O413,IF(2&lt;$E413,2,2+1))</f>
        <v>13.3711275552</v>
      </c>
      <c r="V413" s="0" t="n">
        <f aca="false">INDEX($K413:$O413,IF(3&lt;$E413,3,3+1))</f>
        <v>68.5578149716</v>
      </c>
      <c r="W413" s="0" t="n">
        <f aca="false">INDEX($K413:$O413,IF(4&lt;$E413,4,4+1))</f>
        <v>1.5998639486</v>
      </c>
      <c r="X413" s="0" t="n">
        <f aca="false">1+COUNTIF($P413:$S413,"&gt;"&amp;$P413)+(COUNTIF($P413:$S413,$P413)-1)/2</f>
        <v>2</v>
      </c>
      <c r="Y413" s="0" t="n">
        <f aca="false">1+COUNTIF($P413:$S413,"&gt;"&amp;$Q413)+(COUNTIF($P413:$S413,$Q413)-1)/2</f>
        <v>1</v>
      </c>
      <c r="Z413" s="0" t="n">
        <f aca="false">1+COUNTIF($P413:$S413,"&gt;"&amp;$R413)+(COUNTIF($P413:$S413,$R413)-1)/2</f>
        <v>3</v>
      </c>
      <c r="AA413" s="0" t="n">
        <f aca="false">1+COUNTIF($P413:$S413,"&gt;"&amp;$S413)+(COUNTIF($P413:$S413,$S413)-1)/2</f>
        <v>4</v>
      </c>
      <c r="AB413" s="0" t="n">
        <f aca="false">1+COUNTIF($T413:$W413,"&gt;"&amp;$T413)+(COUNTIF($T413:$W413,$T413)-1)/2</f>
        <v>3</v>
      </c>
      <c r="AC413" s="0" t="n">
        <f aca="false">1+COUNTIF($T413:$W413,"&gt;"&amp;$U413)+(COUNTIF($T413:$W413,$U413)-1)/2</f>
        <v>2</v>
      </c>
      <c r="AD413" s="0" t="n">
        <f aca="false">1+COUNTIF($T413:$W413,"&gt;"&amp;$V413)+(COUNTIF($T413:$W413,$V413)-1)/2</f>
        <v>1</v>
      </c>
      <c r="AE413" s="0" t="n">
        <f aca="false">1+COUNTIF($T413:$W413,"&gt;"&amp;$W413)+(COUNTIF($T413:$W413,$W413)-1)/2</f>
        <v>4</v>
      </c>
      <c r="AF413" s="0" t="n">
        <f aca="false">IFERROR(CORREL($P413:$S413,$T413:$W413),"")</f>
        <v>0.101269499280394</v>
      </c>
      <c r="AG413" s="0" t="n">
        <f aca="false">IFERROR(CORREL($X413:$AA413,$AB413:$AE413),"")</f>
        <v>0.4</v>
      </c>
      <c r="AH413" s="0" t="n">
        <f aca="false">IFERROR((SIGN($P413-$Q413)*SIGN($T413-$U413)+SIGN($P413-$R413)*SIGN($T413-$V413)+SIGN($P413-$S413)*SIGN($T413-$W413)+SIGN($Q413-$R413)*SIGN($U413-$V413)+SIGN($Q413-$S413)*SIGN($U413-$W413)+SIGN($R413-$S413)*SIGN($V413-$W413))/SQRT((6-(($P413=$Q413)*1+($P413=$R413)*1+($P413=$S413)*1+($Q413=$R413)*1+($Q413=$S413)*1+($R413=$S413)*1))*(6-(($T413=$U413)*1+($T413=$V413)*1+($T413=$W413)*1+($U413=$V413)*1+($U413=$W413)*1+($V413=$W413)*1))),"")</f>
        <v>0.333333333333333</v>
      </c>
      <c r="AI413" s="0" t="n">
        <f aca="false">MATCH(MAX($K413:$O413),$K413:$O413,0)</f>
        <v>4</v>
      </c>
      <c r="AJ413" s="0" t="n">
        <f aca="false">IF(AI413&lt;&gt;$E413,1,0)</f>
        <v>1</v>
      </c>
      <c r="AK413" s="0" t="n">
        <f aca="false">IF(AJ413=1,INDEX($F413:$J413,AI413)/MAX($P413:$S413),"")</f>
        <v>0.657754010695187</v>
      </c>
      <c r="AL413" s="0" t="n">
        <f aca="false">IF(AJ413=1,1+COUNTIF($P413:$S413,"&gt;"&amp;INDEX($F413:$J413,AI413)),"")</f>
        <v>3</v>
      </c>
      <c r="AM413" s="0" t="n">
        <f aca="false">AVERAGE($P413:$S413)/MAX($P413:$S413)</f>
        <v>0.677807486631016</v>
      </c>
      <c r="AN413" s="0" t="n">
        <f aca="false">100-INDEX($F413:$J413,$E413)</f>
        <v>53.7</v>
      </c>
    </row>
    <row r="414" customFormat="false" ht="15" hidden="false" customHeight="false" outlineLevel="0" collapsed="false">
      <c r="A414" s="0" t="s">
        <v>57</v>
      </c>
      <c r="B414" s="0" t="n">
        <v>2021</v>
      </c>
      <c r="C414" s="0" t="s">
        <v>49</v>
      </c>
      <c r="D414" s="0" t="s">
        <v>43</v>
      </c>
      <c r="E414" s="0" t="n">
        <v>1</v>
      </c>
      <c r="F414" s="0" t="n">
        <v>31.6</v>
      </c>
      <c r="G414" s="0" t="n">
        <v>26.1</v>
      </c>
      <c r="H414" s="0" t="n">
        <v>14</v>
      </c>
      <c r="I414" s="0" t="n">
        <v>16.1</v>
      </c>
      <c r="J414" s="0" t="n">
        <v>9.1</v>
      </c>
      <c r="K414" s="0" t="n">
        <v>18.4900943452</v>
      </c>
      <c r="L414" s="0" t="n">
        <v>20.5587505229</v>
      </c>
      <c r="M414" s="0" t="n">
        <v>7.86082471943</v>
      </c>
      <c r="N414" s="0" t="n">
        <v>12.6483797298</v>
      </c>
      <c r="O414" s="0" t="n">
        <v>40.4419506826</v>
      </c>
      <c r="P414" s="0" t="n">
        <f aca="false">INDEX($F414:$J414,IF(1&lt;$E414,1,1+1))</f>
        <v>26.1</v>
      </c>
      <c r="Q414" s="0" t="n">
        <f aca="false">INDEX($F414:$J414,IF(2&lt;$E414,2,2+1))</f>
        <v>14</v>
      </c>
      <c r="R414" s="0" t="n">
        <f aca="false">INDEX($F414:$J414,IF(3&lt;$E414,3,3+1))</f>
        <v>16.1</v>
      </c>
      <c r="S414" s="0" t="n">
        <f aca="false">INDEX($F414:$J414,IF(4&lt;$E414,4,4+1))</f>
        <v>9.1</v>
      </c>
      <c r="T414" s="0" t="n">
        <f aca="false">INDEX($K414:$O414,IF(1&lt;$E414,1,1+1))</f>
        <v>20.5587505229</v>
      </c>
      <c r="U414" s="0" t="n">
        <f aca="false">INDEX($K414:$O414,IF(2&lt;$E414,2,2+1))</f>
        <v>7.86082471943</v>
      </c>
      <c r="V414" s="0" t="n">
        <f aca="false">INDEX($K414:$O414,IF(3&lt;$E414,3,3+1))</f>
        <v>12.6483797298</v>
      </c>
      <c r="W414" s="0" t="n">
        <f aca="false">INDEX($K414:$O414,IF(4&lt;$E414,4,4+1))</f>
        <v>40.4419506826</v>
      </c>
      <c r="X414" s="0" t="n">
        <f aca="false">1+COUNTIF($P414:$S414,"&gt;"&amp;$P414)+(COUNTIF($P414:$S414,$P414)-1)/2</f>
        <v>1</v>
      </c>
      <c r="Y414" s="0" t="n">
        <f aca="false">1+COUNTIF($P414:$S414,"&gt;"&amp;$Q414)+(COUNTIF($P414:$S414,$Q414)-1)/2</f>
        <v>3</v>
      </c>
      <c r="Z414" s="0" t="n">
        <f aca="false">1+COUNTIF($P414:$S414,"&gt;"&amp;$R414)+(COUNTIF($P414:$S414,$R414)-1)/2</f>
        <v>2</v>
      </c>
      <c r="AA414" s="0" t="n">
        <f aca="false">1+COUNTIF($P414:$S414,"&gt;"&amp;$S414)+(COUNTIF($P414:$S414,$S414)-1)/2</f>
        <v>4</v>
      </c>
      <c r="AB414" s="0" t="n">
        <f aca="false">1+COUNTIF($T414:$W414,"&gt;"&amp;$T414)+(COUNTIF($T414:$W414,$T414)-1)/2</f>
        <v>2</v>
      </c>
      <c r="AC414" s="0" t="n">
        <f aca="false">1+COUNTIF($T414:$W414,"&gt;"&amp;$U414)+(COUNTIF($T414:$W414,$U414)-1)/2</f>
        <v>4</v>
      </c>
      <c r="AD414" s="0" t="n">
        <f aca="false">1+COUNTIF($T414:$W414,"&gt;"&amp;$V414)+(COUNTIF($T414:$W414,$V414)-1)/2</f>
        <v>3</v>
      </c>
      <c r="AE414" s="0" t="n">
        <f aca="false">1+COUNTIF($T414:$W414,"&gt;"&amp;$W414)+(COUNTIF($T414:$W414,$W414)-1)/2</f>
        <v>1</v>
      </c>
      <c r="AF414" s="0" t="n">
        <f aca="false">IFERROR(CORREL($P414:$S414,$T414:$W414),"")</f>
        <v>-0.36483303398486</v>
      </c>
      <c r="AG414" s="0" t="n">
        <f aca="false">IFERROR(CORREL($X414:$AA414,$AB414:$AE414),"")</f>
        <v>-0.2</v>
      </c>
      <c r="AH414" s="0" t="n">
        <f aca="false">IFERROR((SIGN($P414-$Q414)*SIGN($T414-$U414)+SIGN($P414-$R414)*SIGN($T414-$V414)+SIGN($P414-$S414)*SIGN($T414-$W414)+SIGN($Q414-$R414)*SIGN($U414-$V414)+SIGN($Q414-$S414)*SIGN($U414-$W414)+SIGN($R414-$S414)*SIGN($V414-$W414))/SQRT((6-(($P414=$Q414)*1+($P414=$R414)*1+($P414=$S414)*1+($Q414=$R414)*1+($Q414=$S414)*1+($R414=$S414)*1))*(6-(($T414=$U414)*1+($T414=$V414)*1+($T414=$W414)*1+($U414=$V414)*1+($U414=$W414)*1+($V414=$W414)*1))),"")</f>
        <v>0</v>
      </c>
      <c r="AI414" s="0" t="n">
        <f aca="false">MATCH(MAX($K414:$O414),$K414:$O414,0)</f>
        <v>5</v>
      </c>
      <c r="AJ414" s="0" t="n">
        <f aca="false">IF(AI414&lt;&gt;$E414,1,0)</f>
        <v>1</v>
      </c>
      <c r="AK414" s="0" t="n">
        <f aca="false">IF(AJ414=1,INDEX($F414:$J414,AI414)/MAX($P414:$S414),"")</f>
        <v>0.348659003831418</v>
      </c>
      <c r="AL414" s="0" t="n">
        <f aca="false">IF(AJ414=1,1+COUNTIF($P414:$S414,"&gt;"&amp;INDEX($F414:$J414,AI414)),"")</f>
        <v>4</v>
      </c>
      <c r="AM414" s="0" t="n">
        <f aca="false">AVERAGE($P414:$S414)/MAX($P414:$S414)</f>
        <v>0.625478927203065</v>
      </c>
      <c r="AN414" s="0" t="n">
        <f aca="false">100-INDEX($F414:$J414,$E414)</f>
        <v>68.4</v>
      </c>
    </row>
    <row r="415" customFormat="false" ht="15" hidden="false" customHeight="false" outlineLevel="0" collapsed="false">
      <c r="A415" s="0" t="s">
        <v>57</v>
      </c>
      <c r="B415" s="0" t="n">
        <v>2021</v>
      </c>
      <c r="C415" s="0" t="s">
        <v>49</v>
      </c>
      <c r="D415" s="0" t="s">
        <v>44</v>
      </c>
      <c r="E415" s="0" t="n">
        <v>1</v>
      </c>
      <c r="F415" s="0" t="n">
        <v>54.8</v>
      </c>
      <c r="G415" s="0" t="n">
        <v>7.6</v>
      </c>
      <c r="H415" s="0" t="n">
        <v>12.5</v>
      </c>
      <c r="I415" s="0" t="n">
        <v>10.3</v>
      </c>
      <c r="J415" s="0" t="n">
        <v>11.6</v>
      </c>
      <c r="K415" s="0" t="n">
        <v>11.335727781</v>
      </c>
      <c r="L415" s="0" t="n">
        <v>3.93429493476</v>
      </c>
      <c r="M415" s="0" t="n">
        <v>17.8679858659</v>
      </c>
      <c r="N415" s="0" t="n">
        <v>36.1420169177</v>
      </c>
      <c r="O415" s="0" t="n">
        <v>30.7199745007</v>
      </c>
      <c r="P415" s="0" t="n">
        <f aca="false">INDEX($F415:$J415,IF(1&lt;$E415,1,1+1))</f>
        <v>7.6</v>
      </c>
      <c r="Q415" s="0" t="n">
        <f aca="false">INDEX($F415:$J415,IF(2&lt;$E415,2,2+1))</f>
        <v>12.5</v>
      </c>
      <c r="R415" s="0" t="n">
        <f aca="false">INDEX($F415:$J415,IF(3&lt;$E415,3,3+1))</f>
        <v>10.3</v>
      </c>
      <c r="S415" s="0" t="n">
        <f aca="false">INDEX($F415:$J415,IF(4&lt;$E415,4,4+1))</f>
        <v>11.6</v>
      </c>
      <c r="T415" s="0" t="n">
        <f aca="false">INDEX($K415:$O415,IF(1&lt;$E415,1,1+1))</f>
        <v>3.93429493476</v>
      </c>
      <c r="U415" s="0" t="n">
        <f aca="false">INDEX($K415:$O415,IF(2&lt;$E415,2,2+1))</f>
        <v>17.8679858659</v>
      </c>
      <c r="V415" s="0" t="n">
        <f aca="false">INDEX($K415:$O415,IF(3&lt;$E415,3,3+1))</f>
        <v>36.1420169177</v>
      </c>
      <c r="W415" s="0" t="n">
        <f aca="false">INDEX($K415:$O415,IF(4&lt;$E415,4,4+1))</f>
        <v>30.7199745007</v>
      </c>
      <c r="X415" s="0" t="n">
        <f aca="false">1+COUNTIF($P415:$S415,"&gt;"&amp;$P415)+(COUNTIF($P415:$S415,$P415)-1)/2</f>
        <v>4</v>
      </c>
      <c r="Y415" s="0" t="n">
        <f aca="false">1+COUNTIF($P415:$S415,"&gt;"&amp;$Q415)+(COUNTIF($P415:$S415,$Q415)-1)/2</f>
        <v>1</v>
      </c>
      <c r="Z415" s="0" t="n">
        <f aca="false">1+COUNTIF($P415:$S415,"&gt;"&amp;$R415)+(COUNTIF($P415:$S415,$R415)-1)/2</f>
        <v>3</v>
      </c>
      <c r="AA415" s="0" t="n">
        <f aca="false">1+COUNTIF($P415:$S415,"&gt;"&amp;$S415)+(COUNTIF($P415:$S415,$S415)-1)/2</f>
        <v>2</v>
      </c>
      <c r="AB415" s="0" t="n">
        <f aca="false">1+COUNTIF($T415:$W415,"&gt;"&amp;$T415)+(COUNTIF($T415:$W415,$T415)-1)/2</f>
        <v>4</v>
      </c>
      <c r="AC415" s="0" t="n">
        <f aca="false">1+COUNTIF($T415:$W415,"&gt;"&amp;$U415)+(COUNTIF($T415:$W415,$U415)-1)/2</f>
        <v>3</v>
      </c>
      <c r="AD415" s="0" t="n">
        <f aca="false">1+COUNTIF($T415:$W415,"&gt;"&amp;$V415)+(COUNTIF($T415:$W415,$V415)-1)/2</f>
        <v>1</v>
      </c>
      <c r="AE415" s="0" t="n">
        <f aca="false">1+COUNTIF($T415:$W415,"&gt;"&amp;$W415)+(COUNTIF($T415:$W415,$W415)-1)/2</f>
        <v>2</v>
      </c>
      <c r="AF415" s="0" t="n">
        <f aca="false">IFERROR(CORREL($P415:$S415,$T415:$W415),"")</f>
        <v>0.553265527989069</v>
      </c>
      <c r="AG415" s="0" t="n">
        <f aca="false">IFERROR(CORREL($X415:$AA415,$AB415:$AE415),"")</f>
        <v>0.2</v>
      </c>
      <c r="AH415" s="0" t="n">
        <f aca="false">IFERROR((SIGN($P415-$Q415)*SIGN($T415-$U415)+SIGN($P415-$R415)*SIGN($T415-$V415)+SIGN($P415-$S415)*SIGN($T415-$W415)+SIGN($Q415-$R415)*SIGN($U415-$V415)+SIGN($Q415-$S415)*SIGN($U415-$W415)+SIGN($R415-$S415)*SIGN($V415-$W415))/SQRT((6-(($P415=$Q415)*1+($P415=$R415)*1+($P415=$S415)*1+($Q415=$R415)*1+($Q415=$S415)*1+($R415=$S415)*1))*(6-(($T415=$U415)*1+($T415=$V415)*1+($T415=$W415)*1+($U415=$V415)*1+($U415=$W415)*1+($V415=$W415)*1))),"")</f>
        <v>0</v>
      </c>
      <c r="AI415" s="0" t="n">
        <f aca="false">MATCH(MAX($K415:$O415),$K415:$O415,0)</f>
        <v>4</v>
      </c>
      <c r="AJ415" s="0" t="n">
        <f aca="false">IF(AI415&lt;&gt;$E415,1,0)</f>
        <v>1</v>
      </c>
      <c r="AK415" s="0" t="n">
        <f aca="false">IF(AJ415=1,INDEX($F415:$J415,AI415)/MAX($P415:$S415),"")</f>
        <v>0.824</v>
      </c>
      <c r="AL415" s="0" t="n">
        <f aca="false">IF(AJ415=1,1+COUNTIF($P415:$S415,"&gt;"&amp;INDEX($F415:$J415,AI415)),"")</f>
        <v>3</v>
      </c>
      <c r="AM415" s="0" t="n">
        <f aca="false">AVERAGE($P415:$S415)/MAX($P415:$S415)</f>
        <v>0.84</v>
      </c>
      <c r="AN415" s="0" t="n">
        <f aca="false">100-INDEX($F415:$J415,$E415)</f>
        <v>45.2</v>
      </c>
    </row>
    <row r="416" customFormat="false" ht="15" hidden="false" customHeight="false" outlineLevel="0" collapsed="false">
      <c r="A416" s="0" t="s">
        <v>57</v>
      </c>
      <c r="B416" s="0" t="n">
        <v>2021</v>
      </c>
      <c r="C416" s="0" t="s">
        <v>49</v>
      </c>
      <c r="D416" s="0" t="s">
        <v>45</v>
      </c>
      <c r="E416" s="0" t="n">
        <v>1</v>
      </c>
      <c r="F416" s="0" t="n">
        <v>32.8</v>
      </c>
      <c r="G416" s="0" t="n">
        <v>15.9</v>
      </c>
      <c r="H416" s="0" t="n">
        <v>14.9</v>
      </c>
      <c r="I416" s="0" t="n">
        <v>22.9</v>
      </c>
      <c r="J416" s="0" t="n">
        <v>10.3</v>
      </c>
      <c r="K416" s="0" t="n">
        <v>44.39970412</v>
      </c>
      <c r="L416" s="0" t="n">
        <v>8.03767451837</v>
      </c>
      <c r="M416" s="0" t="n">
        <v>4.92416176632</v>
      </c>
      <c r="N416" s="0" t="n">
        <v>40.6413989318</v>
      </c>
      <c r="O416" s="0" t="n">
        <v>1.99706066356</v>
      </c>
      <c r="P416" s="0" t="n">
        <f aca="false">INDEX($F416:$J416,IF(1&lt;$E416,1,1+1))</f>
        <v>15.9</v>
      </c>
      <c r="Q416" s="0" t="n">
        <f aca="false">INDEX($F416:$J416,IF(2&lt;$E416,2,2+1))</f>
        <v>14.9</v>
      </c>
      <c r="R416" s="0" t="n">
        <f aca="false">INDEX($F416:$J416,IF(3&lt;$E416,3,3+1))</f>
        <v>22.9</v>
      </c>
      <c r="S416" s="0" t="n">
        <f aca="false">INDEX($F416:$J416,IF(4&lt;$E416,4,4+1))</f>
        <v>10.3</v>
      </c>
      <c r="T416" s="0" t="n">
        <f aca="false">INDEX($K416:$O416,IF(1&lt;$E416,1,1+1))</f>
        <v>8.03767451837</v>
      </c>
      <c r="U416" s="0" t="n">
        <f aca="false">INDEX($K416:$O416,IF(2&lt;$E416,2,2+1))</f>
        <v>4.92416176632</v>
      </c>
      <c r="V416" s="0" t="n">
        <f aca="false">INDEX($K416:$O416,IF(3&lt;$E416,3,3+1))</f>
        <v>40.6413989318</v>
      </c>
      <c r="W416" s="0" t="n">
        <f aca="false">INDEX($K416:$O416,IF(4&lt;$E416,4,4+1))</f>
        <v>1.99706066356</v>
      </c>
      <c r="X416" s="0" t="n">
        <f aca="false">1+COUNTIF($P416:$S416,"&gt;"&amp;$P416)+(COUNTIF($P416:$S416,$P416)-1)/2</f>
        <v>2</v>
      </c>
      <c r="Y416" s="0" t="n">
        <f aca="false">1+COUNTIF($P416:$S416,"&gt;"&amp;$Q416)+(COUNTIF($P416:$S416,$Q416)-1)/2</f>
        <v>3</v>
      </c>
      <c r="Z416" s="0" t="n">
        <f aca="false">1+COUNTIF($P416:$S416,"&gt;"&amp;$R416)+(COUNTIF($P416:$S416,$R416)-1)/2</f>
        <v>1</v>
      </c>
      <c r="AA416" s="0" t="n">
        <f aca="false">1+COUNTIF($P416:$S416,"&gt;"&amp;$S416)+(COUNTIF($P416:$S416,$S416)-1)/2</f>
        <v>4</v>
      </c>
      <c r="AB416" s="0" t="n">
        <f aca="false">1+COUNTIF($T416:$W416,"&gt;"&amp;$T416)+(COUNTIF($T416:$W416,$T416)-1)/2</f>
        <v>2</v>
      </c>
      <c r="AC416" s="0" t="n">
        <f aca="false">1+COUNTIF($T416:$W416,"&gt;"&amp;$U416)+(COUNTIF($T416:$W416,$U416)-1)/2</f>
        <v>3</v>
      </c>
      <c r="AD416" s="0" t="n">
        <f aca="false">1+COUNTIF($T416:$W416,"&gt;"&amp;$V416)+(COUNTIF($T416:$W416,$V416)-1)/2</f>
        <v>1</v>
      </c>
      <c r="AE416" s="0" t="n">
        <f aca="false">1+COUNTIF($T416:$W416,"&gt;"&amp;$W416)+(COUNTIF($T416:$W416,$W416)-1)/2</f>
        <v>4</v>
      </c>
      <c r="AF416" s="0" t="n">
        <f aca="false">IFERROR(CORREL($P416:$S416,$T416:$W416),"")</f>
        <v>0.934961436437104</v>
      </c>
      <c r="AG416" s="0" t="n">
        <f aca="false">IFERROR(CORREL($X416:$AA416,$AB416:$AE416),"")</f>
        <v>1</v>
      </c>
      <c r="AH416" s="0" t="n">
        <f aca="false">IFERROR((SIGN($P416-$Q416)*SIGN($T416-$U416)+SIGN($P416-$R416)*SIGN($T416-$V416)+SIGN($P416-$S416)*SIGN($T416-$W416)+SIGN($Q416-$R416)*SIGN($U416-$V416)+SIGN($Q416-$S416)*SIGN($U416-$W416)+SIGN($R416-$S416)*SIGN($V416-$W416))/SQRT((6-(($P416=$Q416)*1+($P416=$R416)*1+($P416=$S416)*1+($Q416=$R416)*1+($Q416=$S416)*1+($R416=$S416)*1))*(6-(($T416=$U416)*1+($T416=$V416)*1+($T416=$W416)*1+($U416=$V416)*1+($U416=$W416)*1+($V416=$W416)*1))),"")</f>
        <v>1</v>
      </c>
      <c r="AI416" s="0" t="n">
        <f aca="false">MATCH(MAX($K416:$O416),$K416:$O416,0)</f>
        <v>1</v>
      </c>
      <c r="AJ416" s="0" t="n">
        <f aca="false">IF(AI416&lt;&gt;$E416,1,0)</f>
        <v>0</v>
      </c>
      <c r="AK416" s="0" t="str">
        <f aca="false">IF(AJ416=1,INDEX($F416:$J416,AI416)/MAX($P416:$S416),"")</f>
        <v/>
      </c>
      <c r="AL416" s="0" t="str">
        <f aca="false">IF(AJ416=1,1+COUNTIF($P416:$S416,"&gt;"&amp;INDEX($F416:$J416,AI416)),"")</f>
        <v/>
      </c>
      <c r="AM416" s="0" t="n">
        <f aca="false">AVERAGE($P416:$S416)/MAX($P416:$S416)</f>
        <v>0.698689956331878</v>
      </c>
      <c r="AN416" s="0" t="n">
        <f aca="false">100-INDEX($F416:$J416,$E416)</f>
        <v>67.2</v>
      </c>
    </row>
    <row r="417" customFormat="false" ht="15" hidden="false" customHeight="false" outlineLevel="0" collapsed="false">
      <c r="A417" s="0" t="s">
        <v>57</v>
      </c>
      <c r="B417" s="0" t="n">
        <v>2021</v>
      </c>
      <c r="C417" s="0" t="s">
        <v>51</v>
      </c>
      <c r="D417" s="0" t="s">
        <v>42</v>
      </c>
      <c r="E417" s="0" t="n">
        <v>1</v>
      </c>
      <c r="F417" s="0" t="n">
        <v>54.4</v>
      </c>
      <c r="G417" s="0" t="n">
        <v>11.2</v>
      </c>
      <c r="H417" s="0" t="n">
        <v>14.4</v>
      </c>
      <c r="I417" s="0" t="n">
        <v>8.2</v>
      </c>
      <c r="J417" s="0" t="n">
        <v>8.2</v>
      </c>
      <c r="K417" s="0" t="n">
        <v>99.9326921959</v>
      </c>
      <c r="L417" s="0" t="n">
        <v>0.0196787830515</v>
      </c>
      <c r="M417" s="0" t="n">
        <v>9.30705860005E-005</v>
      </c>
      <c r="N417" s="0" t="n">
        <v>0.000317817198191</v>
      </c>
      <c r="O417" s="0" t="n">
        <v>0.0472181332478</v>
      </c>
      <c r="P417" s="0" t="n">
        <f aca="false">INDEX($F417:$J417,IF(1&lt;$E417,1,1+1))</f>
        <v>11.2</v>
      </c>
      <c r="Q417" s="0" t="n">
        <f aca="false">INDEX($F417:$J417,IF(2&lt;$E417,2,2+1))</f>
        <v>14.4</v>
      </c>
      <c r="R417" s="0" t="n">
        <f aca="false">INDEX($F417:$J417,IF(3&lt;$E417,3,3+1))</f>
        <v>8.2</v>
      </c>
      <c r="S417" s="0" t="n">
        <f aca="false">INDEX($F417:$J417,IF(4&lt;$E417,4,4+1))</f>
        <v>8.2</v>
      </c>
      <c r="T417" s="0" t="n">
        <f aca="false">INDEX($K417:$O417,IF(1&lt;$E417,1,1+1))</f>
        <v>0.0196787830515</v>
      </c>
      <c r="U417" s="0" t="n">
        <f aca="false">INDEX($K417:$O417,IF(2&lt;$E417,2,2+1))</f>
        <v>9.30705860005E-005</v>
      </c>
      <c r="V417" s="0" t="n">
        <f aca="false">INDEX($K417:$O417,IF(3&lt;$E417,3,3+1))</f>
        <v>0.000317817198191</v>
      </c>
      <c r="W417" s="0" t="n">
        <f aca="false">INDEX($K417:$O417,IF(4&lt;$E417,4,4+1))</f>
        <v>0.0472181332478</v>
      </c>
      <c r="X417" s="0" t="n">
        <f aca="false">1+COUNTIF($P417:$S417,"&gt;"&amp;$P417)+(COUNTIF($P417:$S417,$P417)-1)/2</f>
        <v>2</v>
      </c>
      <c r="Y417" s="0" t="n">
        <f aca="false">1+COUNTIF($P417:$S417,"&gt;"&amp;$Q417)+(COUNTIF($P417:$S417,$Q417)-1)/2</f>
        <v>1</v>
      </c>
      <c r="Z417" s="0" t="n">
        <f aca="false">1+COUNTIF($P417:$S417,"&gt;"&amp;$R417)+(COUNTIF($P417:$S417,$R417)-1)/2</f>
        <v>3.5</v>
      </c>
      <c r="AA417" s="0" t="n">
        <f aca="false">1+COUNTIF($P417:$S417,"&gt;"&amp;$S417)+(COUNTIF($P417:$S417,$S417)-1)/2</f>
        <v>3.5</v>
      </c>
      <c r="AB417" s="0" t="n">
        <f aca="false">1+COUNTIF($T417:$W417,"&gt;"&amp;$T417)+(COUNTIF($T417:$W417,$T417)-1)/2</f>
        <v>2</v>
      </c>
      <c r="AC417" s="0" t="n">
        <f aca="false">1+COUNTIF($T417:$W417,"&gt;"&amp;$U417)+(COUNTIF($T417:$W417,$U417)-1)/2</f>
        <v>4</v>
      </c>
      <c r="AD417" s="0" t="n">
        <f aca="false">1+COUNTIF($T417:$W417,"&gt;"&amp;$V417)+(COUNTIF($T417:$W417,$V417)-1)/2</f>
        <v>3</v>
      </c>
      <c r="AE417" s="0" t="n">
        <f aca="false">1+COUNTIF($T417:$W417,"&gt;"&amp;$W417)+(COUNTIF($T417:$W417,$W417)-1)/2</f>
        <v>1</v>
      </c>
      <c r="AF417" s="0" t="n">
        <f aca="false">IFERROR(CORREL($P417:$S417,$T417:$W417),"")</f>
        <v>-0.481985596870375</v>
      </c>
      <c r="AG417" s="0" t="n">
        <f aca="false">IFERROR(CORREL($X417:$AA417,$AB417:$AE417),"")</f>
        <v>-0.632455532033676</v>
      </c>
      <c r="AH417" s="0" t="n">
        <f aca="false">IFERROR((SIGN($P417-$Q417)*SIGN($T417-$U417)+SIGN($P417-$R417)*SIGN($T417-$V417)+SIGN($P417-$S417)*SIGN($T417-$W417)+SIGN($Q417-$R417)*SIGN($U417-$V417)+SIGN($Q417-$S417)*SIGN($U417-$W417)+SIGN($R417-$S417)*SIGN($V417-$W417))/SQRT((6-(($P417=$Q417)*1+($P417=$R417)*1+($P417=$S417)*1+($Q417=$R417)*1+($Q417=$S417)*1+($R417=$S417)*1))*(6-(($T417=$U417)*1+($T417=$V417)*1+($T417=$W417)*1+($U417=$V417)*1+($U417=$W417)*1+($V417=$W417)*1))),"")</f>
        <v>-0.547722557505166</v>
      </c>
      <c r="AI417" s="0" t="n">
        <f aca="false">MATCH(MAX($K417:$O417),$K417:$O417,0)</f>
        <v>1</v>
      </c>
      <c r="AJ417" s="0" t="n">
        <f aca="false">IF(AI417&lt;&gt;$E417,1,0)</f>
        <v>0</v>
      </c>
      <c r="AK417" s="0" t="str">
        <f aca="false">IF(AJ417=1,INDEX($F417:$J417,AI417)/MAX($P417:$S417),"")</f>
        <v/>
      </c>
      <c r="AL417" s="0" t="str">
        <f aca="false">IF(AJ417=1,1+COUNTIF($P417:$S417,"&gt;"&amp;INDEX($F417:$J417,AI417)),"")</f>
        <v/>
      </c>
      <c r="AM417" s="0" t="n">
        <f aca="false">AVERAGE($P417:$S417)/MAX($P417:$S417)</f>
        <v>0.729166666666667</v>
      </c>
      <c r="AN417" s="0" t="n">
        <f aca="false">100-INDEX($F417:$J417,$E417)</f>
        <v>45.6</v>
      </c>
    </row>
    <row r="418" customFormat="false" ht="15" hidden="false" customHeight="false" outlineLevel="0" collapsed="false">
      <c r="A418" s="0" t="s">
        <v>57</v>
      </c>
      <c r="B418" s="0" t="n">
        <v>2021</v>
      </c>
      <c r="C418" s="0" t="s">
        <v>51</v>
      </c>
      <c r="D418" s="0" t="s">
        <v>43</v>
      </c>
      <c r="E418" s="0" t="n">
        <v>2</v>
      </c>
      <c r="F418" s="0" t="n">
        <v>19.8</v>
      </c>
      <c r="G418" s="0" t="n">
        <v>23.8</v>
      </c>
      <c r="H418" s="0" t="n">
        <v>18.7</v>
      </c>
      <c r="I418" s="0" t="n">
        <v>21.5</v>
      </c>
      <c r="J418" s="0" t="n">
        <v>12.5</v>
      </c>
      <c r="K418" s="0" t="n">
        <v>31.3545397557</v>
      </c>
      <c r="L418" s="0" t="n">
        <v>1.31512728478</v>
      </c>
      <c r="M418" s="0" t="n">
        <v>0.0155440088506</v>
      </c>
      <c r="N418" s="0" t="n">
        <v>61.5506606913</v>
      </c>
      <c r="O418" s="0" t="n">
        <v>5.76412825939</v>
      </c>
      <c r="P418" s="0" t="n">
        <f aca="false">INDEX($F418:$J418,IF(1&lt;$E418,1,1+1))</f>
        <v>19.8</v>
      </c>
      <c r="Q418" s="0" t="n">
        <f aca="false">INDEX($F418:$J418,IF(2&lt;$E418,2,2+1))</f>
        <v>18.7</v>
      </c>
      <c r="R418" s="0" t="n">
        <f aca="false">INDEX($F418:$J418,IF(3&lt;$E418,3,3+1))</f>
        <v>21.5</v>
      </c>
      <c r="S418" s="0" t="n">
        <f aca="false">INDEX($F418:$J418,IF(4&lt;$E418,4,4+1))</f>
        <v>12.5</v>
      </c>
      <c r="T418" s="0" t="n">
        <f aca="false">INDEX($K418:$O418,IF(1&lt;$E418,1,1+1))</f>
        <v>31.3545397557</v>
      </c>
      <c r="U418" s="0" t="n">
        <f aca="false">INDEX($K418:$O418,IF(2&lt;$E418,2,2+1))</f>
        <v>0.0155440088506</v>
      </c>
      <c r="V418" s="0" t="n">
        <f aca="false">INDEX($K418:$O418,IF(3&lt;$E418,3,3+1))</f>
        <v>61.5506606913</v>
      </c>
      <c r="W418" s="0" t="n">
        <f aca="false">INDEX($K418:$O418,IF(4&lt;$E418,4,4+1))</f>
        <v>5.76412825939</v>
      </c>
      <c r="X418" s="0" t="n">
        <f aca="false">1+COUNTIF($P418:$S418,"&gt;"&amp;$P418)+(COUNTIF($P418:$S418,$P418)-1)/2</f>
        <v>2</v>
      </c>
      <c r="Y418" s="0" t="n">
        <f aca="false">1+COUNTIF($P418:$S418,"&gt;"&amp;$Q418)+(COUNTIF($P418:$S418,$Q418)-1)/2</f>
        <v>3</v>
      </c>
      <c r="Z418" s="0" t="n">
        <f aca="false">1+COUNTIF($P418:$S418,"&gt;"&amp;$R418)+(COUNTIF($P418:$S418,$R418)-1)/2</f>
        <v>1</v>
      </c>
      <c r="AA418" s="0" t="n">
        <f aca="false">1+COUNTIF($P418:$S418,"&gt;"&amp;$S418)+(COUNTIF($P418:$S418,$S418)-1)/2</f>
        <v>4</v>
      </c>
      <c r="AB418" s="0" t="n">
        <f aca="false">1+COUNTIF($T418:$W418,"&gt;"&amp;$T418)+(COUNTIF($T418:$W418,$T418)-1)/2</f>
        <v>2</v>
      </c>
      <c r="AC418" s="0" t="n">
        <f aca="false">1+COUNTIF($T418:$W418,"&gt;"&amp;$U418)+(COUNTIF($T418:$W418,$U418)-1)/2</f>
        <v>4</v>
      </c>
      <c r="AD418" s="0" t="n">
        <f aca="false">1+COUNTIF($T418:$W418,"&gt;"&amp;$V418)+(COUNTIF($T418:$W418,$V418)-1)/2</f>
        <v>1</v>
      </c>
      <c r="AE418" s="0" t="n">
        <f aca="false">1+COUNTIF($T418:$W418,"&gt;"&amp;$W418)+(COUNTIF($T418:$W418,$W418)-1)/2</f>
        <v>3</v>
      </c>
      <c r="AF418" s="0" t="n">
        <f aca="false">IFERROR(CORREL($P418:$S418,$T418:$W418),"")</f>
        <v>0.688764954464154</v>
      </c>
      <c r="AG418" s="0" t="n">
        <f aca="false">IFERROR(CORREL($X418:$AA418,$AB418:$AE418),"")</f>
        <v>0.8</v>
      </c>
      <c r="AH418" s="0" t="n">
        <f aca="false">IFERROR((SIGN($P418-$Q418)*SIGN($T418-$U418)+SIGN($P418-$R418)*SIGN($T418-$V418)+SIGN($P418-$S418)*SIGN($T418-$W418)+SIGN($Q418-$R418)*SIGN($U418-$V418)+SIGN($Q418-$S418)*SIGN($U418-$W418)+SIGN($R418-$S418)*SIGN($V418-$W418))/SQRT((6-(($P418=$Q418)*1+($P418=$R418)*1+($P418=$S418)*1+($Q418=$R418)*1+($Q418=$S418)*1+($R418=$S418)*1))*(6-(($T418=$U418)*1+($T418=$V418)*1+($T418=$W418)*1+($U418=$V418)*1+($U418=$W418)*1+($V418=$W418)*1))),"")</f>
        <v>0.666666666666667</v>
      </c>
      <c r="AI418" s="0" t="n">
        <f aca="false">MATCH(MAX($K418:$O418),$K418:$O418,0)</f>
        <v>4</v>
      </c>
      <c r="AJ418" s="0" t="n">
        <f aca="false">IF(AI418&lt;&gt;$E418,1,0)</f>
        <v>1</v>
      </c>
      <c r="AK418" s="0" t="n">
        <f aca="false">IF(AJ418=1,INDEX($F418:$J418,AI418)/MAX($P418:$S418),"")</f>
        <v>1</v>
      </c>
      <c r="AL418" s="0" t="n">
        <f aca="false">IF(AJ418=1,1+COUNTIF($P418:$S418,"&gt;"&amp;INDEX($F418:$J418,AI418)),"")</f>
        <v>1</v>
      </c>
      <c r="AM418" s="0" t="n">
        <f aca="false">AVERAGE($P418:$S418)/MAX($P418:$S418)</f>
        <v>0.843023255813954</v>
      </c>
      <c r="AN418" s="0" t="n">
        <f aca="false">100-INDEX($F418:$J418,$E418)</f>
        <v>76.2</v>
      </c>
    </row>
    <row r="419" customFormat="false" ht="15" hidden="false" customHeight="false" outlineLevel="0" collapsed="false">
      <c r="A419" s="0" t="s">
        <v>57</v>
      </c>
      <c r="B419" s="0" t="n">
        <v>2021</v>
      </c>
      <c r="C419" s="0" t="s">
        <v>51</v>
      </c>
      <c r="D419" s="0" t="s">
        <v>44</v>
      </c>
      <c r="E419" s="0" t="n">
        <v>3</v>
      </c>
      <c r="F419" s="0" t="n">
        <v>11.8</v>
      </c>
      <c r="G419" s="0" t="n">
        <v>15.3</v>
      </c>
      <c r="H419" s="0" t="n">
        <v>55.4</v>
      </c>
      <c r="I419" s="0" t="n">
        <v>8.8</v>
      </c>
      <c r="J419" s="0" t="n">
        <v>4.8</v>
      </c>
      <c r="K419" s="0" t="n">
        <v>2.87897998887</v>
      </c>
      <c r="L419" s="0" t="n">
        <v>15.3893219282</v>
      </c>
      <c r="M419" s="0" t="n">
        <v>25.8762699066</v>
      </c>
      <c r="N419" s="0" t="n">
        <v>19.7346326739</v>
      </c>
      <c r="O419" s="0" t="n">
        <v>36.1207955024</v>
      </c>
      <c r="P419" s="0" t="n">
        <f aca="false">INDEX($F419:$J419,IF(1&lt;$E419,1,1+1))</f>
        <v>11.8</v>
      </c>
      <c r="Q419" s="0" t="n">
        <f aca="false">INDEX($F419:$J419,IF(2&lt;$E419,2,2+1))</f>
        <v>15.3</v>
      </c>
      <c r="R419" s="0" t="n">
        <f aca="false">INDEX($F419:$J419,IF(3&lt;$E419,3,3+1))</f>
        <v>8.8</v>
      </c>
      <c r="S419" s="0" t="n">
        <f aca="false">INDEX($F419:$J419,IF(4&lt;$E419,4,4+1))</f>
        <v>4.8</v>
      </c>
      <c r="T419" s="0" t="n">
        <f aca="false">INDEX($K419:$O419,IF(1&lt;$E419,1,1+1))</f>
        <v>2.87897998887</v>
      </c>
      <c r="U419" s="0" t="n">
        <f aca="false">INDEX($K419:$O419,IF(2&lt;$E419,2,2+1))</f>
        <v>15.3893219282</v>
      </c>
      <c r="V419" s="0" t="n">
        <f aca="false">INDEX($K419:$O419,IF(3&lt;$E419,3,3+1))</f>
        <v>19.7346326739</v>
      </c>
      <c r="W419" s="0" t="n">
        <f aca="false">INDEX($K419:$O419,IF(4&lt;$E419,4,4+1))</f>
        <v>36.1207955024</v>
      </c>
      <c r="X419" s="0" t="n">
        <f aca="false">1+COUNTIF($P419:$S419,"&gt;"&amp;$P419)+(COUNTIF($P419:$S419,$P419)-1)/2</f>
        <v>2</v>
      </c>
      <c r="Y419" s="0" t="n">
        <f aca="false">1+COUNTIF($P419:$S419,"&gt;"&amp;$Q419)+(COUNTIF($P419:$S419,$Q419)-1)/2</f>
        <v>1</v>
      </c>
      <c r="Z419" s="0" t="n">
        <f aca="false">1+COUNTIF($P419:$S419,"&gt;"&amp;$R419)+(COUNTIF($P419:$S419,$R419)-1)/2</f>
        <v>3</v>
      </c>
      <c r="AA419" s="0" t="n">
        <f aca="false">1+COUNTIF($P419:$S419,"&gt;"&amp;$S419)+(COUNTIF($P419:$S419,$S419)-1)/2</f>
        <v>4</v>
      </c>
      <c r="AB419" s="0" t="n">
        <f aca="false">1+COUNTIF($T419:$W419,"&gt;"&amp;$T419)+(COUNTIF($T419:$W419,$T419)-1)/2</f>
        <v>4</v>
      </c>
      <c r="AC419" s="0" t="n">
        <f aca="false">1+COUNTIF($T419:$W419,"&gt;"&amp;$U419)+(COUNTIF($T419:$W419,$U419)-1)/2</f>
        <v>3</v>
      </c>
      <c r="AD419" s="0" t="n">
        <f aca="false">1+COUNTIF($T419:$W419,"&gt;"&amp;$V419)+(COUNTIF($T419:$W419,$V419)-1)/2</f>
        <v>2</v>
      </c>
      <c r="AE419" s="0" t="n">
        <f aca="false">1+COUNTIF($T419:$W419,"&gt;"&amp;$W419)+(COUNTIF($T419:$W419,$W419)-1)/2</f>
        <v>1</v>
      </c>
      <c r="AF419" s="0" t="n">
        <f aca="false">IFERROR(CORREL($P419:$S419,$T419:$W419),"")</f>
        <v>-0.749565983291087</v>
      </c>
      <c r="AG419" s="0" t="n">
        <f aca="false">IFERROR(CORREL($X419:$AA419,$AB419:$AE419),"")</f>
        <v>-0.8</v>
      </c>
      <c r="AH419" s="0" t="n">
        <f aca="false">IFERROR((SIGN($P419-$Q419)*SIGN($T419-$U419)+SIGN($P419-$R419)*SIGN($T419-$V419)+SIGN($P419-$S419)*SIGN($T419-$W419)+SIGN($Q419-$R419)*SIGN($U419-$V419)+SIGN($Q419-$S419)*SIGN($U419-$W419)+SIGN($R419-$S419)*SIGN($V419-$W419))/SQRT((6-(($P419=$Q419)*1+($P419=$R419)*1+($P419=$S419)*1+($Q419=$R419)*1+($Q419=$S419)*1+($R419=$S419)*1))*(6-(($T419=$U419)*1+($T419=$V419)*1+($T419=$W419)*1+($U419=$V419)*1+($U419=$W419)*1+($V419=$W419)*1))),"")</f>
        <v>-0.666666666666667</v>
      </c>
      <c r="AI419" s="0" t="n">
        <f aca="false">MATCH(MAX($K419:$O419),$K419:$O419,0)</f>
        <v>5</v>
      </c>
      <c r="AJ419" s="0" t="n">
        <f aca="false">IF(AI419&lt;&gt;$E419,1,0)</f>
        <v>1</v>
      </c>
      <c r="AK419" s="0" t="n">
        <f aca="false">IF(AJ419=1,INDEX($F419:$J419,AI419)/MAX($P419:$S419),"")</f>
        <v>0.313725490196078</v>
      </c>
      <c r="AL419" s="0" t="n">
        <f aca="false">IF(AJ419=1,1+COUNTIF($P419:$S419,"&gt;"&amp;INDEX($F419:$J419,AI419)),"")</f>
        <v>4</v>
      </c>
      <c r="AM419" s="0" t="n">
        <f aca="false">AVERAGE($P419:$S419)/MAX($P419:$S419)</f>
        <v>0.665032679738562</v>
      </c>
      <c r="AN419" s="0" t="n">
        <f aca="false">100-INDEX($F419:$J419,$E419)</f>
        <v>44.6</v>
      </c>
    </row>
    <row r="420" customFormat="false" ht="15" hidden="false" customHeight="false" outlineLevel="0" collapsed="false">
      <c r="A420" s="0" t="s">
        <v>57</v>
      </c>
      <c r="B420" s="0" t="n">
        <v>2021</v>
      </c>
      <c r="C420" s="0" t="s">
        <v>51</v>
      </c>
      <c r="D420" s="0" t="s">
        <v>45</v>
      </c>
      <c r="E420" s="0" t="n">
        <v>1</v>
      </c>
      <c r="F420" s="0" t="n">
        <v>45.3</v>
      </c>
      <c r="G420" s="0" t="n">
        <v>14.1</v>
      </c>
      <c r="H420" s="0" t="n">
        <v>11.6</v>
      </c>
      <c r="I420" s="0" t="n">
        <v>10.3</v>
      </c>
      <c r="J420" s="0" t="n">
        <v>14.9</v>
      </c>
      <c r="K420" s="0" t="n">
        <v>13.2873550475</v>
      </c>
      <c r="L420" s="0" t="n">
        <v>4.34568031521</v>
      </c>
      <c r="M420" s="0" t="n">
        <v>65.6845448392</v>
      </c>
      <c r="N420" s="0" t="n">
        <v>4.57027839393</v>
      </c>
      <c r="O420" s="0" t="n">
        <v>12.1121414042</v>
      </c>
      <c r="P420" s="0" t="n">
        <f aca="false">INDEX($F420:$J420,IF(1&lt;$E420,1,1+1))</f>
        <v>14.1</v>
      </c>
      <c r="Q420" s="0" t="n">
        <f aca="false">INDEX($F420:$J420,IF(2&lt;$E420,2,2+1))</f>
        <v>11.6</v>
      </c>
      <c r="R420" s="0" t="n">
        <f aca="false">INDEX($F420:$J420,IF(3&lt;$E420,3,3+1))</f>
        <v>10.3</v>
      </c>
      <c r="S420" s="0" t="n">
        <f aca="false">INDEX($F420:$J420,IF(4&lt;$E420,4,4+1))</f>
        <v>14.9</v>
      </c>
      <c r="T420" s="0" t="n">
        <f aca="false">INDEX($K420:$O420,IF(1&lt;$E420,1,1+1))</f>
        <v>4.34568031521</v>
      </c>
      <c r="U420" s="0" t="n">
        <f aca="false">INDEX($K420:$O420,IF(2&lt;$E420,2,2+1))</f>
        <v>65.6845448392</v>
      </c>
      <c r="V420" s="0" t="n">
        <f aca="false">INDEX($K420:$O420,IF(3&lt;$E420,3,3+1))</f>
        <v>4.57027839393</v>
      </c>
      <c r="W420" s="0" t="n">
        <f aca="false">INDEX($K420:$O420,IF(4&lt;$E420,4,4+1))</f>
        <v>12.1121414042</v>
      </c>
      <c r="X420" s="0" t="n">
        <f aca="false">1+COUNTIF($P420:$S420,"&gt;"&amp;$P420)+(COUNTIF($P420:$S420,$P420)-1)/2</f>
        <v>2</v>
      </c>
      <c r="Y420" s="0" t="n">
        <f aca="false">1+COUNTIF($P420:$S420,"&gt;"&amp;$Q420)+(COUNTIF($P420:$S420,$Q420)-1)/2</f>
        <v>3</v>
      </c>
      <c r="Z420" s="0" t="n">
        <f aca="false">1+COUNTIF($P420:$S420,"&gt;"&amp;$R420)+(COUNTIF($P420:$S420,$R420)-1)/2</f>
        <v>4</v>
      </c>
      <c r="AA420" s="0" t="n">
        <f aca="false">1+COUNTIF($P420:$S420,"&gt;"&amp;$S420)+(COUNTIF($P420:$S420,$S420)-1)/2</f>
        <v>1</v>
      </c>
      <c r="AB420" s="0" t="n">
        <f aca="false">1+COUNTIF($T420:$W420,"&gt;"&amp;$T420)+(COUNTIF($T420:$W420,$T420)-1)/2</f>
        <v>4</v>
      </c>
      <c r="AC420" s="0" t="n">
        <f aca="false">1+COUNTIF($T420:$W420,"&gt;"&amp;$U420)+(COUNTIF($T420:$W420,$U420)-1)/2</f>
        <v>1</v>
      </c>
      <c r="AD420" s="0" t="n">
        <f aca="false">1+COUNTIF($T420:$W420,"&gt;"&amp;$V420)+(COUNTIF($T420:$W420,$V420)-1)/2</f>
        <v>3</v>
      </c>
      <c r="AE420" s="0" t="n">
        <f aca="false">1+COUNTIF($T420:$W420,"&gt;"&amp;$W420)+(COUNTIF($T420:$W420,$W420)-1)/2</f>
        <v>2</v>
      </c>
      <c r="AF420" s="0" t="n">
        <f aca="false">IFERROR(CORREL($P420:$S420,$T420:$W420),"")</f>
        <v>-0.277202022057546</v>
      </c>
      <c r="AG420" s="0" t="n">
        <f aca="false">IFERROR(CORREL($X420:$AA420,$AB420:$AE420),"")</f>
        <v>0</v>
      </c>
      <c r="AH420" s="0" t="n">
        <f aca="false">IFERROR((SIGN($P420-$Q420)*SIGN($T420-$U420)+SIGN($P420-$R420)*SIGN($T420-$V420)+SIGN($P420-$S420)*SIGN($T420-$W420)+SIGN($Q420-$R420)*SIGN($U420-$V420)+SIGN($Q420-$S420)*SIGN($U420-$W420)+SIGN($R420-$S420)*SIGN($V420-$W420))/SQRT((6-(($P420=$Q420)*1+($P420=$R420)*1+($P420=$S420)*1+($Q420=$R420)*1+($Q420=$S420)*1+($R420=$S420)*1))*(6-(($T420=$U420)*1+($T420=$V420)*1+($T420=$W420)*1+($U420=$V420)*1+($U420=$W420)*1+($V420=$W420)*1))),"")</f>
        <v>0</v>
      </c>
      <c r="AI420" s="0" t="n">
        <f aca="false">MATCH(MAX($K420:$O420),$K420:$O420,0)</f>
        <v>3</v>
      </c>
      <c r="AJ420" s="0" t="n">
        <f aca="false">IF(AI420&lt;&gt;$E420,1,0)</f>
        <v>1</v>
      </c>
      <c r="AK420" s="0" t="n">
        <f aca="false">IF(AJ420=1,INDEX($F420:$J420,AI420)/MAX($P420:$S420),"")</f>
        <v>0.778523489932886</v>
      </c>
      <c r="AL420" s="0" t="n">
        <f aca="false">IF(AJ420=1,1+COUNTIF($P420:$S420,"&gt;"&amp;INDEX($F420:$J420,AI420)),"")</f>
        <v>3</v>
      </c>
      <c r="AM420" s="0" t="n">
        <f aca="false">AVERAGE($P420:$S420)/MAX($P420:$S420)</f>
        <v>0.854026845637584</v>
      </c>
      <c r="AN420" s="0" t="n">
        <f aca="false">100-INDEX($F420:$J420,$E420)</f>
        <v>54.7</v>
      </c>
    </row>
    <row r="421" customFormat="false" ht="15" hidden="false" customHeight="false" outlineLevel="0" collapsed="false">
      <c r="A421" s="0" t="s">
        <v>57</v>
      </c>
      <c r="B421" s="0" t="n">
        <v>2021</v>
      </c>
      <c r="C421" s="0" t="s">
        <v>46</v>
      </c>
      <c r="D421" s="0" t="s">
        <v>42</v>
      </c>
      <c r="E421" s="0" t="n">
        <v>1</v>
      </c>
      <c r="F421" s="0" t="n">
        <v>47.7</v>
      </c>
      <c r="G421" s="0" t="n">
        <v>7.1</v>
      </c>
      <c r="H421" s="0" t="n">
        <v>13.8</v>
      </c>
      <c r="I421" s="0" t="n">
        <v>15.6</v>
      </c>
      <c r="J421" s="0" t="n">
        <v>5.1</v>
      </c>
      <c r="K421" s="0" t="n">
        <v>4.30336966156</v>
      </c>
      <c r="L421" s="0" t="n">
        <v>4.76232729289</v>
      </c>
      <c r="M421" s="0" t="n">
        <v>0.798888891435</v>
      </c>
      <c r="N421" s="0" t="n">
        <v>0.203156970939</v>
      </c>
      <c r="O421" s="0" t="n">
        <v>89.9322571832</v>
      </c>
      <c r="P421" s="0" t="n">
        <f aca="false">INDEX($F421:$J421,IF(1&lt;$E421,1,1+1))</f>
        <v>7.1</v>
      </c>
      <c r="Q421" s="0" t="n">
        <f aca="false">INDEX($F421:$J421,IF(2&lt;$E421,2,2+1))</f>
        <v>13.8</v>
      </c>
      <c r="R421" s="0" t="n">
        <f aca="false">INDEX($F421:$J421,IF(3&lt;$E421,3,3+1))</f>
        <v>15.6</v>
      </c>
      <c r="S421" s="0" t="n">
        <f aca="false">INDEX($F421:$J421,IF(4&lt;$E421,4,4+1))</f>
        <v>5.1</v>
      </c>
      <c r="T421" s="0" t="n">
        <f aca="false">INDEX($K421:$O421,IF(1&lt;$E421,1,1+1))</f>
        <v>4.76232729289</v>
      </c>
      <c r="U421" s="0" t="n">
        <f aca="false">INDEX($K421:$O421,IF(2&lt;$E421,2,2+1))</f>
        <v>0.798888891435</v>
      </c>
      <c r="V421" s="0" t="n">
        <f aca="false">INDEX($K421:$O421,IF(3&lt;$E421,3,3+1))</f>
        <v>0.203156970939</v>
      </c>
      <c r="W421" s="0" t="n">
        <f aca="false">INDEX($K421:$O421,IF(4&lt;$E421,4,4+1))</f>
        <v>89.9322571832</v>
      </c>
      <c r="X421" s="0" t="n">
        <f aca="false">1+COUNTIF($P421:$S421,"&gt;"&amp;$P421)+(COUNTIF($P421:$S421,$P421)-1)/2</f>
        <v>3</v>
      </c>
      <c r="Y421" s="0" t="n">
        <f aca="false">1+COUNTIF($P421:$S421,"&gt;"&amp;$Q421)+(COUNTIF($P421:$S421,$Q421)-1)/2</f>
        <v>2</v>
      </c>
      <c r="Z421" s="0" t="n">
        <f aca="false">1+COUNTIF($P421:$S421,"&gt;"&amp;$R421)+(COUNTIF($P421:$S421,$R421)-1)/2</f>
        <v>1</v>
      </c>
      <c r="AA421" s="0" t="n">
        <f aca="false">1+COUNTIF($P421:$S421,"&gt;"&amp;$S421)+(COUNTIF($P421:$S421,$S421)-1)/2</f>
        <v>4</v>
      </c>
      <c r="AB421" s="0" t="n">
        <f aca="false">1+COUNTIF($T421:$W421,"&gt;"&amp;$T421)+(COUNTIF($T421:$W421,$T421)-1)/2</f>
        <v>2</v>
      </c>
      <c r="AC421" s="0" t="n">
        <f aca="false">1+COUNTIF($T421:$W421,"&gt;"&amp;$U421)+(COUNTIF($T421:$W421,$U421)-1)/2</f>
        <v>3</v>
      </c>
      <c r="AD421" s="0" t="n">
        <f aca="false">1+COUNTIF($T421:$W421,"&gt;"&amp;$V421)+(COUNTIF($T421:$W421,$V421)-1)/2</f>
        <v>4</v>
      </c>
      <c r="AE421" s="0" t="n">
        <f aca="false">1+COUNTIF($T421:$W421,"&gt;"&amp;$W421)+(COUNTIF($T421:$W421,$W421)-1)/2</f>
        <v>1</v>
      </c>
      <c r="AF421" s="0" t="n">
        <f aca="false">IFERROR(CORREL($P421:$S421,$T421:$W421),"")</f>
        <v>-0.727007875095966</v>
      </c>
      <c r="AG421" s="0" t="n">
        <f aca="false">IFERROR(CORREL($X421:$AA421,$AB421:$AE421),"")</f>
        <v>-1</v>
      </c>
      <c r="AH421" s="0" t="n">
        <f aca="false">IFERROR((SIGN($P421-$Q421)*SIGN($T421-$U421)+SIGN($P421-$R421)*SIGN($T421-$V421)+SIGN($P421-$S421)*SIGN($T421-$W421)+SIGN($Q421-$R421)*SIGN($U421-$V421)+SIGN($Q421-$S421)*SIGN($U421-$W421)+SIGN($R421-$S421)*SIGN($V421-$W421))/SQRT((6-(($P421=$Q421)*1+($P421=$R421)*1+($P421=$S421)*1+($Q421=$R421)*1+($Q421=$S421)*1+($R421=$S421)*1))*(6-(($T421=$U421)*1+($T421=$V421)*1+($T421=$W421)*1+($U421=$V421)*1+($U421=$W421)*1+($V421=$W421)*1))),"")</f>
        <v>-1</v>
      </c>
      <c r="AI421" s="0" t="n">
        <f aca="false">MATCH(MAX($K421:$O421),$K421:$O421,0)</f>
        <v>5</v>
      </c>
      <c r="AJ421" s="0" t="n">
        <f aca="false">IF(AI421&lt;&gt;$E421,1,0)</f>
        <v>1</v>
      </c>
      <c r="AK421" s="0" t="n">
        <f aca="false">IF(AJ421=1,INDEX($F421:$J421,AI421)/MAX($P421:$S421),"")</f>
        <v>0.326923076923077</v>
      </c>
      <c r="AL421" s="0" t="n">
        <f aca="false">IF(AJ421=1,1+COUNTIF($P421:$S421,"&gt;"&amp;INDEX($F421:$J421,AI421)),"")</f>
        <v>4</v>
      </c>
      <c r="AM421" s="0" t="n">
        <f aca="false">AVERAGE($P421:$S421)/MAX($P421:$S421)</f>
        <v>0.666666666666667</v>
      </c>
      <c r="AN421" s="0" t="n">
        <f aca="false">100-INDEX($F421:$J421,$E421)</f>
        <v>52.3</v>
      </c>
    </row>
    <row r="422" customFormat="false" ht="15" hidden="false" customHeight="false" outlineLevel="0" collapsed="false">
      <c r="A422" s="0" t="s">
        <v>57</v>
      </c>
      <c r="B422" s="0" t="n">
        <v>2021</v>
      </c>
      <c r="C422" s="0" t="s">
        <v>46</v>
      </c>
      <c r="D422" s="0" t="s">
        <v>43</v>
      </c>
      <c r="E422" s="0" t="n">
        <v>4</v>
      </c>
      <c r="F422" s="0" t="n">
        <v>16.6</v>
      </c>
      <c r="G422" s="0" t="n">
        <v>27.5</v>
      </c>
      <c r="H422" s="0" t="n">
        <v>11.7</v>
      </c>
      <c r="I422" s="0" t="n">
        <v>29.8</v>
      </c>
      <c r="J422" s="0" t="n">
        <v>5.2</v>
      </c>
      <c r="K422" s="0" t="n">
        <v>8.31298537034</v>
      </c>
      <c r="L422" s="0" t="n">
        <v>31.1587763482</v>
      </c>
      <c r="M422" s="0" t="n">
        <v>0.71571973844</v>
      </c>
      <c r="N422" s="0" t="n">
        <v>46.8886446564</v>
      </c>
      <c r="O422" s="0" t="n">
        <v>12.9238738866</v>
      </c>
      <c r="P422" s="0" t="n">
        <f aca="false">INDEX($F422:$J422,IF(1&lt;$E422,1,1+1))</f>
        <v>16.6</v>
      </c>
      <c r="Q422" s="0" t="n">
        <f aca="false">INDEX($F422:$J422,IF(2&lt;$E422,2,2+1))</f>
        <v>27.5</v>
      </c>
      <c r="R422" s="0" t="n">
        <f aca="false">INDEX($F422:$J422,IF(3&lt;$E422,3,3+1))</f>
        <v>11.7</v>
      </c>
      <c r="S422" s="0" t="n">
        <f aca="false">INDEX($F422:$J422,IF(4&lt;$E422,4,4+1))</f>
        <v>5.2</v>
      </c>
      <c r="T422" s="0" t="n">
        <f aca="false">INDEX($K422:$O422,IF(1&lt;$E422,1,1+1))</f>
        <v>8.31298537034</v>
      </c>
      <c r="U422" s="0" t="n">
        <f aca="false">INDEX($K422:$O422,IF(2&lt;$E422,2,2+1))</f>
        <v>31.1587763482</v>
      </c>
      <c r="V422" s="0" t="n">
        <f aca="false">INDEX($K422:$O422,IF(3&lt;$E422,3,3+1))</f>
        <v>0.71571973844</v>
      </c>
      <c r="W422" s="0" t="n">
        <f aca="false">INDEX($K422:$O422,IF(4&lt;$E422,4,4+1))</f>
        <v>12.9238738866</v>
      </c>
      <c r="X422" s="0" t="n">
        <f aca="false">1+COUNTIF($P422:$S422,"&gt;"&amp;$P422)+(COUNTIF($P422:$S422,$P422)-1)/2</f>
        <v>2</v>
      </c>
      <c r="Y422" s="0" t="n">
        <f aca="false">1+COUNTIF($P422:$S422,"&gt;"&amp;$Q422)+(COUNTIF($P422:$S422,$Q422)-1)/2</f>
        <v>1</v>
      </c>
      <c r="Z422" s="0" t="n">
        <f aca="false">1+COUNTIF($P422:$S422,"&gt;"&amp;$R422)+(COUNTIF($P422:$S422,$R422)-1)/2</f>
        <v>3</v>
      </c>
      <c r="AA422" s="0" t="n">
        <f aca="false">1+COUNTIF($P422:$S422,"&gt;"&amp;$S422)+(COUNTIF($P422:$S422,$S422)-1)/2</f>
        <v>4</v>
      </c>
      <c r="AB422" s="0" t="n">
        <f aca="false">1+COUNTIF($T422:$W422,"&gt;"&amp;$T422)+(COUNTIF($T422:$W422,$T422)-1)/2</f>
        <v>3</v>
      </c>
      <c r="AC422" s="0" t="n">
        <f aca="false">1+COUNTIF($T422:$W422,"&gt;"&amp;$U422)+(COUNTIF($T422:$W422,$U422)-1)/2</f>
        <v>1</v>
      </c>
      <c r="AD422" s="0" t="n">
        <f aca="false">1+COUNTIF($T422:$W422,"&gt;"&amp;$V422)+(COUNTIF($T422:$W422,$V422)-1)/2</f>
        <v>4</v>
      </c>
      <c r="AE422" s="0" t="n">
        <f aca="false">1+COUNTIF($T422:$W422,"&gt;"&amp;$W422)+(COUNTIF($T422:$W422,$W422)-1)/2</f>
        <v>2</v>
      </c>
      <c r="AF422" s="0" t="n">
        <f aca="false">IFERROR(CORREL($P422:$S422,$T422:$W422),"")</f>
        <v>0.713319574637559</v>
      </c>
      <c r="AG422" s="0" t="n">
        <f aca="false">IFERROR(CORREL($X422:$AA422,$AB422:$AE422),"")</f>
        <v>0.4</v>
      </c>
      <c r="AH422" s="0" t="n">
        <f aca="false">IFERROR((SIGN($P422-$Q422)*SIGN($T422-$U422)+SIGN($P422-$R422)*SIGN($T422-$V422)+SIGN($P422-$S422)*SIGN($T422-$W422)+SIGN($Q422-$R422)*SIGN($U422-$V422)+SIGN($Q422-$S422)*SIGN($U422-$W422)+SIGN($R422-$S422)*SIGN($V422-$W422))/SQRT((6-(($P422=$Q422)*1+($P422=$R422)*1+($P422=$S422)*1+($Q422=$R422)*1+($Q422=$S422)*1+($R422=$S422)*1))*(6-(($T422=$U422)*1+($T422=$V422)*1+($T422=$W422)*1+($U422=$V422)*1+($U422=$W422)*1+($V422=$W422)*1))),"")</f>
        <v>0.333333333333333</v>
      </c>
      <c r="AI422" s="0" t="n">
        <f aca="false">MATCH(MAX($K422:$O422),$K422:$O422,0)</f>
        <v>4</v>
      </c>
      <c r="AJ422" s="0" t="n">
        <f aca="false">IF(AI422&lt;&gt;$E422,1,0)</f>
        <v>0</v>
      </c>
      <c r="AK422" s="0" t="str">
        <f aca="false">IF(AJ422=1,INDEX($F422:$J422,AI422)/MAX($P422:$S422),"")</f>
        <v/>
      </c>
      <c r="AL422" s="0" t="str">
        <f aca="false">IF(AJ422=1,1+COUNTIF($P422:$S422,"&gt;"&amp;INDEX($F422:$J422,AI422)),"")</f>
        <v/>
      </c>
      <c r="AM422" s="0" t="n">
        <f aca="false">AVERAGE($P422:$S422)/MAX($P422:$S422)</f>
        <v>0.554545454545455</v>
      </c>
      <c r="AN422" s="0" t="n">
        <f aca="false">100-INDEX($F422:$J422,$E422)</f>
        <v>70.2</v>
      </c>
    </row>
    <row r="423" customFormat="false" ht="15" hidden="false" customHeight="false" outlineLevel="0" collapsed="false">
      <c r="A423" s="0" t="s">
        <v>57</v>
      </c>
      <c r="B423" s="0" t="n">
        <v>2021</v>
      </c>
      <c r="C423" s="0" t="s">
        <v>46</v>
      </c>
      <c r="D423" s="0" t="s">
        <v>44</v>
      </c>
      <c r="E423" s="0" t="n">
        <v>1</v>
      </c>
      <c r="F423" s="0" t="n">
        <v>33.8</v>
      </c>
      <c r="G423" s="0" t="n">
        <v>16.7</v>
      </c>
      <c r="H423" s="0" t="n">
        <v>20.6</v>
      </c>
      <c r="I423" s="0" t="n">
        <v>11.6</v>
      </c>
      <c r="J423" s="0" t="n">
        <v>8.1</v>
      </c>
      <c r="K423" s="0" t="n">
        <v>1.18753277459</v>
      </c>
      <c r="L423" s="0" t="n">
        <v>44.0804586773</v>
      </c>
      <c r="M423" s="0" t="n">
        <v>29.7468980731</v>
      </c>
      <c r="N423" s="0" t="n">
        <v>4.83148717134</v>
      </c>
      <c r="O423" s="0" t="n">
        <v>20.1536233036</v>
      </c>
      <c r="P423" s="0" t="n">
        <f aca="false">INDEX($F423:$J423,IF(1&lt;$E423,1,1+1))</f>
        <v>16.7</v>
      </c>
      <c r="Q423" s="0" t="n">
        <f aca="false">INDEX($F423:$J423,IF(2&lt;$E423,2,2+1))</f>
        <v>20.6</v>
      </c>
      <c r="R423" s="0" t="n">
        <f aca="false">INDEX($F423:$J423,IF(3&lt;$E423,3,3+1))</f>
        <v>11.6</v>
      </c>
      <c r="S423" s="0" t="n">
        <f aca="false">INDEX($F423:$J423,IF(4&lt;$E423,4,4+1))</f>
        <v>8.1</v>
      </c>
      <c r="T423" s="0" t="n">
        <f aca="false">INDEX($K423:$O423,IF(1&lt;$E423,1,1+1))</f>
        <v>44.0804586773</v>
      </c>
      <c r="U423" s="0" t="n">
        <f aca="false">INDEX($K423:$O423,IF(2&lt;$E423,2,2+1))</f>
        <v>29.7468980731</v>
      </c>
      <c r="V423" s="0" t="n">
        <f aca="false">INDEX($K423:$O423,IF(3&lt;$E423,3,3+1))</f>
        <v>4.83148717134</v>
      </c>
      <c r="W423" s="0" t="n">
        <f aca="false">INDEX($K423:$O423,IF(4&lt;$E423,4,4+1))</f>
        <v>20.1536233036</v>
      </c>
      <c r="X423" s="0" t="n">
        <f aca="false">1+COUNTIF($P423:$S423,"&gt;"&amp;$P423)+(COUNTIF($P423:$S423,$P423)-1)/2</f>
        <v>2</v>
      </c>
      <c r="Y423" s="0" t="n">
        <f aca="false">1+COUNTIF($P423:$S423,"&gt;"&amp;$Q423)+(COUNTIF($P423:$S423,$Q423)-1)/2</f>
        <v>1</v>
      </c>
      <c r="Z423" s="0" t="n">
        <f aca="false">1+COUNTIF($P423:$S423,"&gt;"&amp;$R423)+(COUNTIF($P423:$S423,$R423)-1)/2</f>
        <v>3</v>
      </c>
      <c r="AA423" s="0" t="n">
        <f aca="false">1+COUNTIF($P423:$S423,"&gt;"&amp;$S423)+(COUNTIF($P423:$S423,$S423)-1)/2</f>
        <v>4</v>
      </c>
      <c r="AB423" s="0" t="n">
        <f aca="false">1+COUNTIF($T423:$W423,"&gt;"&amp;$T423)+(COUNTIF($T423:$W423,$T423)-1)/2</f>
        <v>1</v>
      </c>
      <c r="AC423" s="0" t="n">
        <f aca="false">1+COUNTIF($T423:$W423,"&gt;"&amp;$U423)+(COUNTIF($T423:$W423,$U423)-1)/2</f>
        <v>2</v>
      </c>
      <c r="AD423" s="0" t="n">
        <f aca="false">1+COUNTIF($T423:$W423,"&gt;"&amp;$V423)+(COUNTIF($T423:$W423,$V423)-1)/2</f>
        <v>4</v>
      </c>
      <c r="AE423" s="0" t="n">
        <f aca="false">1+COUNTIF($T423:$W423,"&gt;"&amp;$W423)+(COUNTIF($T423:$W423,$W423)-1)/2</f>
        <v>3</v>
      </c>
      <c r="AF423" s="0" t="n">
        <f aca="false">IFERROR(CORREL($P423:$S423,$T423:$W423),"")</f>
        <v>0.58694876373549</v>
      </c>
      <c r="AG423" s="0" t="n">
        <f aca="false">IFERROR(CORREL($X423:$AA423,$AB423:$AE423),"")</f>
        <v>0.6</v>
      </c>
      <c r="AH423" s="0" t="n">
        <f aca="false">IFERROR((SIGN($P423-$Q423)*SIGN($T423-$U423)+SIGN($P423-$R423)*SIGN($T423-$V423)+SIGN($P423-$S423)*SIGN($T423-$W423)+SIGN($Q423-$R423)*SIGN($U423-$V423)+SIGN($Q423-$S423)*SIGN($U423-$W423)+SIGN($R423-$S423)*SIGN($V423-$W423))/SQRT((6-(($P423=$Q423)*1+($P423=$R423)*1+($P423=$S423)*1+($Q423=$R423)*1+($Q423=$S423)*1+($R423=$S423)*1))*(6-(($T423=$U423)*1+($T423=$V423)*1+($T423=$W423)*1+($U423=$V423)*1+($U423=$W423)*1+($V423=$W423)*1))),"")</f>
        <v>0.333333333333333</v>
      </c>
      <c r="AI423" s="0" t="n">
        <f aca="false">MATCH(MAX($K423:$O423),$K423:$O423,0)</f>
        <v>2</v>
      </c>
      <c r="AJ423" s="0" t="n">
        <f aca="false">IF(AI423&lt;&gt;$E423,1,0)</f>
        <v>1</v>
      </c>
      <c r="AK423" s="0" t="n">
        <f aca="false">IF(AJ423=1,INDEX($F423:$J423,AI423)/MAX($P423:$S423),"")</f>
        <v>0.810679611650485</v>
      </c>
      <c r="AL423" s="0" t="n">
        <f aca="false">IF(AJ423=1,1+COUNTIF($P423:$S423,"&gt;"&amp;INDEX($F423:$J423,AI423)),"")</f>
        <v>2</v>
      </c>
      <c r="AM423" s="0" t="n">
        <f aca="false">AVERAGE($P423:$S423)/MAX($P423:$S423)</f>
        <v>0.691747572815534</v>
      </c>
      <c r="AN423" s="0" t="n">
        <f aca="false">100-INDEX($F423:$J423,$E423)</f>
        <v>66.2</v>
      </c>
    </row>
    <row r="424" customFormat="false" ht="15" hidden="false" customHeight="false" outlineLevel="0" collapsed="false">
      <c r="A424" s="0" t="s">
        <v>57</v>
      </c>
      <c r="B424" s="0" t="n">
        <v>2021</v>
      </c>
      <c r="C424" s="0" t="s">
        <v>46</v>
      </c>
      <c r="D424" s="0" t="s">
        <v>45</v>
      </c>
      <c r="E424" s="0" t="n">
        <v>4</v>
      </c>
      <c r="F424" s="0" t="n">
        <v>11.8</v>
      </c>
      <c r="G424" s="0" t="n">
        <v>17.7</v>
      </c>
      <c r="H424" s="0" t="n">
        <v>11.5</v>
      </c>
      <c r="I424" s="0" t="n">
        <v>39.5</v>
      </c>
      <c r="J424" s="0" t="n">
        <v>10.1</v>
      </c>
      <c r="K424" s="0" t="n">
        <v>26.4538841344</v>
      </c>
      <c r="L424" s="0" t="n">
        <v>9.88545697405</v>
      </c>
      <c r="M424" s="0" t="n">
        <v>20.4298634864</v>
      </c>
      <c r="N424" s="0" t="n">
        <v>22.0775420784</v>
      </c>
      <c r="O424" s="0" t="n">
        <v>21.1532533267</v>
      </c>
      <c r="P424" s="0" t="n">
        <f aca="false">INDEX($F424:$J424,IF(1&lt;$E424,1,1+1))</f>
        <v>11.8</v>
      </c>
      <c r="Q424" s="0" t="n">
        <f aca="false">INDEX($F424:$J424,IF(2&lt;$E424,2,2+1))</f>
        <v>17.7</v>
      </c>
      <c r="R424" s="0" t="n">
        <f aca="false">INDEX($F424:$J424,IF(3&lt;$E424,3,3+1))</f>
        <v>11.5</v>
      </c>
      <c r="S424" s="0" t="n">
        <f aca="false">INDEX($F424:$J424,IF(4&lt;$E424,4,4+1))</f>
        <v>10.1</v>
      </c>
      <c r="T424" s="0" t="n">
        <f aca="false">INDEX($K424:$O424,IF(1&lt;$E424,1,1+1))</f>
        <v>26.4538841344</v>
      </c>
      <c r="U424" s="0" t="n">
        <f aca="false">INDEX($K424:$O424,IF(2&lt;$E424,2,2+1))</f>
        <v>9.88545697405</v>
      </c>
      <c r="V424" s="0" t="n">
        <f aca="false">INDEX($K424:$O424,IF(3&lt;$E424,3,3+1))</f>
        <v>20.4298634864</v>
      </c>
      <c r="W424" s="0" t="n">
        <f aca="false">INDEX($K424:$O424,IF(4&lt;$E424,4,4+1))</f>
        <v>21.1532533267</v>
      </c>
      <c r="X424" s="0" t="n">
        <f aca="false">1+COUNTIF($P424:$S424,"&gt;"&amp;$P424)+(COUNTIF($P424:$S424,$P424)-1)/2</f>
        <v>2</v>
      </c>
      <c r="Y424" s="0" t="n">
        <f aca="false">1+COUNTIF($P424:$S424,"&gt;"&amp;$Q424)+(COUNTIF($P424:$S424,$Q424)-1)/2</f>
        <v>1</v>
      </c>
      <c r="Z424" s="0" t="n">
        <f aca="false">1+COUNTIF($P424:$S424,"&gt;"&amp;$R424)+(COUNTIF($P424:$S424,$R424)-1)/2</f>
        <v>3</v>
      </c>
      <c r="AA424" s="0" t="n">
        <f aca="false">1+COUNTIF($P424:$S424,"&gt;"&amp;$S424)+(COUNTIF($P424:$S424,$S424)-1)/2</f>
        <v>4</v>
      </c>
      <c r="AB424" s="0" t="n">
        <f aca="false">1+COUNTIF($T424:$W424,"&gt;"&amp;$T424)+(COUNTIF($T424:$W424,$T424)-1)/2</f>
        <v>1</v>
      </c>
      <c r="AC424" s="0" t="n">
        <f aca="false">1+COUNTIF($T424:$W424,"&gt;"&amp;$U424)+(COUNTIF($T424:$W424,$U424)-1)/2</f>
        <v>4</v>
      </c>
      <c r="AD424" s="0" t="n">
        <f aca="false">1+COUNTIF($T424:$W424,"&gt;"&amp;$V424)+(COUNTIF($T424:$W424,$V424)-1)/2</f>
        <v>3</v>
      </c>
      <c r="AE424" s="0" t="n">
        <f aca="false">1+COUNTIF($T424:$W424,"&gt;"&amp;$W424)+(COUNTIF($T424:$W424,$W424)-1)/2</f>
        <v>2</v>
      </c>
      <c r="AF424" s="0" t="n">
        <f aca="false">IFERROR(CORREL($P424:$S424,$T424:$W424),"")</f>
        <v>-0.852768775045789</v>
      </c>
      <c r="AG424" s="0" t="n">
        <f aca="false">IFERROR(CORREL($X424:$AA424,$AB424:$AE424),"")</f>
        <v>-0.4</v>
      </c>
      <c r="AH424" s="0" t="n">
        <f aca="false">IFERROR((SIGN($P424-$Q424)*SIGN($T424-$U424)+SIGN($P424-$R424)*SIGN($T424-$V424)+SIGN($P424-$S424)*SIGN($T424-$W424)+SIGN($Q424-$R424)*SIGN($U424-$V424)+SIGN($Q424-$S424)*SIGN($U424-$W424)+SIGN($R424-$S424)*SIGN($V424-$W424))/SQRT((6-(($P424=$Q424)*1+($P424=$R424)*1+($P424=$S424)*1+($Q424=$R424)*1+($Q424=$S424)*1+($R424=$S424)*1))*(6-(($T424=$U424)*1+($T424=$V424)*1+($T424=$W424)*1+($U424=$V424)*1+($U424=$W424)*1+($V424=$W424)*1))),"")</f>
        <v>-0.333333333333333</v>
      </c>
      <c r="AI424" s="0" t="n">
        <f aca="false">MATCH(MAX($K424:$O424),$K424:$O424,0)</f>
        <v>1</v>
      </c>
      <c r="AJ424" s="0" t="n">
        <f aca="false">IF(AI424&lt;&gt;$E424,1,0)</f>
        <v>1</v>
      </c>
      <c r="AK424" s="0" t="n">
        <f aca="false">IF(AJ424=1,INDEX($F424:$J424,AI424)/MAX($P424:$S424),"")</f>
        <v>0.666666666666667</v>
      </c>
      <c r="AL424" s="0" t="n">
        <f aca="false">IF(AJ424=1,1+COUNTIF($P424:$S424,"&gt;"&amp;INDEX($F424:$J424,AI424)),"")</f>
        <v>2</v>
      </c>
      <c r="AM424" s="0" t="n">
        <f aca="false">AVERAGE($P424:$S424)/MAX($P424:$S424)</f>
        <v>0.721751412429379</v>
      </c>
      <c r="AN424" s="0" t="n">
        <f aca="false">100-INDEX($F424:$J424,$E424)</f>
        <v>60.5</v>
      </c>
    </row>
    <row r="425" customFormat="false" ht="15" hidden="false" customHeight="false" outlineLevel="0" collapsed="false">
      <c r="A425" s="0" t="s">
        <v>57</v>
      </c>
      <c r="B425" s="0" t="n">
        <v>2020</v>
      </c>
      <c r="C425" s="0" t="s">
        <v>58</v>
      </c>
      <c r="D425" s="0" t="s">
        <v>42</v>
      </c>
      <c r="E425" s="0" t="n">
        <v>2</v>
      </c>
      <c r="F425" s="0" t="n">
        <v>14.3</v>
      </c>
      <c r="G425" s="0" t="n">
        <v>26.7</v>
      </c>
      <c r="H425" s="0" t="n">
        <v>21.2</v>
      </c>
      <c r="I425" s="0" t="n">
        <v>28.6</v>
      </c>
      <c r="J425" s="0" t="n">
        <v>8.6</v>
      </c>
      <c r="K425" s="0" t="n">
        <v>24.7609873575</v>
      </c>
      <c r="L425" s="0" t="n">
        <v>41.3093638663</v>
      </c>
      <c r="M425" s="0" t="n">
        <v>1.89618133584</v>
      </c>
      <c r="N425" s="0" t="n">
        <v>22.7059255205</v>
      </c>
      <c r="O425" s="0" t="n">
        <v>9.32754191983</v>
      </c>
      <c r="P425" s="0" t="n">
        <f aca="false">INDEX($F425:$J425,IF(1&lt;$E425,1,1+1))</f>
        <v>14.3</v>
      </c>
      <c r="Q425" s="0" t="n">
        <f aca="false">INDEX($F425:$J425,IF(2&lt;$E425,2,2+1))</f>
        <v>21.2</v>
      </c>
      <c r="R425" s="0" t="n">
        <f aca="false">INDEX($F425:$J425,IF(3&lt;$E425,3,3+1))</f>
        <v>28.6</v>
      </c>
      <c r="S425" s="0" t="n">
        <f aca="false">INDEX($F425:$J425,IF(4&lt;$E425,4,4+1))</f>
        <v>8.6</v>
      </c>
      <c r="T425" s="0" t="n">
        <f aca="false">INDEX($K425:$O425,IF(1&lt;$E425,1,1+1))</f>
        <v>24.7609873575</v>
      </c>
      <c r="U425" s="0" t="n">
        <f aca="false">INDEX($K425:$O425,IF(2&lt;$E425,2,2+1))</f>
        <v>1.89618133584</v>
      </c>
      <c r="V425" s="0" t="n">
        <f aca="false">INDEX($K425:$O425,IF(3&lt;$E425,3,3+1))</f>
        <v>22.7059255205</v>
      </c>
      <c r="W425" s="0" t="n">
        <f aca="false">INDEX($K425:$O425,IF(4&lt;$E425,4,4+1))</f>
        <v>9.32754191983</v>
      </c>
      <c r="X425" s="0" t="n">
        <f aca="false">1+COUNTIF($P425:$S425,"&gt;"&amp;$P425)+(COUNTIF($P425:$S425,$P425)-1)/2</f>
        <v>3</v>
      </c>
      <c r="Y425" s="0" t="n">
        <f aca="false">1+COUNTIF($P425:$S425,"&gt;"&amp;$Q425)+(COUNTIF($P425:$S425,$Q425)-1)/2</f>
        <v>2</v>
      </c>
      <c r="Z425" s="0" t="n">
        <f aca="false">1+COUNTIF($P425:$S425,"&gt;"&amp;$R425)+(COUNTIF($P425:$S425,$R425)-1)/2</f>
        <v>1</v>
      </c>
      <c r="AA425" s="0" t="n">
        <f aca="false">1+COUNTIF($P425:$S425,"&gt;"&amp;$S425)+(COUNTIF($P425:$S425,$S425)-1)/2</f>
        <v>4</v>
      </c>
      <c r="AB425" s="0" t="n">
        <f aca="false">1+COUNTIF($T425:$W425,"&gt;"&amp;$T425)+(COUNTIF($T425:$W425,$T425)-1)/2</f>
        <v>1</v>
      </c>
      <c r="AC425" s="0" t="n">
        <f aca="false">1+COUNTIF($T425:$W425,"&gt;"&amp;$U425)+(COUNTIF($T425:$W425,$U425)-1)/2</f>
        <v>4</v>
      </c>
      <c r="AD425" s="0" t="n">
        <f aca="false">1+COUNTIF($T425:$W425,"&gt;"&amp;$V425)+(COUNTIF($T425:$W425,$V425)-1)/2</f>
        <v>2</v>
      </c>
      <c r="AE425" s="0" t="n">
        <f aca="false">1+COUNTIF($T425:$W425,"&gt;"&amp;$W425)+(COUNTIF($T425:$W425,$W425)-1)/2</f>
        <v>3</v>
      </c>
      <c r="AF425" s="0" t="n">
        <f aca="false">IFERROR(CORREL($P425:$S425,$T425:$W425),"")</f>
        <v>0.201667834504944</v>
      </c>
      <c r="AG425" s="0" t="n">
        <f aca="false">IFERROR(CORREL($X425:$AA425,$AB425:$AE425),"")</f>
        <v>0</v>
      </c>
      <c r="AH425" s="0" t="n">
        <f aca="false">IFERROR((SIGN($P425-$Q425)*SIGN($T425-$U425)+SIGN($P425-$R425)*SIGN($T425-$V425)+SIGN($P425-$S425)*SIGN($T425-$W425)+SIGN($Q425-$R425)*SIGN($U425-$V425)+SIGN($Q425-$S425)*SIGN($U425-$W425)+SIGN($R425-$S425)*SIGN($V425-$W425))/SQRT((6-(($P425=$Q425)*1+($P425=$R425)*1+($P425=$S425)*1+($Q425=$R425)*1+($Q425=$S425)*1+($R425=$S425)*1))*(6-(($T425=$U425)*1+($T425=$V425)*1+($T425=$W425)*1+($U425=$V425)*1+($U425=$W425)*1+($V425=$W425)*1))),"")</f>
        <v>0</v>
      </c>
      <c r="AI425" s="0" t="n">
        <f aca="false">MATCH(MAX($K425:$O425),$K425:$O425,0)</f>
        <v>2</v>
      </c>
      <c r="AJ425" s="0" t="n">
        <f aca="false">IF(AI425&lt;&gt;$E425,1,0)</f>
        <v>0</v>
      </c>
      <c r="AK425" s="0" t="str">
        <f aca="false">IF(AJ425=1,INDEX($F425:$J425,AI425)/MAX($P425:$S425),"")</f>
        <v/>
      </c>
      <c r="AL425" s="0" t="str">
        <f aca="false">IF(AJ425=1,1+COUNTIF($P425:$S425,"&gt;"&amp;INDEX($F425:$J425,AI425)),"")</f>
        <v/>
      </c>
      <c r="AM425" s="0" t="n">
        <f aca="false">AVERAGE($P425:$S425)/MAX($P425:$S425)</f>
        <v>0.635489510489511</v>
      </c>
      <c r="AN425" s="0" t="n">
        <f aca="false">100-INDEX($F425:$J425,$E425)</f>
        <v>73.3</v>
      </c>
    </row>
    <row r="426" customFormat="false" ht="15" hidden="false" customHeight="false" outlineLevel="0" collapsed="false">
      <c r="A426" s="0" t="s">
        <v>57</v>
      </c>
      <c r="B426" s="0" t="n">
        <v>2020</v>
      </c>
      <c r="C426" s="0" t="s">
        <v>58</v>
      </c>
      <c r="D426" s="0" t="s">
        <v>43</v>
      </c>
      <c r="E426" s="0" t="n">
        <v>3</v>
      </c>
      <c r="F426" s="0" t="n">
        <v>11.5</v>
      </c>
      <c r="G426" s="0" t="n">
        <v>8</v>
      </c>
      <c r="H426" s="0" t="n">
        <v>52.6</v>
      </c>
      <c r="I426" s="0" t="n">
        <v>12.9</v>
      </c>
      <c r="J426" s="0" t="n">
        <v>14.5</v>
      </c>
      <c r="K426" s="0" t="n">
        <v>2.54991246463</v>
      </c>
      <c r="L426" s="0" t="n">
        <v>4.69539888049</v>
      </c>
      <c r="M426" s="0" t="n">
        <v>59.728505638</v>
      </c>
      <c r="N426" s="0" t="n">
        <v>31.5779962009</v>
      </c>
      <c r="O426" s="0" t="n">
        <v>1.44818681599</v>
      </c>
      <c r="P426" s="0" t="n">
        <f aca="false">INDEX($F426:$J426,IF(1&lt;$E426,1,1+1))</f>
        <v>11.5</v>
      </c>
      <c r="Q426" s="0" t="n">
        <f aca="false">INDEX($F426:$J426,IF(2&lt;$E426,2,2+1))</f>
        <v>8</v>
      </c>
      <c r="R426" s="0" t="n">
        <f aca="false">INDEX($F426:$J426,IF(3&lt;$E426,3,3+1))</f>
        <v>12.9</v>
      </c>
      <c r="S426" s="0" t="n">
        <f aca="false">INDEX($F426:$J426,IF(4&lt;$E426,4,4+1))</f>
        <v>14.5</v>
      </c>
      <c r="T426" s="0" t="n">
        <f aca="false">INDEX($K426:$O426,IF(1&lt;$E426,1,1+1))</f>
        <v>2.54991246463</v>
      </c>
      <c r="U426" s="0" t="n">
        <f aca="false">INDEX($K426:$O426,IF(2&lt;$E426,2,2+1))</f>
        <v>4.69539888049</v>
      </c>
      <c r="V426" s="0" t="n">
        <f aca="false">INDEX($K426:$O426,IF(3&lt;$E426,3,3+1))</f>
        <v>31.5779962009</v>
      </c>
      <c r="W426" s="0" t="n">
        <f aca="false">INDEX($K426:$O426,IF(4&lt;$E426,4,4+1))</f>
        <v>1.44818681599</v>
      </c>
      <c r="X426" s="0" t="n">
        <f aca="false">1+COUNTIF($P426:$S426,"&gt;"&amp;$P426)+(COUNTIF($P426:$S426,$P426)-1)/2</f>
        <v>3</v>
      </c>
      <c r="Y426" s="0" t="n">
        <f aca="false">1+COUNTIF($P426:$S426,"&gt;"&amp;$Q426)+(COUNTIF($P426:$S426,$Q426)-1)/2</f>
        <v>4</v>
      </c>
      <c r="Z426" s="0" t="n">
        <f aca="false">1+COUNTIF($P426:$S426,"&gt;"&amp;$R426)+(COUNTIF($P426:$S426,$R426)-1)/2</f>
        <v>2</v>
      </c>
      <c r="AA426" s="0" t="n">
        <f aca="false">1+COUNTIF($P426:$S426,"&gt;"&amp;$S426)+(COUNTIF($P426:$S426,$S426)-1)/2</f>
        <v>1</v>
      </c>
      <c r="AB426" s="0" t="n">
        <f aca="false">1+COUNTIF($T426:$W426,"&gt;"&amp;$T426)+(COUNTIF($T426:$W426,$T426)-1)/2</f>
        <v>3</v>
      </c>
      <c r="AC426" s="0" t="n">
        <f aca="false">1+COUNTIF($T426:$W426,"&gt;"&amp;$U426)+(COUNTIF($T426:$W426,$U426)-1)/2</f>
        <v>2</v>
      </c>
      <c r="AD426" s="0" t="n">
        <f aca="false">1+COUNTIF($T426:$W426,"&gt;"&amp;$V426)+(COUNTIF($T426:$W426,$V426)-1)/2</f>
        <v>1</v>
      </c>
      <c r="AE426" s="0" t="n">
        <f aca="false">1+COUNTIF($T426:$W426,"&gt;"&amp;$W426)+(COUNTIF($T426:$W426,$W426)-1)/2</f>
        <v>4</v>
      </c>
      <c r="AF426" s="0" t="n">
        <f aca="false">IFERROR(CORREL($P426:$S426,$T426:$W426),"")</f>
        <v>0.192698346372852</v>
      </c>
      <c r="AG426" s="0" t="n">
        <f aca="false">IFERROR(CORREL($X426:$AA426,$AB426:$AE426),"")</f>
        <v>-0.4</v>
      </c>
      <c r="AH426" s="0" t="n">
        <f aca="false">IFERROR((SIGN($P426-$Q426)*SIGN($T426-$U426)+SIGN($P426-$R426)*SIGN($T426-$V426)+SIGN($P426-$S426)*SIGN($T426-$W426)+SIGN($Q426-$R426)*SIGN($U426-$V426)+SIGN($Q426-$S426)*SIGN($U426-$W426)+SIGN($R426-$S426)*SIGN($V426-$W426))/SQRT((6-(($P426=$Q426)*1+($P426=$R426)*1+($P426=$S426)*1+($Q426=$R426)*1+($Q426=$S426)*1+($R426=$S426)*1))*(6-(($T426=$U426)*1+($T426=$V426)*1+($T426=$W426)*1+($U426=$V426)*1+($U426=$W426)*1+($V426=$W426)*1))),"")</f>
        <v>-0.333333333333333</v>
      </c>
      <c r="AI426" s="0" t="n">
        <f aca="false">MATCH(MAX($K426:$O426),$K426:$O426,0)</f>
        <v>3</v>
      </c>
      <c r="AJ426" s="0" t="n">
        <f aca="false">IF(AI426&lt;&gt;$E426,1,0)</f>
        <v>0</v>
      </c>
      <c r="AK426" s="0" t="str">
        <f aca="false">IF(AJ426=1,INDEX($F426:$J426,AI426)/MAX($P426:$S426),"")</f>
        <v/>
      </c>
      <c r="AL426" s="0" t="str">
        <f aca="false">IF(AJ426=1,1+COUNTIF($P426:$S426,"&gt;"&amp;INDEX($F426:$J426,AI426)),"")</f>
        <v/>
      </c>
      <c r="AM426" s="0" t="n">
        <f aca="false">AVERAGE($P426:$S426)/MAX($P426:$S426)</f>
        <v>0.808620689655172</v>
      </c>
      <c r="AN426" s="0" t="n">
        <f aca="false">100-INDEX($F426:$J426,$E426)</f>
        <v>47.4</v>
      </c>
    </row>
    <row r="427" customFormat="false" ht="15" hidden="false" customHeight="false" outlineLevel="0" collapsed="false">
      <c r="A427" s="0" t="s">
        <v>57</v>
      </c>
      <c r="B427" s="0" t="n">
        <v>2020</v>
      </c>
      <c r="C427" s="0" t="s">
        <v>58</v>
      </c>
      <c r="D427" s="0" t="s">
        <v>44</v>
      </c>
      <c r="E427" s="0" t="n">
        <v>1</v>
      </c>
      <c r="F427" s="0" t="n">
        <v>42</v>
      </c>
      <c r="G427" s="0" t="n">
        <v>17.4</v>
      </c>
      <c r="H427" s="0" t="n">
        <v>18.3</v>
      </c>
      <c r="I427" s="0" t="n">
        <v>13.2</v>
      </c>
      <c r="J427" s="0" t="n">
        <v>8.6</v>
      </c>
      <c r="K427" s="0" t="n">
        <v>6.48786243895</v>
      </c>
      <c r="L427" s="0" t="n">
        <v>19.0028411642</v>
      </c>
      <c r="M427" s="0" t="n">
        <v>6.59212331607</v>
      </c>
      <c r="N427" s="0" t="n">
        <v>2.44349005133</v>
      </c>
      <c r="O427" s="0" t="n">
        <v>65.4736830294</v>
      </c>
      <c r="P427" s="0" t="n">
        <f aca="false">INDEX($F427:$J427,IF(1&lt;$E427,1,1+1))</f>
        <v>17.4</v>
      </c>
      <c r="Q427" s="0" t="n">
        <f aca="false">INDEX($F427:$J427,IF(2&lt;$E427,2,2+1))</f>
        <v>18.3</v>
      </c>
      <c r="R427" s="0" t="n">
        <f aca="false">INDEX($F427:$J427,IF(3&lt;$E427,3,3+1))</f>
        <v>13.2</v>
      </c>
      <c r="S427" s="0" t="n">
        <f aca="false">INDEX($F427:$J427,IF(4&lt;$E427,4,4+1))</f>
        <v>8.6</v>
      </c>
      <c r="T427" s="0" t="n">
        <f aca="false">INDEX($K427:$O427,IF(1&lt;$E427,1,1+1))</f>
        <v>19.0028411642</v>
      </c>
      <c r="U427" s="0" t="n">
        <f aca="false">INDEX($K427:$O427,IF(2&lt;$E427,2,2+1))</f>
        <v>6.59212331607</v>
      </c>
      <c r="V427" s="0" t="n">
        <f aca="false">INDEX($K427:$O427,IF(3&lt;$E427,3,3+1))</f>
        <v>2.44349005133</v>
      </c>
      <c r="W427" s="0" t="n">
        <f aca="false">INDEX($K427:$O427,IF(4&lt;$E427,4,4+1))</f>
        <v>65.4736830294</v>
      </c>
      <c r="X427" s="0" t="n">
        <f aca="false">1+COUNTIF($P427:$S427,"&gt;"&amp;$P427)+(COUNTIF($P427:$S427,$P427)-1)/2</f>
        <v>2</v>
      </c>
      <c r="Y427" s="0" t="n">
        <f aca="false">1+COUNTIF($P427:$S427,"&gt;"&amp;$Q427)+(COUNTIF($P427:$S427,$Q427)-1)/2</f>
        <v>1</v>
      </c>
      <c r="Z427" s="0" t="n">
        <f aca="false">1+COUNTIF($P427:$S427,"&gt;"&amp;$R427)+(COUNTIF($P427:$S427,$R427)-1)/2</f>
        <v>3</v>
      </c>
      <c r="AA427" s="0" t="n">
        <f aca="false">1+COUNTIF($P427:$S427,"&gt;"&amp;$S427)+(COUNTIF($P427:$S427,$S427)-1)/2</f>
        <v>4</v>
      </c>
      <c r="AB427" s="0" t="n">
        <f aca="false">1+COUNTIF($T427:$W427,"&gt;"&amp;$T427)+(COUNTIF($T427:$W427,$T427)-1)/2</f>
        <v>2</v>
      </c>
      <c r="AC427" s="0" t="n">
        <f aca="false">1+COUNTIF($T427:$W427,"&gt;"&amp;$U427)+(COUNTIF($T427:$W427,$U427)-1)/2</f>
        <v>3</v>
      </c>
      <c r="AD427" s="0" t="n">
        <f aca="false">1+COUNTIF($T427:$W427,"&gt;"&amp;$V427)+(COUNTIF($T427:$W427,$V427)-1)/2</f>
        <v>4</v>
      </c>
      <c r="AE427" s="0" t="n">
        <f aca="false">1+COUNTIF($T427:$W427,"&gt;"&amp;$W427)+(COUNTIF($T427:$W427,$W427)-1)/2</f>
        <v>1</v>
      </c>
      <c r="AF427" s="0" t="n">
        <f aca="false">IFERROR(CORREL($P427:$S427,$T427:$W427),"")</f>
        <v>-0.771338413599441</v>
      </c>
      <c r="AG427" s="0" t="n">
        <f aca="false">IFERROR(CORREL($X427:$AA427,$AB427:$AE427),"")</f>
        <v>-0.4</v>
      </c>
      <c r="AH427" s="0" t="n">
        <f aca="false">IFERROR((SIGN($P427-$Q427)*SIGN($T427-$U427)+SIGN($P427-$R427)*SIGN($T427-$V427)+SIGN($P427-$S427)*SIGN($T427-$W427)+SIGN($Q427-$R427)*SIGN($U427-$V427)+SIGN($Q427-$S427)*SIGN($U427-$W427)+SIGN($R427-$S427)*SIGN($V427-$W427))/SQRT((6-(($P427=$Q427)*1+($P427=$R427)*1+($P427=$S427)*1+($Q427=$R427)*1+($Q427=$S427)*1+($R427=$S427)*1))*(6-(($T427=$U427)*1+($T427=$V427)*1+($T427=$W427)*1+($U427=$V427)*1+($U427=$W427)*1+($V427=$W427)*1))),"")</f>
        <v>-0.333333333333333</v>
      </c>
      <c r="AI427" s="0" t="n">
        <f aca="false">MATCH(MAX($K427:$O427),$K427:$O427,0)</f>
        <v>5</v>
      </c>
      <c r="AJ427" s="0" t="n">
        <f aca="false">IF(AI427&lt;&gt;$E427,1,0)</f>
        <v>1</v>
      </c>
      <c r="AK427" s="0" t="n">
        <f aca="false">IF(AJ427=1,INDEX($F427:$J427,AI427)/MAX($P427:$S427),"")</f>
        <v>0.469945355191257</v>
      </c>
      <c r="AL427" s="0" t="n">
        <f aca="false">IF(AJ427=1,1+COUNTIF($P427:$S427,"&gt;"&amp;INDEX($F427:$J427,AI427)),"")</f>
        <v>4</v>
      </c>
      <c r="AM427" s="0" t="n">
        <f aca="false">AVERAGE($P427:$S427)/MAX($P427:$S427)</f>
        <v>0.78551912568306</v>
      </c>
      <c r="AN427" s="0" t="n">
        <f aca="false">100-INDEX($F427:$J427,$E427)</f>
        <v>58</v>
      </c>
    </row>
    <row r="428" customFormat="false" ht="15" hidden="false" customHeight="false" outlineLevel="0" collapsed="false">
      <c r="A428" s="0" t="s">
        <v>57</v>
      </c>
      <c r="B428" s="0" t="n">
        <v>2020</v>
      </c>
      <c r="C428" s="0" t="s">
        <v>58</v>
      </c>
      <c r="D428" s="0" t="s">
        <v>45</v>
      </c>
      <c r="E428" s="0" t="n">
        <v>5</v>
      </c>
      <c r="F428" s="0" t="n">
        <v>12.2</v>
      </c>
      <c r="G428" s="0" t="n">
        <v>13.4</v>
      </c>
      <c r="H428" s="0" t="n">
        <v>13.1</v>
      </c>
      <c r="I428" s="0" t="n">
        <v>21.9</v>
      </c>
      <c r="J428" s="0" t="n">
        <v>38.9</v>
      </c>
      <c r="K428" s="0" t="n">
        <v>42.6947935001</v>
      </c>
      <c r="L428" s="0" t="n">
        <v>5.56811204853</v>
      </c>
      <c r="M428" s="0" t="n">
        <v>1.01303796574</v>
      </c>
      <c r="N428" s="0" t="n">
        <v>12.7487884298</v>
      </c>
      <c r="O428" s="0" t="n">
        <v>37.9752680559</v>
      </c>
      <c r="P428" s="0" t="n">
        <f aca="false">INDEX($F428:$J428,IF(1&lt;$E428,1,1+1))</f>
        <v>12.2</v>
      </c>
      <c r="Q428" s="0" t="n">
        <f aca="false">INDEX($F428:$J428,IF(2&lt;$E428,2,2+1))</f>
        <v>13.4</v>
      </c>
      <c r="R428" s="0" t="n">
        <f aca="false">INDEX($F428:$J428,IF(3&lt;$E428,3,3+1))</f>
        <v>13.1</v>
      </c>
      <c r="S428" s="0" t="n">
        <f aca="false">INDEX($F428:$J428,IF(4&lt;$E428,4,4+1))</f>
        <v>21.9</v>
      </c>
      <c r="T428" s="0" t="n">
        <f aca="false">INDEX($K428:$O428,IF(1&lt;$E428,1,1+1))</f>
        <v>42.6947935001</v>
      </c>
      <c r="U428" s="0" t="n">
        <f aca="false">INDEX($K428:$O428,IF(2&lt;$E428,2,2+1))</f>
        <v>5.56811204853</v>
      </c>
      <c r="V428" s="0" t="n">
        <f aca="false">INDEX($K428:$O428,IF(3&lt;$E428,3,3+1))</f>
        <v>1.01303796574</v>
      </c>
      <c r="W428" s="0" t="n">
        <f aca="false">INDEX($K428:$O428,IF(4&lt;$E428,4,4+1))</f>
        <v>12.7487884298</v>
      </c>
      <c r="X428" s="0" t="n">
        <f aca="false">1+COUNTIF($P428:$S428,"&gt;"&amp;$P428)+(COUNTIF($P428:$S428,$P428)-1)/2</f>
        <v>4</v>
      </c>
      <c r="Y428" s="0" t="n">
        <f aca="false">1+COUNTIF($P428:$S428,"&gt;"&amp;$Q428)+(COUNTIF($P428:$S428,$Q428)-1)/2</f>
        <v>2</v>
      </c>
      <c r="Z428" s="0" t="n">
        <f aca="false">1+COUNTIF($P428:$S428,"&gt;"&amp;$R428)+(COUNTIF($P428:$S428,$R428)-1)/2</f>
        <v>3</v>
      </c>
      <c r="AA428" s="0" t="n">
        <f aca="false">1+COUNTIF($P428:$S428,"&gt;"&amp;$S428)+(COUNTIF($P428:$S428,$S428)-1)/2</f>
        <v>1</v>
      </c>
      <c r="AB428" s="0" t="n">
        <f aca="false">1+COUNTIF($T428:$W428,"&gt;"&amp;$T428)+(COUNTIF($T428:$W428,$T428)-1)/2</f>
        <v>1</v>
      </c>
      <c r="AC428" s="0" t="n">
        <f aca="false">1+COUNTIF($T428:$W428,"&gt;"&amp;$U428)+(COUNTIF($T428:$W428,$U428)-1)/2</f>
        <v>3</v>
      </c>
      <c r="AD428" s="0" t="n">
        <f aca="false">1+COUNTIF($T428:$W428,"&gt;"&amp;$V428)+(COUNTIF($T428:$W428,$V428)-1)/2</f>
        <v>4</v>
      </c>
      <c r="AE428" s="0" t="n">
        <f aca="false">1+COUNTIF($T428:$W428,"&gt;"&amp;$W428)+(COUNTIF($T428:$W428,$W428)-1)/2</f>
        <v>2</v>
      </c>
      <c r="AF428" s="0" t="n">
        <f aca="false">IFERROR(CORREL($P428:$S428,$T428:$W428),"")</f>
        <v>-0.202920317589894</v>
      </c>
      <c r="AG428" s="0" t="n">
        <f aca="false">IFERROR(CORREL($X428:$AA428,$AB428:$AE428),"")</f>
        <v>-0.2</v>
      </c>
      <c r="AH428" s="0" t="n">
        <f aca="false">IFERROR((SIGN($P428-$Q428)*SIGN($T428-$U428)+SIGN($P428-$R428)*SIGN($T428-$V428)+SIGN($P428-$S428)*SIGN($T428-$W428)+SIGN($Q428-$R428)*SIGN($U428-$V428)+SIGN($Q428-$S428)*SIGN($U428-$W428)+SIGN($R428-$S428)*SIGN($V428-$W428))/SQRT((6-(($P428=$Q428)*1+($P428=$R428)*1+($P428=$S428)*1+($Q428=$R428)*1+($Q428=$S428)*1+($R428=$S428)*1))*(6-(($T428=$U428)*1+($T428=$V428)*1+($T428=$W428)*1+($U428=$V428)*1+($U428=$W428)*1+($V428=$W428)*1))),"")</f>
        <v>0</v>
      </c>
      <c r="AI428" s="0" t="n">
        <f aca="false">MATCH(MAX($K428:$O428),$K428:$O428,0)</f>
        <v>1</v>
      </c>
      <c r="AJ428" s="0" t="n">
        <f aca="false">IF(AI428&lt;&gt;$E428,1,0)</f>
        <v>1</v>
      </c>
      <c r="AK428" s="0" t="n">
        <f aca="false">IF(AJ428=1,INDEX($F428:$J428,AI428)/MAX($P428:$S428),"")</f>
        <v>0.557077625570776</v>
      </c>
      <c r="AL428" s="0" t="n">
        <f aca="false">IF(AJ428=1,1+COUNTIF($P428:$S428,"&gt;"&amp;INDEX($F428:$J428,AI428)),"")</f>
        <v>4</v>
      </c>
      <c r="AM428" s="0" t="n">
        <f aca="false">AVERAGE($P428:$S428)/MAX($P428:$S428)</f>
        <v>0.691780821917808</v>
      </c>
      <c r="AN428" s="0" t="n">
        <f aca="false">100-INDEX($F428:$J428,$E428)</f>
        <v>61.1</v>
      </c>
    </row>
    <row r="429" customFormat="false" ht="15" hidden="false" customHeight="false" outlineLevel="0" collapsed="false">
      <c r="A429" s="0" t="s">
        <v>57</v>
      </c>
      <c r="B429" s="0" t="n">
        <v>2020</v>
      </c>
      <c r="C429" s="0" t="s">
        <v>49</v>
      </c>
      <c r="D429" s="0" t="s">
        <v>42</v>
      </c>
      <c r="E429" s="0" t="n">
        <v>2</v>
      </c>
      <c r="F429" s="0" t="n">
        <v>17.7</v>
      </c>
      <c r="G429" s="0" t="n">
        <v>40</v>
      </c>
      <c r="H429" s="0" t="n">
        <v>17.1</v>
      </c>
      <c r="I429" s="0" t="n">
        <v>15.5</v>
      </c>
      <c r="J429" s="0" t="n">
        <v>9.6</v>
      </c>
      <c r="K429" s="0" t="n">
        <v>20.3133294463</v>
      </c>
      <c r="L429" s="0" t="n">
        <v>54.7373929513</v>
      </c>
      <c r="M429" s="0" t="n">
        <v>0.0558249869153</v>
      </c>
      <c r="N429" s="0" t="n">
        <v>19.7428015102</v>
      </c>
      <c r="O429" s="0" t="n">
        <v>5.1506511053</v>
      </c>
      <c r="P429" s="0" t="n">
        <f aca="false">INDEX($F429:$J429,IF(1&lt;$E429,1,1+1))</f>
        <v>17.7</v>
      </c>
      <c r="Q429" s="0" t="n">
        <f aca="false">INDEX($F429:$J429,IF(2&lt;$E429,2,2+1))</f>
        <v>17.1</v>
      </c>
      <c r="R429" s="0" t="n">
        <f aca="false">INDEX($F429:$J429,IF(3&lt;$E429,3,3+1))</f>
        <v>15.5</v>
      </c>
      <c r="S429" s="0" t="n">
        <f aca="false">INDEX($F429:$J429,IF(4&lt;$E429,4,4+1))</f>
        <v>9.6</v>
      </c>
      <c r="T429" s="0" t="n">
        <f aca="false">INDEX($K429:$O429,IF(1&lt;$E429,1,1+1))</f>
        <v>20.3133294463</v>
      </c>
      <c r="U429" s="0" t="n">
        <f aca="false">INDEX($K429:$O429,IF(2&lt;$E429,2,2+1))</f>
        <v>0.0558249869153</v>
      </c>
      <c r="V429" s="0" t="n">
        <f aca="false">INDEX($K429:$O429,IF(3&lt;$E429,3,3+1))</f>
        <v>19.7428015102</v>
      </c>
      <c r="W429" s="0" t="n">
        <f aca="false">INDEX($K429:$O429,IF(4&lt;$E429,4,4+1))</f>
        <v>5.1506511053</v>
      </c>
      <c r="X429" s="0" t="n">
        <f aca="false">1+COUNTIF($P429:$S429,"&gt;"&amp;$P429)+(COUNTIF($P429:$S429,$P429)-1)/2</f>
        <v>1</v>
      </c>
      <c r="Y429" s="0" t="n">
        <f aca="false">1+COUNTIF($P429:$S429,"&gt;"&amp;$Q429)+(COUNTIF($P429:$S429,$Q429)-1)/2</f>
        <v>2</v>
      </c>
      <c r="Z429" s="0" t="n">
        <f aca="false">1+COUNTIF($P429:$S429,"&gt;"&amp;$R429)+(COUNTIF($P429:$S429,$R429)-1)/2</f>
        <v>3</v>
      </c>
      <c r="AA429" s="0" t="n">
        <f aca="false">1+COUNTIF($P429:$S429,"&gt;"&amp;$S429)+(COUNTIF($P429:$S429,$S429)-1)/2</f>
        <v>4</v>
      </c>
      <c r="AB429" s="0" t="n">
        <f aca="false">1+COUNTIF($T429:$W429,"&gt;"&amp;$T429)+(COUNTIF($T429:$W429,$T429)-1)/2</f>
        <v>1</v>
      </c>
      <c r="AC429" s="0" t="n">
        <f aca="false">1+COUNTIF($T429:$W429,"&gt;"&amp;$U429)+(COUNTIF($T429:$W429,$U429)-1)/2</f>
        <v>4</v>
      </c>
      <c r="AD429" s="0" t="n">
        <f aca="false">1+COUNTIF($T429:$W429,"&gt;"&amp;$V429)+(COUNTIF($T429:$W429,$V429)-1)/2</f>
        <v>2</v>
      </c>
      <c r="AE429" s="0" t="n">
        <f aca="false">1+COUNTIF($T429:$W429,"&gt;"&amp;$W429)+(COUNTIF($T429:$W429,$W429)-1)/2</f>
        <v>3</v>
      </c>
      <c r="AF429" s="0" t="n">
        <f aca="false">IFERROR(CORREL($P429:$S429,$T429:$W429),"")</f>
        <v>0.334345246441084</v>
      </c>
      <c r="AG429" s="0" t="n">
        <f aca="false">IFERROR(CORREL($X429:$AA429,$AB429:$AE429),"")</f>
        <v>0.4</v>
      </c>
      <c r="AH429" s="0" t="n">
        <f aca="false">IFERROR((SIGN($P429-$Q429)*SIGN($T429-$U429)+SIGN($P429-$R429)*SIGN($T429-$V429)+SIGN($P429-$S429)*SIGN($T429-$W429)+SIGN($Q429-$R429)*SIGN($U429-$V429)+SIGN($Q429-$S429)*SIGN($U429-$W429)+SIGN($R429-$S429)*SIGN($V429-$W429))/SQRT((6-(($P429=$Q429)*1+($P429=$R429)*1+($P429=$S429)*1+($Q429=$R429)*1+($Q429=$S429)*1+($R429=$S429)*1))*(6-(($T429=$U429)*1+($T429=$V429)*1+($T429=$W429)*1+($U429=$V429)*1+($U429=$W429)*1+($V429=$W429)*1))),"")</f>
        <v>0.333333333333333</v>
      </c>
      <c r="AI429" s="0" t="n">
        <f aca="false">MATCH(MAX($K429:$O429),$K429:$O429,0)</f>
        <v>2</v>
      </c>
      <c r="AJ429" s="0" t="n">
        <f aca="false">IF(AI429&lt;&gt;$E429,1,0)</f>
        <v>0</v>
      </c>
      <c r="AK429" s="0" t="str">
        <f aca="false">IF(AJ429=1,INDEX($F429:$J429,AI429)/MAX($P429:$S429),"")</f>
        <v/>
      </c>
      <c r="AL429" s="0" t="str">
        <f aca="false">IF(AJ429=1,1+COUNTIF($P429:$S429,"&gt;"&amp;INDEX($F429:$J429,AI429)),"")</f>
        <v/>
      </c>
      <c r="AM429" s="0" t="n">
        <f aca="false">AVERAGE($P429:$S429)/MAX($P429:$S429)</f>
        <v>0.846045197740113</v>
      </c>
      <c r="AN429" s="0" t="n">
        <f aca="false">100-INDEX($F429:$J429,$E429)</f>
        <v>60</v>
      </c>
    </row>
    <row r="430" customFormat="false" ht="15" hidden="false" customHeight="false" outlineLevel="0" collapsed="false">
      <c r="A430" s="0" t="s">
        <v>57</v>
      </c>
      <c r="B430" s="0" t="n">
        <v>2020</v>
      </c>
      <c r="C430" s="0" t="s">
        <v>49</v>
      </c>
      <c r="D430" s="0" t="s">
        <v>43</v>
      </c>
      <c r="E430" s="0" t="n">
        <v>3</v>
      </c>
      <c r="F430" s="0" t="n">
        <v>7.4</v>
      </c>
      <c r="G430" s="0" t="n">
        <v>35.3</v>
      </c>
      <c r="H430" s="0" t="n">
        <v>24</v>
      </c>
      <c r="I430" s="0" t="n">
        <v>28</v>
      </c>
      <c r="J430" s="0" t="n">
        <v>5.3</v>
      </c>
      <c r="K430" s="0" t="n">
        <v>7.99530569071</v>
      </c>
      <c r="L430" s="0" t="n">
        <v>85.915897115</v>
      </c>
      <c r="M430" s="0" t="n">
        <v>1.8147278339</v>
      </c>
      <c r="N430" s="0" t="n">
        <v>1.53278271208</v>
      </c>
      <c r="O430" s="0" t="n">
        <v>2.7412866483</v>
      </c>
      <c r="P430" s="0" t="n">
        <f aca="false">INDEX($F430:$J430,IF(1&lt;$E430,1,1+1))</f>
        <v>7.4</v>
      </c>
      <c r="Q430" s="0" t="n">
        <f aca="false">INDEX($F430:$J430,IF(2&lt;$E430,2,2+1))</f>
        <v>35.3</v>
      </c>
      <c r="R430" s="0" t="n">
        <f aca="false">INDEX($F430:$J430,IF(3&lt;$E430,3,3+1))</f>
        <v>28</v>
      </c>
      <c r="S430" s="0" t="n">
        <f aca="false">INDEX($F430:$J430,IF(4&lt;$E430,4,4+1))</f>
        <v>5.3</v>
      </c>
      <c r="T430" s="0" t="n">
        <f aca="false">INDEX($K430:$O430,IF(1&lt;$E430,1,1+1))</f>
        <v>7.99530569071</v>
      </c>
      <c r="U430" s="0" t="n">
        <f aca="false">INDEX($K430:$O430,IF(2&lt;$E430,2,2+1))</f>
        <v>85.915897115</v>
      </c>
      <c r="V430" s="0" t="n">
        <f aca="false">INDEX($K430:$O430,IF(3&lt;$E430,3,3+1))</f>
        <v>1.53278271208</v>
      </c>
      <c r="W430" s="0" t="n">
        <f aca="false">INDEX($K430:$O430,IF(4&lt;$E430,4,4+1))</f>
        <v>2.7412866483</v>
      </c>
      <c r="X430" s="0" t="n">
        <f aca="false">1+COUNTIF($P430:$S430,"&gt;"&amp;$P430)+(COUNTIF($P430:$S430,$P430)-1)/2</f>
        <v>3</v>
      </c>
      <c r="Y430" s="0" t="n">
        <f aca="false">1+COUNTIF($P430:$S430,"&gt;"&amp;$Q430)+(COUNTIF($P430:$S430,$Q430)-1)/2</f>
        <v>1</v>
      </c>
      <c r="Z430" s="0" t="n">
        <f aca="false">1+COUNTIF($P430:$S430,"&gt;"&amp;$R430)+(COUNTIF($P430:$S430,$R430)-1)/2</f>
        <v>2</v>
      </c>
      <c r="AA430" s="0" t="n">
        <f aca="false">1+COUNTIF($P430:$S430,"&gt;"&amp;$S430)+(COUNTIF($P430:$S430,$S430)-1)/2</f>
        <v>4</v>
      </c>
      <c r="AB430" s="0" t="n">
        <f aca="false">1+COUNTIF($T430:$W430,"&gt;"&amp;$T430)+(COUNTIF($T430:$W430,$T430)-1)/2</f>
        <v>2</v>
      </c>
      <c r="AC430" s="0" t="n">
        <f aca="false">1+COUNTIF($T430:$W430,"&gt;"&amp;$U430)+(COUNTIF($T430:$W430,$U430)-1)/2</f>
        <v>1</v>
      </c>
      <c r="AD430" s="0" t="n">
        <f aca="false">1+COUNTIF($T430:$W430,"&gt;"&amp;$V430)+(COUNTIF($T430:$W430,$V430)-1)/2</f>
        <v>4</v>
      </c>
      <c r="AE430" s="0" t="n">
        <f aca="false">1+COUNTIF($T430:$W430,"&gt;"&amp;$W430)+(COUNTIF($T430:$W430,$W430)-1)/2</f>
        <v>3</v>
      </c>
      <c r="AF430" s="0" t="n">
        <f aca="false">IFERROR(CORREL($P430:$S430,$T430:$W430),"")</f>
        <v>0.698882764777769</v>
      </c>
      <c r="AG430" s="0" t="n">
        <f aca="false">IFERROR(CORREL($X430:$AA430,$AB430:$AE430),"")</f>
        <v>0.4</v>
      </c>
      <c r="AH430" s="0" t="n">
        <f aca="false">IFERROR((SIGN($P430-$Q430)*SIGN($T430-$U430)+SIGN($P430-$R430)*SIGN($T430-$V430)+SIGN($P430-$S430)*SIGN($T430-$W430)+SIGN($Q430-$R430)*SIGN($U430-$V430)+SIGN($Q430-$S430)*SIGN($U430-$W430)+SIGN($R430-$S430)*SIGN($V430-$W430))/SQRT((6-(($P430=$Q430)*1+($P430=$R430)*1+($P430=$S430)*1+($Q430=$R430)*1+($Q430=$S430)*1+($R430=$S430)*1))*(6-(($T430=$U430)*1+($T430=$V430)*1+($T430=$W430)*1+($U430=$V430)*1+($U430=$W430)*1+($V430=$W430)*1))),"")</f>
        <v>0.333333333333333</v>
      </c>
      <c r="AI430" s="0" t="n">
        <f aca="false">MATCH(MAX($K430:$O430),$K430:$O430,0)</f>
        <v>2</v>
      </c>
      <c r="AJ430" s="0" t="n">
        <f aca="false">IF(AI430&lt;&gt;$E430,1,0)</f>
        <v>1</v>
      </c>
      <c r="AK430" s="0" t="n">
        <f aca="false">IF(AJ430=1,INDEX($F430:$J430,AI430)/MAX($P430:$S430),"")</f>
        <v>1</v>
      </c>
      <c r="AL430" s="0" t="n">
        <f aca="false">IF(AJ430=1,1+COUNTIF($P430:$S430,"&gt;"&amp;INDEX($F430:$J430,AI430)),"")</f>
        <v>1</v>
      </c>
      <c r="AM430" s="0" t="n">
        <f aca="false">AVERAGE($P430:$S430)/MAX($P430:$S430)</f>
        <v>0.538243626062323</v>
      </c>
      <c r="AN430" s="0" t="n">
        <f aca="false">100-INDEX($F430:$J430,$E430)</f>
        <v>76</v>
      </c>
    </row>
    <row r="431" customFormat="false" ht="15" hidden="false" customHeight="false" outlineLevel="0" collapsed="false">
      <c r="A431" s="0" t="s">
        <v>57</v>
      </c>
      <c r="B431" s="0" t="n">
        <v>2020</v>
      </c>
      <c r="C431" s="0" t="s">
        <v>49</v>
      </c>
      <c r="D431" s="0" t="s">
        <v>44</v>
      </c>
      <c r="E431" s="0" t="n">
        <v>1</v>
      </c>
      <c r="F431" s="0" t="n">
        <v>55.4</v>
      </c>
      <c r="G431" s="0" t="n">
        <v>18.9</v>
      </c>
      <c r="H431" s="0" t="n">
        <v>10.1</v>
      </c>
      <c r="I431" s="0" t="n">
        <v>8.5</v>
      </c>
      <c r="J431" s="0" t="n">
        <v>7.1</v>
      </c>
      <c r="K431" s="0" t="n">
        <v>38.3019206841</v>
      </c>
      <c r="L431" s="0" t="n">
        <v>29.7237623396</v>
      </c>
      <c r="M431" s="0" t="n">
        <v>17.33174288</v>
      </c>
      <c r="N431" s="0" t="n">
        <v>8.95842327892</v>
      </c>
      <c r="O431" s="0" t="n">
        <v>5.68415081745</v>
      </c>
      <c r="P431" s="0" t="n">
        <f aca="false">INDEX($F431:$J431,IF(1&lt;$E431,1,1+1))</f>
        <v>18.9</v>
      </c>
      <c r="Q431" s="0" t="n">
        <f aca="false">INDEX($F431:$J431,IF(2&lt;$E431,2,2+1))</f>
        <v>10.1</v>
      </c>
      <c r="R431" s="0" t="n">
        <f aca="false">INDEX($F431:$J431,IF(3&lt;$E431,3,3+1))</f>
        <v>8.5</v>
      </c>
      <c r="S431" s="0" t="n">
        <f aca="false">INDEX($F431:$J431,IF(4&lt;$E431,4,4+1))</f>
        <v>7.1</v>
      </c>
      <c r="T431" s="0" t="n">
        <f aca="false">INDEX($K431:$O431,IF(1&lt;$E431,1,1+1))</f>
        <v>29.7237623396</v>
      </c>
      <c r="U431" s="0" t="n">
        <f aca="false">INDEX($K431:$O431,IF(2&lt;$E431,2,2+1))</f>
        <v>17.33174288</v>
      </c>
      <c r="V431" s="0" t="n">
        <f aca="false">INDEX($K431:$O431,IF(3&lt;$E431,3,3+1))</f>
        <v>8.95842327892</v>
      </c>
      <c r="W431" s="0" t="n">
        <f aca="false">INDEX($K431:$O431,IF(4&lt;$E431,4,4+1))</f>
        <v>5.68415081745</v>
      </c>
      <c r="X431" s="0" t="n">
        <f aca="false">1+COUNTIF($P431:$S431,"&gt;"&amp;$P431)+(COUNTIF($P431:$S431,$P431)-1)/2</f>
        <v>1</v>
      </c>
      <c r="Y431" s="0" t="n">
        <f aca="false">1+COUNTIF($P431:$S431,"&gt;"&amp;$Q431)+(COUNTIF($P431:$S431,$Q431)-1)/2</f>
        <v>2</v>
      </c>
      <c r="Z431" s="0" t="n">
        <f aca="false">1+COUNTIF($P431:$S431,"&gt;"&amp;$R431)+(COUNTIF($P431:$S431,$R431)-1)/2</f>
        <v>3</v>
      </c>
      <c r="AA431" s="0" t="n">
        <f aca="false">1+COUNTIF($P431:$S431,"&gt;"&amp;$S431)+(COUNTIF($P431:$S431,$S431)-1)/2</f>
        <v>4</v>
      </c>
      <c r="AB431" s="0" t="n">
        <f aca="false">1+COUNTIF($T431:$W431,"&gt;"&amp;$T431)+(COUNTIF($T431:$W431,$T431)-1)/2</f>
        <v>1</v>
      </c>
      <c r="AC431" s="0" t="n">
        <f aca="false">1+COUNTIF($T431:$W431,"&gt;"&amp;$U431)+(COUNTIF($T431:$W431,$U431)-1)/2</f>
        <v>2</v>
      </c>
      <c r="AD431" s="0" t="n">
        <f aca="false">1+COUNTIF($T431:$W431,"&gt;"&amp;$V431)+(COUNTIF($T431:$W431,$V431)-1)/2</f>
        <v>3</v>
      </c>
      <c r="AE431" s="0" t="n">
        <f aca="false">1+COUNTIF($T431:$W431,"&gt;"&amp;$W431)+(COUNTIF($T431:$W431,$W431)-1)/2</f>
        <v>4</v>
      </c>
      <c r="AF431" s="0" t="n">
        <f aca="false">IFERROR(CORREL($P431:$S431,$T431:$W431),"")</f>
        <v>0.968497552264335</v>
      </c>
      <c r="AG431" s="0" t="n">
        <f aca="false">IFERROR(CORREL($X431:$AA431,$AB431:$AE431),"")</f>
        <v>1</v>
      </c>
      <c r="AH431" s="0" t="n">
        <f aca="false">IFERROR((SIGN($P431-$Q431)*SIGN($T431-$U431)+SIGN($P431-$R431)*SIGN($T431-$V431)+SIGN($P431-$S431)*SIGN($T431-$W431)+SIGN($Q431-$R431)*SIGN($U431-$V431)+SIGN($Q431-$S431)*SIGN($U431-$W431)+SIGN($R431-$S431)*SIGN($V431-$W431))/SQRT((6-(($P431=$Q431)*1+($P431=$R431)*1+($P431=$S431)*1+($Q431=$R431)*1+($Q431=$S431)*1+($R431=$S431)*1))*(6-(($T431=$U431)*1+($T431=$V431)*1+($T431=$W431)*1+($U431=$V431)*1+($U431=$W431)*1+($V431=$W431)*1))),"")</f>
        <v>1</v>
      </c>
      <c r="AI431" s="0" t="n">
        <f aca="false">MATCH(MAX($K431:$O431),$K431:$O431,0)</f>
        <v>1</v>
      </c>
      <c r="AJ431" s="0" t="n">
        <f aca="false">IF(AI431&lt;&gt;$E431,1,0)</f>
        <v>0</v>
      </c>
      <c r="AK431" s="0" t="str">
        <f aca="false">IF(AJ431=1,INDEX($F431:$J431,AI431)/MAX($P431:$S431),"")</f>
        <v/>
      </c>
      <c r="AL431" s="0" t="str">
        <f aca="false">IF(AJ431=1,1+COUNTIF($P431:$S431,"&gt;"&amp;INDEX($F431:$J431,AI431)),"")</f>
        <v/>
      </c>
      <c r="AM431" s="0" t="n">
        <f aca="false">AVERAGE($P431:$S431)/MAX($P431:$S431)</f>
        <v>0.58994708994709</v>
      </c>
      <c r="AN431" s="0" t="n">
        <f aca="false">100-INDEX($F431:$J431,$E431)</f>
        <v>44.6</v>
      </c>
    </row>
    <row r="432" customFormat="false" ht="15" hidden="false" customHeight="false" outlineLevel="0" collapsed="false">
      <c r="A432" s="0" t="s">
        <v>57</v>
      </c>
      <c r="B432" s="0" t="n">
        <v>2020</v>
      </c>
      <c r="C432" s="0" t="s">
        <v>49</v>
      </c>
      <c r="D432" s="0" t="s">
        <v>45</v>
      </c>
      <c r="E432" s="0" t="n">
        <v>1</v>
      </c>
      <c r="F432" s="0" t="n">
        <v>46</v>
      </c>
      <c r="G432" s="0" t="n">
        <v>12.9</v>
      </c>
      <c r="H432" s="0" t="n">
        <v>12.6</v>
      </c>
      <c r="I432" s="0" t="n">
        <v>10.1</v>
      </c>
      <c r="J432" s="0" t="n">
        <v>18.4</v>
      </c>
      <c r="K432" s="0" t="n">
        <v>77.7316923594</v>
      </c>
      <c r="L432" s="0" t="n">
        <v>1.98953464466</v>
      </c>
      <c r="M432" s="0" t="n">
        <v>10.0933348869</v>
      </c>
      <c r="N432" s="0" t="n">
        <v>0.860908025431</v>
      </c>
      <c r="O432" s="0" t="n">
        <v>9.32453008361</v>
      </c>
      <c r="P432" s="0" t="n">
        <f aca="false">INDEX($F432:$J432,IF(1&lt;$E432,1,1+1))</f>
        <v>12.9</v>
      </c>
      <c r="Q432" s="0" t="n">
        <f aca="false">INDEX($F432:$J432,IF(2&lt;$E432,2,2+1))</f>
        <v>12.6</v>
      </c>
      <c r="R432" s="0" t="n">
        <f aca="false">INDEX($F432:$J432,IF(3&lt;$E432,3,3+1))</f>
        <v>10.1</v>
      </c>
      <c r="S432" s="0" t="n">
        <f aca="false">INDEX($F432:$J432,IF(4&lt;$E432,4,4+1))</f>
        <v>18.4</v>
      </c>
      <c r="T432" s="0" t="n">
        <f aca="false">INDEX($K432:$O432,IF(1&lt;$E432,1,1+1))</f>
        <v>1.98953464466</v>
      </c>
      <c r="U432" s="0" t="n">
        <f aca="false">INDEX($K432:$O432,IF(2&lt;$E432,2,2+1))</f>
        <v>10.0933348869</v>
      </c>
      <c r="V432" s="0" t="n">
        <f aca="false">INDEX($K432:$O432,IF(3&lt;$E432,3,3+1))</f>
        <v>0.860908025431</v>
      </c>
      <c r="W432" s="0" t="n">
        <f aca="false">INDEX($K432:$O432,IF(4&lt;$E432,4,4+1))</f>
        <v>9.32453008361</v>
      </c>
      <c r="X432" s="0" t="n">
        <f aca="false">1+COUNTIF($P432:$S432,"&gt;"&amp;$P432)+(COUNTIF($P432:$S432,$P432)-1)/2</f>
        <v>2</v>
      </c>
      <c r="Y432" s="0" t="n">
        <f aca="false">1+COUNTIF($P432:$S432,"&gt;"&amp;$Q432)+(COUNTIF($P432:$S432,$Q432)-1)/2</f>
        <v>3</v>
      </c>
      <c r="Z432" s="0" t="n">
        <f aca="false">1+COUNTIF($P432:$S432,"&gt;"&amp;$R432)+(COUNTIF($P432:$S432,$R432)-1)/2</f>
        <v>4</v>
      </c>
      <c r="AA432" s="0" t="n">
        <f aca="false">1+COUNTIF($P432:$S432,"&gt;"&amp;$S432)+(COUNTIF($P432:$S432,$S432)-1)/2</f>
        <v>1</v>
      </c>
      <c r="AB432" s="0" t="n">
        <f aca="false">1+COUNTIF($T432:$W432,"&gt;"&amp;$T432)+(COUNTIF($T432:$W432,$T432)-1)/2</f>
        <v>3</v>
      </c>
      <c r="AC432" s="0" t="n">
        <f aca="false">1+COUNTIF($T432:$W432,"&gt;"&amp;$U432)+(COUNTIF($T432:$W432,$U432)-1)/2</f>
        <v>1</v>
      </c>
      <c r="AD432" s="0" t="n">
        <f aca="false">1+COUNTIF($T432:$W432,"&gt;"&amp;$V432)+(COUNTIF($T432:$W432,$V432)-1)/2</f>
        <v>4</v>
      </c>
      <c r="AE432" s="0" t="n">
        <f aca="false">1+COUNTIF($T432:$W432,"&gt;"&amp;$W432)+(COUNTIF($T432:$W432,$W432)-1)/2</f>
        <v>2</v>
      </c>
      <c r="AF432" s="0" t="n">
        <f aca="false">IFERROR(CORREL($P432:$S432,$T432:$W432),"")</f>
        <v>0.642632571648636</v>
      </c>
      <c r="AG432" s="0" t="n">
        <f aca="false">IFERROR(CORREL($X432:$AA432,$AB432:$AE432),"")</f>
        <v>0.4</v>
      </c>
      <c r="AH432" s="0" t="n">
        <f aca="false">IFERROR((SIGN($P432-$Q432)*SIGN($T432-$U432)+SIGN($P432-$R432)*SIGN($T432-$V432)+SIGN($P432-$S432)*SIGN($T432-$W432)+SIGN($Q432-$R432)*SIGN($U432-$V432)+SIGN($Q432-$S432)*SIGN($U432-$W432)+SIGN($R432-$S432)*SIGN($V432-$W432))/SQRT((6-(($P432=$Q432)*1+($P432=$R432)*1+($P432=$S432)*1+($Q432=$R432)*1+($Q432=$S432)*1+($R432=$S432)*1))*(6-(($T432=$U432)*1+($T432=$V432)*1+($T432=$W432)*1+($U432=$V432)*1+($U432=$W432)*1+($V432=$W432)*1))),"")</f>
        <v>0.333333333333333</v>
      </c>
      <c r="AI432" s="0" t="n">
        <f aca="false">MATCH(MAX($K432:$O432),$K432:$O432,0)</f>
        <v>1</v>
      </c>
      <c r="AJ432" s="0" t="n">
        <f aca="false">IF(AI432&lt;&gt;$E432,1,0)</f>
        <v>0</v>
      </c>
      <c r="AK432" s="0" t="str">
        <f aca="false">IF(AJ432=1,INDEX($F432:$J432,AI432)/MAX($P432:$S432),"")</f>
        <v/>
      </c>
      <c r="AL432" s="0" t="str">
        <f aca="false">IF(AJ432=1,1+COUNTIF($P432:$S432,"&gt;"&amp;INDEX($F432:$J432,AI432)),"")</f>
        <v/>
      </c>
      <c r="AM432" s="0" t="n">
        <f aca="false">AVERAGE($P432:$S432)/MAX($P432:$S432)</f>
        <v>0.733695652173913</v>
      </c>
      <c r="AN432" s="0" t="n">
        <f aca="false">100-INDEX($F432:$J432,$E432)</f>
        <v>54</v>
      </c>
    </row>
    <row r="433" customFormat="false" ht="15" hidden="false" customHeight="false" outlineLevel="0" collapsed="false">
      <c r="A433" s="0" t="s">
        <v>57</v>
      </c>
      <c r="B433" s="0" t="n">
        <v>2020</v>
      </c>
      <c r="C433" s="0" t="s">
        <v>51</v>
      </c>
      <c r="D433" s="0" t="s">
        <v>42</v>
      </c>
      <c r="E433" s="0" t="n">
        <v>1</v>
      </c>
      <c r="F433" s="0" t="n">
        <v>44.1</v>
      </c>
      <c r="G433" s="0" t="n">
        <v>9.1</v>
      </c>
      <c r="H433" s="0" t="n">
        <v>4.8</v>
      </c>
      <c r="I433" s="0" t="n">
        <v>19.3</v>
      </c>
      <c r="J433" s="0" t="n">
        <v>22</v>
      </c>
      <c r="K433" s="0" t="n">
        <v>62.0240777505</v>
      </c>
      <c r="L433" s="0" t="n">
        <v>0.164385673182</v>
      </c>
      <c r="M433" s="0" t="n">
        <v>0.909506890759</v>
      </c>
      <c r="N433" s="0" t="n">
        <v>0.13205002442</v>
      </c>
      <c r="O433" s="0" t="n">
        <v>36.7699796611</v>
      </c>
      <c r="P433" s="0" t="n">
        <f aca="false">INDEX($F433:$J433,IF(1&lt;$E433,1,1+1))</f>
        <v>9.1</v>
      </c>
      <c r="Q433" s="0" t="n">
        <f aca="false">INDEX($F433:$J433,IF(2&lt;$E433,2,2+1))</f>
        <v>4.8</v>
      </c>
      <c r="R433" s="0" t="n">
        <f aca="false">INDEX($F433:$J433,IF(3&lt;$E433,3,3+1))</f>
        <v>19.3</v>
      </c>
      <c r="S433" s="0" t="n">
        <f aca="false">INDEX($F433:$J433,IF(4&lt;$E433,4,4+1))</f>
        <v>22</v>
      </c>
      <c r="T433" s="0" t="n">
        <f aca="false">INDEX($K433:$O433,IF(1&lt;$E433,1,1+1))</f>
        <v>0.164385673182</v>
      </c>
      <c r="U433" s="0" t="n">
        <f aca="false">INDEX($K433:$O433,IF(2&lt;$E433,2,2+1))</f>
        <v>0.909506890759</v>
      </c>
      <c r="V433" s="0" t="n">
        <f aca="false">INDEX($K433:$O433,IF(3&lt;$E433,3,3+1))</f>
        <v>0.13205002442</v>
      </c>
      <c r="W433" s="0" t="n">
        <f aca="false">INDEX($K433:$O433,IF(4&lt;$E433,4,4+1))</f>
        <v>36.7699796611</v>
      </c>
      <c r="X433" s="0" t="n">
        <f aca="false">1+COUNTIF($P433:$S433,"&gt;"&amp;$P433)+(COUNTIF($P433:$S433,$P433)-1)/2</f>
        <v>3</v>
      </c>
      <c r="Y433" s="0" t="n">
        <f aca="false">1+COUNTIF($P433:$S433,"&gt;"&amp;$Q433)+(COUNTIF($P433:$S433,$Q433)-1)/2</f>
        <v>4</v>
      </c>
      <c r="Z433" s="0" t="n">
        <f aca="false">1+COUNTIF($P433:$S433,"&gt;"&amp;$R433)+(COUNTIF($P433:$S433,$R433)-1)/2</f>
        <v>2</v>
      </c>
      <c r="AA433" s="0" t="n">
        <f aca="false">1+COUNTIF($P433:$S433,"&gt;"&amp;$S433)+(COUNTIF($P433:$S433,$S433)-1)/2</f>
        <v>1</v>
      </c>
      <c r="AB433" s="0" t="n">
        <f aca="false">1+COUNTIF($T433:$W433,"&gt;"&amp;$T433)+(COUNTIF($T433:$W433,$T433)-1)/2</f>
        <v>3</v>
      </c>
      <c r="AC433" s="0" t="n">
        <f aca="false">1+COUNTIF($T433:$W433,"&gt;"&amp;$U433)+(COUNTIF($T433:$W433,$U433)-1)/2</f>
        <v>2</v>
      </c>
      <c r="AD433" s="0" t="n">
        <f aca="false">1+COUNTIF($T433:$W433,"&gt;"&amp;$V433)+(COUNTIF($T433:$W433,$V433)-1)/2</f>
        <v>4</v>
      </c>
      <c r="AE433" s="0" t="n">
        <f aca="false">1+COUNTIF($T433:$W433,"&gt;"&amp;$W433)+(COUNTIF($T433:$W433,$W433)-1)/2</f>
        <v>1</v>
      </c>
      <c r="AF433" s="0" t="n">
        <f aca="false">IFERROR(CORREL($P433:$S433,$T433:$W433),"")</f>
        <v>0.65736531436383</v>
      </c>
      <c r="AG433" s="0" t="n">
        <f aca="false">IFERROR(CORREL($X433:$AA433,$AB433:$AE433),"")</f>
        <v>0.2</v>
      </c>
      <c r="AH433" s="0" t="n">
        <f aca="false">IFERROR((SIGN($P433-$Q433)*SIGN($T433-$U433)+SIGN($P433-$R433)*SIGN($T433-$V433)+SIGN($P433-$S433)*SIGN($T433-$W433)+SIGN($Q433-$R433)*SIGN($U433-$V433)+SIGN($Q433-$S433)*SIGN($U433-$W433)+SIGN($R433-$S433)*SIGN($V433-$W433))/SQRT((6-(($P433=$Q433)*1+($P433=$R433)*1+($P433=$S433)*1+($Q433=$R433)*1+($Q433=$S433)*1+($R433=$S433)*1))*(6-(($T433=$U433)*1+($T433=$V433)*1+($T433=$W433)*1+($U433=$V433)*1+($U433=$W433)*1+($V433=$W433)*1))),"")</f>
        <v>0</v>
      </c>
      <c r="AI433" s="0" t="n">
        <f aca="false">MATCH(MAX($K433:$O433),$K433:$O433,0)</f>
        <v>1</v>
      </c>
      <c r="AJ433" s="0" t="n">
        <f aca="false">IF(AI433&lt;&gt;$E433,1,0)</f>
        <v>0</v>
      </c>
      <c r="AK433" s="0" t="str">
        <f aca="false">IF(AJ433=1,INDEX($F433:$J433,AI433)/MAX($P433:$S433),"")</f>
        <v/>
      </c>
      <c r="AL433" s="0" t="str">
        <f aca="false">IF(AJ433=1,1+COUNTIF($P433:$S433,"&gt;"&amp;INDEX($F433:$J433,AI433)),"")</f>
        <v/>
      </c>
      <c r="AM433" s="0" t="n">
        <f aca="false">AVERAGE($P433:$S433)/MAX($P433:$S433)</f>
        <v>0.627272727272727</v>
      </c>
      <c r="AN433" s="0" t="n">
        <f aca="false">100-INDEX($F433:$J433,$E433)</f>
        <v>55.9</v>
      </c>
    </row>
    <row r="434" customFormat="false" ht="15" hidden="false" customHeight="false" outlineLevel="0" collapsed="false">
      <c r="A434" s="0" t="s">
        <v>57</v>
      </c>
      <c r="B434" s="0" t="n">
        <v>2020</v>
      </c>
      <c r="C434" s="0" t="s">
        <v>51</v>
      </c>
      <c r="D434" s="0" t="s">
        <v>44</v>
      </c>
      <c r="E434" s="0" t="n">
        <v>4</v>
      </c>
      <c r="F434" s="0" t="n">
        <v>21.9</v>
      </c>
      <c r="G434" s="0" t="n">
        <v>12</v>
      </c>
      <c r="H434" s="0" t="n">
        <v>18.1</v>
      </c>
      <c r="I434" s="0" t="n">
        <v>36.9</v>
      </c>
      <c r="J434" s="0" t="n">
        <v>10.3</v>
      </c>
      <c r="K434" s="0" t="n">
        <v>1.29290786612</v>
      </c>
      <c r="L434" s="0" t="n">
        <v>8.48561645405</v>
      </c>
      <c r="M434" s="0" t="n">
        <v>0.6101430665</v>
      </c>
      <c r="N434" s="0" t="n">
        <v>87.9078119219</v>
      </c>
      <c r="O434" s="0" t="n">
        <v>1.70352069148</v>
      </c>
      <c r="P434" s="0" t="n">
        <f aca="false">INDEX($F434:$J434,IF(1&lt;$E434,1,1+1))</f>
        <v>21.9</v>
      </c>
      <c r="Q434" s="0" t="n">
        <f aca="false">INDEX($F434:$J434,IF(2&lt;$E434,2,2+1))</f>
        <v>12</v>
      </c>
      <c r="R434" s="0" t="n">
        <f aca="false">INDEX($F434:$J434,IF(3&lt;$E434,3,3+1))</f>
        <v>18.1</v>
      </c>
      <c r="S434" s="0" t="n">
        <f aca="false">INDEX($F434:$J434,IF(4&lt;$E434,4,4+1))</f>
        <v>10.3</v>
      </c>
      <c r="T434" s="0" t="n">
        <f aca="false">INDEX($K434:$O434,IF(1&lt;$E434,1,1+1))</f>
        <v>1.29290786612</v>
      </c>
      <c r="U434" s="0" t="n">
        <f aca="false">INDEX($K434:$O434,IF(2&lt;$E434,2,2+1))</f>
        <v>8.48561645405</v>
      </c>
      <c r="V434" s="0" t="n">
        <f aca="false">INDEX($K434:$O434,IF(3&lt;$E434,3,3+1))</f>
        <v>0.6101430665</v>
      </c>
      <c r="W434" s="0" t="n">
        <f aca="false">INDEX($K434:$O434,IF(4&lt;$E434,4,4+1))</f>
        <v>1.70352069148</v>
      </c>
      <c r="X434" s="0" t="n">
        <f aca="false">1+COUNTIF($P434:$S434,"&gt;"&amp;$P434)+(COUNTIF($P434:$S434,$P434)-1)/2</f>
        <v>1</v>
      </c>
      <c r="Y434" s="0" t="n">
        <f aca="false">1+COUNTIF($P434:$S434,"&gt;"&amp;$Q434)+(COUNTIF($P434:$S434,$Q434)-1)/2</f>
        <v>3</v>
      </c>
      <c r="Z434" s="0" t="n">
        <f aca="false">1+COUNTIF($P434:$S434,"&gt;"&amp;$R434)+(COUNTIF($P434:$S434,$R434)-1)/2</f>
        <v>2</v>
      </c>
      <c r="AA434" s="0" t="n">
        <f aca="false">1+COUNTIF($P434:$S434,"&gt;"&amp;$S434)+(COUNTIF($P434:$S434,$S434)-1)/2</f>
        <v>4</v>
      </c>
      <c r="AB434" s="0" t="n">
        <f aca="false">1+COUNTIF($T434:$W434,"&gt;"&amp;$T434)+(COUNTIF($T434:$W434,$T434)-1)/2</f>
        <v>3</v>
      </c>
      <c r="AC434" s="0" t="n">
        <f aca="false">1+COUNTIF($T434:$W434,"&gt;"&amp;$U434)+(COUNTIF($T434:$W434,$U434)-1)/2</f>
        <v>1</v>
      </c>
      <c r="AD434" s="0" t="n">
        <f aca="false">1+COUNTIF($T434:$W434,"&gt;"&amp;$V434)+(COUNTIF($T434:$W434,$V434)-1)/2</f>
        <v>4</v>
      </c>
      <c r="AE434" s="0" t="n">
        <f aca="false">1+COUNTIF($T434:$W434,"&gt;"&amp;$W434)+(COUNTIF($T434:$W434,$W434)-1)/2</f>
        <v>2</v>
      </c>
      <c r="AF434" s="0" t="n">
        <f aca="false">IFERROR(CORREL($P434:$S434,$T434:$W434),"")</f>
        <v>-0.499401286440871</v>
      </c>
      <c r="AG434" s="0" t="n">
        <f aca="false">IFERROR(CORREL($X434:$AA434,$AB434:$AE434),"")</f>
        <v>-0.6</v>
      </c>
      <c r="AH434" s="0" t="n">
        <f aca="false">IFERROR((SIGN($P434-$Q434)*SIGN($T434-$U434)+SIGN($P434-$R434)*SIGN($T434-$V434)+SIGN($P434-$S434)*SIGN($T434-$W434)+SIGN($Q434-$R434)*SIGN($U434-$V434)+SIGN($Q434-$S434)*SIGN($U434-$W434)+SIGN($R434-$S434)*SIGN($V434-$W434))/SQRT((6-(($P434=$Q434)*1+($P434=$R434)*1+($P434=$S434)*1+($Q434=$R434)*1+($Q434=$S434)*1+($R434=$S434)*1))*(6-(($T434=$U434)*1+($T434=$V434)*1+($T434=$W434)*1+($U434=$V434)*1+($U434=$W434)*1+($V434=$W434)*1))),"")</f>
        <v>-0.333333333333333</v>
      </c>
      <c r="AI434" s="0" t="n">
        <f aca="false">MATCH(MAX($K434:$O434),$K434:$O434,0)</f>
        <v>4</v>
      </c>
      <c r="AJ434" s="0" t="n">
        <f aca="false">IF(AI434&lt;&gt;$E434,1,0)</f>
        <v>0</v>
      </c>
      <c r="AK434" s="0" t="str">
        <f aca="false">IF(AJ434=1,INDEX($F434:$J434,AI434)/MAX($P434:$S434),"")</f>
        <v/>
      </c>
      <c r="AL434" s="0" t="str">
        <f aca="false">IF(AJ434=1,1+COUNTIF($P434:$S434,"&gt;"&amp;INDEX($F434:$J434,AI434)),"")</f>
        <v/>
      </c>
      <c r="AM434" s="0" t="n">
        <f aca="false">AVERAGE($P434:$S434)/MAX($P434:$S434)</f>
        <v>0.711187214611872</v>
      </c>
      <c r="AN434" s="0" t="n">
        <f aca="false">100-INDEX($F434:$J434,$E434)</f>
        <v>63.1</v>
      </c>
    </row>
    <row r="435" customFormat="false" ht="15" hidden="false" customHeight="false" outlineLevel="0" collapsed="false">
      <c r="A435" s="0" t="s">
        <v>57</v>
      </c>
      <c r="B435" s="0" t="n">
        <v>2020</v>
      </c>
      <c r="C435" s="0" t="s">
        <v>51</v>
      </c>
      <c r="D435" s="0" t="s">
        <v>45</v>
      </c>
      <c r="E435" s="0" t="n">
        <v>4</v>
      </c>
      <c r="F435" s="0" t="n">
        <v>10</v>
      </c>
      <c r="G435" s="0" t="n">
        <v>13.5</v>
      </c>
      <c r="H435" s="0" t="n">
        <v>13.3</v>
      </c>
      <c r="I435" s="0" t="n">
        <v>51.2</v>
      </c>
      <c r="J435" s="0" t="n">
        <v>11.2</v>
      </c>
      <c r="K435" s="0" t="n">
        <v>27.7185534772</v>
      </c>
      <c r="L435" s="0" t="n">
        <v>2.65016110687</v>
      </c>
      <c r="M435" s="0" t="n">
        <v>26.7187399241</v>
      </c>
      <c r="N435" s="0" t="n">
        <v>31.2954293871</v>
      </c>
      <c r="O435" s="0" t="n">
        <v>11.6171161048</v>
      </c>
      <c r="P435" s="0" t="n">
        <f aca="false">INDEX($F435:$J435,IF(1&lt;$E435,1,1+1))</f>
        <v>10</v>
      </c>
      <c r="Q435" s="0" t="n">
        <f aca="false">INDEX($F435:$J435,IF(2&lt;$E435,2,2+1))</f>
        <v>13.5</v>
      </c>
      <c r="R435" s="0" t="n">
        <f aca="false">INDEX($F435:$J435,IF(3&lt;$E435,3,3+1))</f>
        <v>13.3</v>
      </c>
      <c r="S435" s="0" t="n">
        <f aca="false">INDEX($F435:$J435,IF(4&lt;$E435,4,4+1))</f>
        <v>11.2</v>
      </c>
      <c r="T435" s="0" t="n">
        <f aca="false">INDEX($K435:$O435,IF(1&lt;$E435,1,1+1))</f>
        <v>27.7185534772</v>
      </c>
      <c r="U435" s="0" t="n">
        <f aca="false">INDEX($K435:$O435,IF(2&lt;$E435,2,2+1))</f>
        <v>2.65016110687</v>
      </c>
      <c r="V435" s="0" t="n">
        <f aca="false">INDEX($K435:$O435,IF(3&lt;$E435,3,3+1))</f>
        <v>26.7187399241</v>
      </c>
      <c r="W435" s="0" t="n">
        <f aca="false">INDEX($K435:$O435,IF(4&lt;$E435,4,4+1))</f>
        <v>11.6171161048</v>
      </c>
      <c r="X435" s="0" t="n">
        <f aca="false">1+COUNTIF($P435:$S435,"&gt;"&amp;$P435)+(COUNTIF($P435:$S435,$P435)-1)/2</f>
        <v>4</v>
      </c>
      <c r="Y435" s="0" t="n">
        <f aca="false">1+COUNTIF($P435:$S435,"&gt;"&amp;$Q435)+(COUNTIF($P435:$S435,$Q435)-1)/2</f>
        <v>1</v>
      </c>
      <c r="Z435" s="0" t="n">
        <f aca="false">1+COUNTIF($P435:$S435,"&gt;"&amp;$R435)+(COUNTIF($P435:$S435,$R435)-1)/2</f>
        <v>2</v>
      </c>
      <c r="AA435" s="0" t="n">
        <f aca="false">1+COUNTIF($P435:$S435,"&gt;"&amp;$S435)+(COUNTIF($P435:$S435,$S435)-1)/2</f>
        <v>3</v>
      </c>
      <c r="AB435" s="0" t="n">
        <f aca="false">1+COUNTIF($T435:$W435,"&gt;"&amp;$T435)+(COUNTIF($T435:$W435,$T435)-1)/2</f>
        <v>1</v>
      </c>
      <c r="AC435" s="0" t="n">
        <f aca="false">1+COUNTIF($T435:$W435,"&gt;"&amp;$U435)+(COUNTIF($T435:$W435,$U435)-1)/2</f>
        <v>4</v>
      </c>
      <c r="AD435" s="0" t="n">
        <f aca="false">1+COUNTIF($T435:$W435,"&gt;"&amp;$V435)+(COUNTIF($T435:$W435,$V435)-1)/2</f>
        <v>2</v>
      </c>
      <c r="AE435" s="0" t="n">
        <f aca="false">1+COUNTIF($T435:$W435,"&gt;"&amp;$W435)+(COUNTIF($T435:$W435,$W435)-1)/2</f>
        <v>3</v>
      </c>
      <c r="AF435" s="0" t="n">
        <f aca="false">IFERROR(CORREL($P435:$S435,$T435:$W435),"")</f>
        <v>-0.421539321090895</v>
      </c>
      <c r="AG435" s="0" t="n">
        <f aca="false">IFERROR(CORREL($X435:$AA435,$AB435:$AE435),"")</f>
        <v>-0.8</v>
      </c>
      <c r="AH435" s="0" t="n">
        <f aca="false">IFERROR((SIGN($P435-$Q435)*SIGN($T435-$U435)+SIGN($P435-$R435)*SIGN($T435-$V435)+SIGN($P435-$S435)*SIGN($T435-$W435)+SIGN($Q435-$R435)*SIGN($U435-$V435)+SIGN($Q435-$S435)*SIGN($U435-$W435)+SIGN($R435-$S435)*SIGN($V435-$W435))/SQRT((6-(($P435=$Q435)*1+($P435=$R435)*1+($P435=$S435)*1+($Q435=$R435)*1+($Q435=$S435)*1+($R435=$S435)*1))*(6-(($T435=$U435)*1+($T435=$V435)*1+($T435=$W435)*1+($U435=$V435)*1+($U435=$W435)*1+($V435=$W435)*1))),"")</f>
        <v>-0.666666666666667</v>
      </c>
      <c r="AI435" s="0" t="n">
        <f aca="false">MATCH(MAX($K435:$O435),$K435:$O435,0)</f>
        <v>4</v>
      </c>
      <c r="AJ435" s="0" t="n">
        <f aca="false">IF(AI435&lt;&gt;$E435,1,0)</f>
        <v>0</v>
      </c>
      <c r="AK435" s="0" t="str">
        <f aca="false">IF(AJ435=1,INDEX($F435:$J435,AI435)/MAX($P435:$S435),"")</f>
        <v/>
      </c>
      <c r="AL435" s="0" t="str">
        <f aca="false">IF(AJ435=1,1+COUNTIF($P435:$S435,"&gt;"&amp;INDEX($F435:$J435,AI435)),"")</f>
        <v/>
      </c>
      <c r="AM435" s="0" t="n">
        <f aca="false">AVERAGE($P435:$S435)/MAX($P435:$S435)</f>
        <v>0.888888888888889</v>
      </c>
      <c r="AN435" s="0" t="n">
        <f aca="false">100-INDEX($F435:$J435,$E435)</f>
        <v>48.8</v>
      </c>
    </row>
    <row r="436" customFormat="false" ht="15" hidden="false" customHeight="false" outlineLevel="0" collapsed="false">
      <c r="A436" s="0" t="s">
        <v>57</v>
      </c>
      <c r="B436" s="0" t="n">
        <v>2020</v>
      </c>
      <c r="C436" s="0" t="s">
        <v>46</v>
      </c>
      <c r="D436" s="0" t="s">
        <v>42</v>
      </c>
      <c r="E436" s="0" t="n">
        <v>1</v>
      </c>
      <c r="F436" s="0" t="n">
        <v>45.1</v>
      </c>
      <c r="G436" s="0" t="n">
        <v>18.3</v>
      </c>
      <c r="H436" s="0" t="n">
        <v>14.6</v>
      </c>
      <c r="I436" s="0" t="n">
        <v>14.2</v>
      </c>
      <c r="J436" s="0" t="n">
        <v>7.8</v>
      </c>
      <c r="K436" s="0" t="n">
        <v>97.3333712644</v>
      </c>
      <c r="L436" s="0" t="n">
        <v>1.77911851776</v>
      </c>
      <c r="M436" s="0" t="n">
        <v>0.490954972554</v>
      </c>
      <c r="N436" s="0" t="n">
        <v>0.0492532460911</v>
      </c>
      <c r="O436" s="0" t="n">
        <v>0.34730199916</v>
      </c>
      <c r="P436" s="0" t="n">
        <f aca="false">INDEX($F436:$J436,IF(1&lt;$E436,1,1+1))</f>
        <v>18.3</v>
      </c>
      <c r="Q436" s="0" t="n">
        <f aca="false">INDEX($F436:$J436,IF(2&lt;$E436,2,2+1))</f>
        <v>14.6</v>
      </c>
      <c r="R436" s="0" t="n">
        <f aca="false">INDEX($F436:$J436,IF(3&lt;$E436,3,3+1))</f>
        <v>14.2</v>
      </c>
      <c r="S436" s="0" t="n">
        <f aca="false">INDEX($F436:$J436,IF(4&lt;$E436,4,4+1))</f>
        <v>7.8</v>
      </c>
      <c r="T436" s="0" t="n">
        <f aca="false">INDEX($K436:$O436,IF(1&lt;$E436,1,1+1))</f>
        <v>1.77911851776</v>
      </c>
      <c r="U436" s="0" t="n">
        <f aca="false">INDEX($K436:$O436,IF(2&lt;$E436,2,2+1))</f>
        <v>0.490954972554</v>
      </c>
      <c r="V436" s="0" t="n">
        <f aca="false">INDEX($K436:$O436,IF(3&lt;$E436,3,3+1))</f>
        <v>0.0492532460911</v>
      </c>
      <c r="W436" s="0" t="n">
        <f aca="false">INDEX($K436:$O436,IF(4&lt;$E436,4,4+1))</f>
        <v>0.34730199916</v>
      </c>
      <c r="X436" s="0" t="n">
        <f aca="false">1+COUNTIF($P436:$S436,"&gt;"&amp;$P436)+(COUNTIF($P436:$S436,$P436)-1)/2</f>
        <v>1</v>
      </c>
      <c r="Y436" s="0" t="n">
        <f aca="false">1+COUNTIF($P436:$S436,"&gt;"&amp;$Q436)+(COUNTIF($P436:$S436,$Q436)-1)/2</f>
        <v>2</v>
      </c>
      <c r="Z436" s="0" t="n">
        <f aca="false">1+COUNTIF($P436:$S436,"&gt;"&amp;$R436)+(COUNTIF($P436:$S436,$R436)-1)/2</f>
        <v>3</v>
      </c>
      <c r="AA436" s="0" t="n">
        <f aca="false">1+COUNTIF($P436:$S436,"&gt;"&amp;$S436)+(COUNTIF($P436:$S436,$S436)-1)/2</f>
        <v>4</v>
      </c>
      <c r="AB436" s="0" t="n">
        <f aca="false">1+COUNTIF($T436:$W436,"&gt;"&amp;$T436)+(COUNTIF($T436:$W436,$T436)-1)/2</f>
        <v>1</v>
      </c>
      <c r="AC436" s="0" t="n">
        <f aca="false">1+COUNTIF($T436:$W436,"&gt;"&amp;$U436)+(COUNTIF($T436:$W436,$U436)-1)/2</f>
        <v>2</v>
      </c>
      <c r="AD436" s="0" t="n">
        <f aca="false">1+COUNTIF($T436:$W436,"&gt;"&amp;$V436)+(COUNTIF($T436:$W436,$V436)-1)/2</f>
        <v>4</v>
      </c>
      <c r="AE436" s="0" t="n">
        <f aca="false">1+COUNTIF($T436:$W436,"&gt;"&amp;$W436)+(COUNTIF($T436:$W436,$W436)-1)/2</f>
        <v>3</v>
      </c>
      <c r="AF436" s="0" t="n">
        <f aca="false">IFERROR(CORREL($P436:$S436,$T436:$W436),"")</f>
        <v>0.653827002667914</v>
      </c>
      <c r="AG436" s="0" t="n">
        <f aca="false">IFERROR(CORREL($X436:$AA436,$AB436:$AE436),"")</f>
        <v>0.8</v>
      </c>
      <c r="AH436" s="0" t="n">
        <f aca="false">IFERROR((SIGN($P436-$Q436)*SIGN($T436-$U436)+SIGN($P436-$R436)*SIGN($T436-$V436)+SIGN($P436-$S436)*SIGN($T436-$W436)+SIGN($Q436-$R436)*SIGN($U436-$V436)+SIGN($Q436-$S436)*SIGN($U436-$W436)+SIGN($R436-$S436)*SIGN($V436-$W436))/SQRT((6-(($P436=$Q436)*1+($P436=$R436)*1+($P436=$S436)*1+($Q436=$R436)*1+($Q436=$S436)*1+($R436=$S436)*1))*(6-(($T436=$U436)*1+($T436=$V436)*1+($T436=$W436)*1+($U436=$V436)*1+($U436=$W436)*1+($V436=$W436)*1))),"")</f>
        <v>0.666666666666667</v>
      </c>
      <c r="AI436" s="0" t="n">
        <f aca="false">MATCH(MAX($K436:$O436),$K436:$O436,0)</f>
        <v>1</v>
      </c>
      <c r="AJ436" s="0" t="n">
        <f aca="false">IF(AI436&lt;&gt;$E436,1,0)</f>
        <v>0</v>
      </c>
      <c r="AK436" s="0" t="str">
        <f aca="false">IF(AJ436=1,INDEX($F436:$J436,AI436)/MAX($P436:$S436),"")</f>
        <v/>
      </c>
      <c r="AL436" s="0" t="str">
        <f aca="false">IF(AJ436=1,1+COUNTIF($P436:$S436,"&gt;"&amp;INDEX($F436:$J436,AI436)),"")</f>
        <v/>
      </c>
      <c r="AM436" s="0" t="n">
        <f aca="false">AVERAGE($P436:$S436)/MAX($P436:$S436)</f>
        <v>0.75</v>
      </c>
      <c r="AN436" s="0" t="n">
        <f aca="false">100-INDEX($F436:$J436,$E436)</f>
        <v>54.9</v>
      </c>
    </row>
    <row r="437" customFormat="false" ht="15" hidden="false" customHeight="false" outlineLevel="0" collapsed="false">
      <c r="A437" s="0" t="s">
        <v>57</v>
      </c>
      <c r="B437" s="0" t="n">
        <v>2020</v>
      </c>
      <c r="C437" s="0" t="s">
        <v>46</v>
      </c>
      <c r="D437" s="0" t="s">
        <v>43</v>
      </c>
      <c r="E437" s="0" t="n">
        <v>1</v>
      </c>
      <c r="F437" s="0" t="n">
        <v>55.7</v>
      </c>
      <c r="G437" s="0" t="n">
        <v>12.3</v>
      </c>
      <c r="H437" s="0" t="n">
        <v>9.9</v>
      </c>
      <c r="I437" s="0" t="n">
        <v>9.9</v>
      </c>
      <c r="J437" s="0" t="n">
        <v>12.3</v>
      </c>
      <c r="K437" s="0" t="n">
        <v>24.6031058821</v>
      </c>
      <c r="L437" s="0" t="n">
        <v>13.17990939</v>
      </c>
      <c r="M437" s="0" t="n">
        <v>17.2517229418</v>
      </c>
      <c r="N437" s="0" t="n">
        <v>5.199123938</v>
      </c>
      <c r="O437" s="0" t="n">
        <v>39.7661378481</v>
      </c>
      <c r="P437" s="0" t="n">
        <f aca="false">INDEX($F437:$J437,IF(1&lt;$E437,1,1+1))</f>
        <v>12.3</v>
      </c>
      <c r="Q437" s="0" t="n">
        <f aca="false">INDEX($F437:$J437,IF(2&lt;$E437,2,2+1))</f>
        <v>9.9</v>
      </c>
      <c r="R437" s="0" t="n">
        <f aca="false">INDEX($F437:$J437,IF(3&lt;$E437,3,3+1))</f>
        <v>9.9</v>
      </c>
      <c r="S437" s="0" t="n">
        <f aca="false">INDEX($F437:$J437,IF(4&lt;$E437,4,4+1))</f>
        <v>12.3</v>
      </c>
      <c r="T437" s="0" t="n">
        <f aca="false">INDEX($K437:$O437,IF(1&lt;$E437,1,1+1))</f>
        <v>13.17990939</v>
      </c>
      <c r="U437" s="0" t="n">
        <f aca="false">INDEX($K437:$O437,IF(2&lt;$E437,2,2+1))</f>
        <v>17.2517229418</v>
      </c>
      <c r="V437" s="0" t="n">
        <f aca="false">INDEX($K437:$O437,IF(3&lt;$E437,3,3+1))</f>
        <v>5.199123938</v>
      </c>
      <c r="W437" s="0" t="n">
        <f aca="false">INDEX($K437:$O437,IF(4&lt;$E437,4,4+1))</f>
        <v>39.7661378481</v>
      </c>
      <c r="X437" s="0" t="n">
        <f aca="false">1+COUNTIF($P437:$S437,"&gt;"&amp;$P437)+(COUNTIF($P437:$S437,$P437)-1)/2</f>
        <v>1.5</v>
      </c>
      <c r="Y437" s="0" t="n">
        <f aca="false">1+COUNTIF($P437:$S437,"&gt;"&amp;$Q437)+(COUNTIF($P437:$S437,$Q437)-1)/2</f>
        <v>3.5</v>
      </c>
      <c r="Z437" s="0" t="n">
        <f aca="false">1+COUNTIF($P437:$S437,"&gt;"&amp;$R437)+(COUNTIF($P437:$S437,$R437)-1)/2</f>
        <v>3.5</v>
      </c>
      <c r="AA437" s="0" t="n">
        <f aca="false">1+COUNTIF($P437:$S437,"&gt;"&amp;$S437)+(COUNTIF($P437:$S437,$S437)-1)/2</f>
        <v>1.5</v>
      </c>
      <c r="AB437" s="0" t="n">
        <f aca="false">1+COUNTIF($T437:$W437,"&gt;"&amp;$T437)+(COUNTIF($T437:$W437,$T437)-1)/2</f>
        <v>3</v>
      </c>
      <c r="AC437" s="0" t="n">
        <f aca="false">1+COUNTIF($T437:$W437,"&gt;"&amp;$U437)+(COUNTIF($T437:$W437,$U437)-1)/2</f>
        <v>2</v>
      </c>
      <c r="AD437" s="0" t="n">
        <f aca="false">1+COUNTIF($T437:$W437,"&gt;"&amp;$V437)+(COUNTIF($T437:$W437,$V437)-1)/2</f>
        <v>4</v>
      </c>
      <c r="AE437" s="0" t="n">
        <f aca="false">1+COUNTIF($T437:$W437,"&gt;"&amp;$W437)+(COUNTIF($T437:$W437,$W437)-1)/2</f>
        <v>1</v>
      </c>
      <c r="AF437" s="0" t="n">
        <f aca="false">IFERROR(CORREL($P437:$S437,$T437:$W437),"")</f>
        <v>0.594171543860373</v>
      </c>
      <c r="AG437" s="0" t="n">
        <f aca="false">IFERROR(CORREL($X437:$AA437,$AB437:$AE437),"")</f>
        <v>0.447213595499958</v>
      </c>
      <c r="AH437" s="0" t="n">
        <f aca="false">IFERROR((SIGN($P437-$Q437)*SIGN($T437-$U437)+SIGN($P437-$R437)*SIGN($T437-$V437)+SIGN($P437-$S437)*SIGN($T437-$W437)+SIGN($Q437-$R437)*SIGN($U437-$V437)+SIGN($Q437-$S437)*SIGN($U437-$W437)+SIGN($R437-$S437)*SIGN($V437-$W437))/SQRT((6-(($P437=$Q437)*1+($P437=$R437)*1+($P437=$S437)*1+($Q437=$R437)*1+($Q437=$S437)*1+($R437=$S437)*1))*(6-(($T437=$U437)*1+($T437=$V437)*1+($T437=$W437)*1+($U437=$V437)*1+($U437=$W437)*1+($V437=$W437)*1))),"")</f>
        <v>0.408248290463863</v>
      </c>
      <c r="AI437" s="0" t="n">
        <f aca="false">MATCH(MAX($K437:$O437),$K437:$O437,0)</f>
        <v>5</v>
      </c>
      <c r="AJ437" s="0" t="n">
        <f aca="false">IF(AI437&lt;&gt;$E437,1,0)</f>
        <v>1</v>
      </c>
      <c r="AK437" s="0" t="n">
        <f aca="false">IF(AJ437=1,INDEX($F437:$J437,AI437)/MAX($P437:$S437),"")</f>
        <v>1</v>
      </c>
      <c r="AL437" s="0" t="n">
        <f aca="false">IF(AJ437=1,1+COUNTIF($P437:$S437,"&gt;"&amp;INDEX($F437:$J437,AI437)),"")</f>
        <v>1</v>
      </c>
      <c r="AM437" s="0" t="n">
        <f aca="false">AVERAGE($P437:$S437)/MAX($P437:$S437)</f>
        <v>0.902439024390244</v>
      </c>
      <c r="AN437" s="0" t="n">
        <f aca="false">100-INDEX($F437:$J437,$E437)</f>
        <v>44.3</v>
      </c>
    </row>
    <row r="438" customFormat="false" ht="15" hidden="false" customHeight="false" outlineLevel="0" collapsed="false">
      <c r="A438" s="0" t="s">
        <v>57</v>
      </c>
      <c r="B438" s="0" t="n">
        <v>2020</v>
      </c>
      <c r="C438" s="0" t="s">
        <v>46</v>
      </c>
      <c r="D438" s="0" t="s">
        <v>44</v>
      </c>
      <c r="E438" s="0" t="n">
        <v>5</v>
      </c>
      <c r="F438" s="0" t="n">
        <v>9.5</v>
      </c>
      <c r="G438" s="0" t="n">
        <v>10.3</v>
      </c>
      <c r="H438" s="0" t="n">
        <v>11.9</v>
      </c>
      <c r="I438" s="0" t="n">
        <v>21.8</v>
      </c>
      <c r="J438" s="0" t="n">
        <v>46.5</v>
      </c>
      <c r="K438" s="0" t="n">
        <v>0.684803982726</v>
      </c>
      <c r="L438" s="0" t="n">
        <v>1.80583114259</v>
      </c>
      <c r="M438" s="0" t="n">
        <v>12.0541916079</v>
      </c>
      <c r="N438" s="0" t="n">
        <v>60.7479153939</v>
      </c>
      <c r="O438" s="0" t="n">
        <v>24.7072578729</v>
      </c>
      <c r="P438" s="0" t="n">
        <f aca="false">INDEX($F438:$J438,IF(1&lt;$E438,1,1+1))</f>
        <v>9.5</v>
      </c>
      <c r="Q438" s="0" t="n">
        <f aca="false">INDEX($F438:$J438,IF(2&lt;$E438,2,2+1))</f>
        <v>10.3</v>
      </c>
      <c r="R438" s="0" t="n">
        <f aca="false">INDEX($F438:$J438,IF(3&lt;$E438,3,3+1))</f>
        <v>11.9</v>
      </c>
      <c r="S438" s="0" t="n">
        <f aca="false">INDEX($F438:$J438,IF(4&lt;$E438,4,4+1))</f>
        <v>21.8</v>
      </c>
      <c r="T438" s="0" t="n">
        <f aca="false">INDEX($K438:$O438,IF(1&lt;$E438,1,1+1))</f>
        <v>0.684803982726</v>
      </c>
      <c r="U438" s="0" t="n">
        <f aca="false">INDEX($K438:$O438,IF(2&lt;$E438,2,2+1))</f>
        <v>1.80583114259</v>
      </c>
      <c r="V438" s="0" t="n">
        <f aca="false">INDEX($K438:$O438,IF(3&lt;$E438,3,3+1))</f>
        <v>12.0541916079</v>
      </c>
      <c r="W438" s="0" t="n">
        <f aca="false">INDEX($K438:$O438,IF(4&lt;$E438,4,4+1))</f>
        <v>60.7479153939</v>
      </c>
      <c r="X438" s="0" t="n">
        <f aca="false">1+COUNTIF($P438:$S438,"&gt;"&amp;$P438)+(COUNTIF($P438:$S438,$P438)-1)/2</f>
        <v>4</v>
      </c>
      <c r="Y438" s="0" t="n">
        <f aca="false">1+COUNTIF($P438:$S438,"&gt;"&amp;$Q438)+(COUNTIF($P438:$S438,$Q438)-1)/2</f>
        <v>3</v>
      </c>
      <c r="Z438" s="0" t="n">
        <f aca="false">1+COUNTIF($P438:$S438,"&gt;"&amp;$R438)+(COUNTIF($P438:$S438,$R438)-1)/2</f>
        <v>2</v>
      </c>
      <c r="AA438" s="0" t="n">
        <f aca="false">1+COUNTIF($P438:$S438,"&gt;"&amp;$S438)+(COUNTIF($P438:$S438,$S438)-1)/2</f>
        <v>1</v>
      </c>
      <c r="AB438" s="0" t="n">
        <f aca="false">1+COUNTIF($T438:$W438,"&gt;"&amp;$T438)+(COUNTIF($T438:$W438,$T438)-1)/2</f>
        <v>4</v>
      </c>
      <c r="AC438" s="0" t="n">
        <f aca="false">1+COUNTIF($T438:$W438,"&gt;"&amp;$U438)+(COUNTIF($T438:$W438,$U438)-1)/2</f>
        <v>3</v>
      </c>
      <c r="AD438" s="0" t="n">
        <f aca="false">1+COUNTIF($T438:$W438,"&gt;"&amp;$V438)+(COUNTIF($T438:$W438,$V438)-1)/2</f>
        <v>2</v>
      </c>
      <c r="AE438" s="0" t="n">
        <f aca="false">1+COUNTIF($T438:$W438,"&gt;"&amp;$W438)+(COUNTIF($T438:$W438,$W438)-1)/2</f>
        <v>1</v>
      </c>
      <c r="AF438" s="0" t="n">
        <f aca="false">IFERROR(CORREL($P438:$S438,$T438:$W438),"")</f>
        <v>0.999054370577815</v>
      </c>
      <c r="AG438" s="0" t="n">
        <f aca="false">IFERROR(CORREL($X438:$AA438,$AB438:$AE438),"")</f>
        <v>1</v>
      </c>
      <c r="AH438" s="0" t="n">
        <f aca="false">IFERROR((SIGN($P438-$Q438)*SIGN($T438-$U438)+SIGN($P438-$R438)*SIGN($T438-$V438)+SIGN($P438-$S438)*SIGN($T438-$W438)+SIGN($Q438-$R438)*SIGN($U438-$V438)+SIGN($Q438-$S438)*SIGN($U438-$W438)+SIGN($R438-$S438)*SIGN($V438-$W438))/SQRT((6-(($P438=$Q438)*1+($P438=$R438)*1+($P438=$S438)*1+($Q438=$R438)*1+($Q438=$S438)*1+($R438=$S438)*1))*(6-(($T438=$U438)*1+($T438=$V438)*1+($T438=$W438)*1+($U438=$V438)*1+($U438=$W438)*1+($V438=$W438)*1))),"")</f>
        <v>1</v>
      </c>
      <c r="AI438" s="0" t="n">
        <f aca="false">MATCH(MAX($K438:$O438),$K438:$O438,0)</f>
        <v>4</v>
      </c>
      <c r="AJ438" s="0" t="n">
        <f aca="false">IF(AI438&lt;&gt;$E438,1,0)</f>
        <v>1</v>
      </c>
      <c r="AK438" s="0" t="n">
        <f aca="false">IF(AJ438=1,INDEX($F438:$J438,AI438)/MAX($P438:$S438),"")</f>
        <v>1</v>
      </c>
      <c r="AL438" s="0" t="n">
        <f aca="false">IF(AJ438=1,1+COUNTIF($P438:$S438,"&gt;"&amp;INDEX($F438:$J438,AI438)),"")</f>
        <v>1</v>
      </c>
      <c r="AM438" s="0" t="n">
        <f aca="false">AVERAGE($P438:$S438)/MAX($P438:$S438)</f>
        <v>0.613532110091743</v>
      </c>
      <c r="AN438" s="0" t="n">
        <f aca="false">100-INDEX($F438:$J438,$E438)</f>
        <v>53.5</v>
      </c>
    </row>
    <row r="439" customFormat="false" ht="15" hidden="false" customHeight="false" outlineLevel="0" collapsed="false">
      <c r="A439" s="0" t="s">
        <v>57</v>
      </c>
      <c r="B439" s="0" t="n">
        <v>2020</v>
      </c>
      <c r="C439" s="0" t="s">
        <v>46</v>
      </c>
      <c r="D439" s="0" t="s">
        <v>45</v>
      </c>
      <c r="E439" s="0" t="n">
        <v>5</v>
      </c>
      <c r="F439" s="0" t="n">
        <v>12.3</v>
      </c>
      <c r="G439" s="0" t="n">
        <v>18.3</v>
      </c>
      <c r="H439" s="0" t="n">
        <v>14</v>
      </c>
      <c r="I439" s="0" t="n">
        <v>18.8</v>
      </c>
      <c r="J439" s="0" t="n">
        <v>36.7</v>
      </c>
      <c r="K439" s="0" t="n">
        <v>68.5586390671</v>
      </c>
      <c r="L439" s="0" t="n">
        <v>7.72677595454</v>
      </c>
      <c r="M439" s="0" t="n">
        <v>8.76872184336</v>
      </c>
      <c r="N439" s="0" t="n">
        <v>11.9254067253</v>
      </c>
      <c r="O439" s="0" t="n">
        <v>3.02045640972</v>
      </c>
      <c r="P439" s="0" t="n">
        <f aca="false">INDEX($F439:$J439,IF(1&lt;$E439,1,1+1))</f>
        <v>12.3</v>
      </c>
      <c r="Q439" s="0" t="n">
        <f aca="false">INDEX($F439:$J439,IF(2&lt;$E439,2,2+1))</f>
        <v>18.3</v>
      </c>
      <c r="R439" s="0" t="n">
        <f aca="false">INDEX($F439:$J439,IF(3&lt;$E439,3,3+1))</f>
        <v>14</v>
      </c>
      <c r="S439" s="0" t="n">
        <f aca="false">INDEX($F439:$J439,IF(4&lt;$E439,4,4+1))</f>
        <v>18.8</v>
      </c>
      <c r="T439" s="0" t="n">
        <f aca="false">INDEX($K439:$O439,IF(1&lt;$E439,1,1+1))</f>
        <v>68.5586390671</v>
      </c>
      <c r="U439" s="0" t="n">
        <f aca="false">INDEX($K439:$O439,IF(2&lt;$E439,2,2+1))</f>
        <v>7.72677595454</v>
      </c>
      <c r="V439" s="0" t="n">
        <f aca="false">INDEX($K439:$O439,IF(3&lt;$E439,3,3+1))</f>
        <v>8.76872184336</v>
      </c>
      <c r="W439" s="0" t="n">
        <f aca="false">INDEX($K439:$O439,IF(4&lt;$E439,4,4+1))</f>
        <v>11.9254067253</v>
      </c>
      <c r="X439" s="0" t="n">
        <f aca="false">1+COUNTIF($P439:$S439,"&gt;"&amp;$P439)+(COUNTIF($P439:$S439,$P439)-1)/2</f>
        <v>4</v>
      </c>
      <c r="Y439" s="0" t="n">
        <f aca="false">1+COUNTIF($P439:$S439,"&gt;"&amp;$Q439)+(COUNTIF($P439:$S439,$Q439)-1)/2</f>
        <v>2</v>
      </c>
      <c r="Z439" s="0" t="n">
        <f aca="false">1+COUNTIF($P439:$S439,"&gt;"&amp;$R439)+(COUNTIF($P439:$S439,$R439)-1)/2</f>
        <v>3</v>
      </c>
      <c r="AA439" s="0" t="n">
        <f aca="false">1+COUNTIF($P439:$S439,"&gt;"&amp;$S439)+(COUNTIF($P439:$S439,$S439)-1)/2</f>
        <v>1</v>
      </c>
      <c r="AB439" s="0" t="n">
        <f aca="false">1+COUNTIF($T439:$W439,"&gt;"&amp;$T439)+(COUNTIF($T439:$W439,$T439)-1)/2</f>
        <v>1</v>
      </c>
      <c r="AC439" s="0" t="n">
        <f aca="false">1+COUNTIF($T439:$W439,"&gt;"&amp;$U439)+(COUNTIF($T439:$W439,$U439)-1)/2</f>
        <v>4</v>
      </c>
      <c r="AD439" s="0" t="n">
        <f aca="false">1+COUNTIF($T439:$W439,"&gt;"&amp;$V439)+(COUNTIF($T439:$W439,$V439)-1)/2</f>
        <v>3</v>
      </c>
      <c r="AE439" s="0" t="n">
        <f aca="false">1+COUNTIF($T439:$W439,"&gt;"&amp;$W439)+(COUNTIF($T439:$W439,$W439)-1)/2</f>
        <v>2</v>
      </c>
      <c r="AF439" s="0" t="n">
        <f aca="false">IFERROR(CORREL($P439:$S439,$T439:$W439),"")</f>
        <v>-0.723136314987407</v>
      </c>
      <c r="AG439" s="0" t="n">
        <f aca="false">IFERROR(CORREL($X439:$AA439,$AB439:$AE439),"")</f>
        <v>-0.4</v>
      </c>
      <c r="AH439" s="0" t="n">
        <f aca="false">IFERROR((SIGN($P439-$Q439)*SIGN($T439-$U439)+SIGN($P439-$R439)*SIGN($T439-$V439)+SIGN($P439-$S439)*SIGN($T439-$W439)+SIGN($Q439-$R439)*SIGN($U439-$V439)+SIGN($Q439-$S439)*SIGN($U439-$W439)+SIGN($R439-$S439)*SIGN($V439-$W439))/SQRT((6-(($P439=$Q439)*1+($P439=$R439)*1+($P439=$S439)*1+($Q439=$R439)*1+($Q439=$S439)*1+($R439=$S439)*1))*(6-(($T439=$U439)*1+($T439=$V439)*1+($T439=$W439)*1+($U439=$V439)*1+($U439=$W439)*1+($V439=$W439)*1))),"")</f>
        <v>-0.333333333333333</v>
      </c>
      <c r="AI439" s="0" t="n">
        <f aca="false">MATCH(MAX($K439:$O439),$K439:$O439,0)</f>
        <v>1</v>
      </c>
      <c r="AJ439" s="0" t="n">
        <f aca="false">IF(AI439&lt;&gt;$E439,1,0)</f>
        <v>1</v>
      </c>
      <c r="AK439" s="0" t="n">
        <f aca="false">IF(AJ439=1,INDEX($F439:$J439,AI439)/MAX($P439:$S439),"")</f>
        <v>0.654255319148936</v>
      </c>
      <c r="AL439" s="0" t="n">
        <f aca="false">IF(AJ439=1,1+COUNTIF($P439:$S439,"&gt;"&amp;INDEX($F439:$J439,AI439)),"")</f>
        <v>4</v>
      </c>
      <c r="AM439" s="0" t="n">
        <f aca="false">AVERAGE($P439:$S439)/MAX($P439:$S439)</f>
        <v>0.843085106382979</v>
      </c>
      <c r="AN439" s="0" t="n">
        <f aca="false">100-INDEX($F439:$J439,$E439)</f>
        <v>63.3</v>
      </c>
    </row>
    <row r="440" customFormat="false" ht="15" hidden="false" customHeight="false" outlineLevel="0" collapsed="false">
      <c r="A440" s="0" t="s">
        <v>57</v>
      </c>
      <c r="B440" s="0" t="n">
        <v>2019</v>
      </c>
      <c r="C440" s="0" t="s">
        <v>58</v>
      </c>
      <c r="D440" s="0" t="s">
        <v>43</v>
      </c>
      <c r="E440" s="0" t="n">
        <v>2</v>
      </c>
      <c r="F440" s="0" t="n">
        <v>13.2</v>
      </c>
      <c r="G440" s="0" t="n">
        <v>47.8</v>
      </c>
      <c r="H440" s="0" t="n">
        <v>8.5</v>
      </c>
      <c r="I440" s="0" t="n">
        <v>20.2</v>
      </c>
      <c r="J440" s="0" t="n">
        <v>10.2</v>
      </c>
      <c r="K440" s="0" t="n">
        <v>53.0513440185</v>
      </c>
      <c r="L440" s="0" t="n">
        <v>25.1644889837</v>
      </c>
      <c r="M440" s="0" t="n">
        <v>5.37147161698</v>
      </c>
      <c r="N440" s="0" t="n">
        <v>8.86928248081</v>
      </c>
      <c r="O440" s="0" t="n">
        <v>7.54341289998</v>
      </c>
      <c r="P440" s="0" t="n">
        <f aca="false">INDEX($F440:$J440,IF(1&lt;$E440,1,1+1))</f>
        <v>13.2</v>
      </c>
      <c r="Q440" s="0" t="n">
        <f aca="false">INDEX($F440:$J440,IF(2&lt;$E440,2,2+1))</f>
        <v>8.5</v>
      </c>
      <c r="R440" s="0" t="n">
        <f aca="false">INDEX($F440:$J440,IF(3&lt;$E440,3,3+1))</f>
        <v>20.2</v>
      </c>
      <c r="S440" s="0" t="n">
        <f aca="false">INDEX($F440:$J440,IF(4&lt;$E440,4,4+1))</f>
        <v>10.2</v>
      </c>
      <c r="T440" s="0" t="n">
        <f aca="false">INDEX($K440:$O440,IF(1&lt;$E440,1,1+1))</f>
        <v>53.0513440185</v>
      </c>
      <c r="U440" s="0" t="n">
        <f aca="false">INDEX($K440:$O440,IF(2&lt;$E440,2,2+1))</f>
        <v>5.37147161698</v>
      </c>
      <c r="V440" s="0" t="n">
        <f aca="false">INDEX($K440:$O440,IF(3&lt;$E440,3,3+1))</f>
        <v>8.86928248081</v>
      </c>
      <c r="W440" s="0" t="n">
        <f aca="false">INDEX($K440:$O440,IF(4&lt;$E440,4,4+1))</f>
        <v>7.54341289998</v>
      </c>
      <c r="X440" s="0" t="n">
        <f aca="false">1+COUNTIF($P440:$S440,"&gt;"&amp;$P440)+(COUNTIF($P440:$S440,$P440)-1)/2</f>
        <v>2</v>
      </c>
      <c r="Y440" s="0" t="n">
        <f aca="false">1+COUNTIF($P440:$S440,"&gt;"&amp;$Q440)+(COUNTIF($P440:$S440,$Q440)-1)/2</f>
        <v>4</v>
      </c>
      <c r="Z440" s="0" t="n">
        <f aca="false">1+COUNTIF($P440:$S440,"&gt;"&amp;$R440)+(COUNTIF($P440:$S440,$R440)-1)/2</f>
        <v>1</v>
      </c>
      <c r="AA440" s="0" t="n">
        <f aca="false">1+COUNTIF($P440:$S440,"&gt;"&amp;$S440)+(COUNTIF($P440:$S440,$S440)-1)/2</f>
        <v>3</v>
      </c>
      <c r="AB440" s="0" t="n">
        <f aca="false">1+COUNTIF($T440:$W440,"&gt;"&amp;$T440)+(COUNTIF($T440:$W440,$T440)-1)/2</f>
        <v>1</v>
      </c>
      <c r="AC440" s="0" t="n">
        <f aca="false">1+COUNTIF($T440:$W440,"&gt;"&amp;$U440)+(COUNTIF($T440:$W440,$U440)-1)/2</f>
        <v>4</v>
      </c>
      <c r="AD440" s="0" t="n">
        <f aca="false">1+COUNTIF($T440:$W440,"&gt;"&amp;$V440)+(COUNTIF($T440:$W440,$V440)-1)/2</f>
        <v>2</v>
      </c>
      <c r="AE440" s="0" t="n">
        <f aca="false">1+COUNTIF($T440:$W440,"&gt;"&amp;$W440)+(COUNTIF($T440:$W440,$W440)-1)/2</f>
        <v>3</v>
      </c>
      <c r="AF440" s="0" t="n">
        <f aca="false">IFERROR(CORREL($P440:$S440,$T440:$W440),"")</f>
        <v>0.0768467768811487</v>
      </c>
      <c r="AG440" s="0" t="n">
        <f aca="false">IFERROR(CORREL($X440:$AA440,$AB440:$AE440),"")</f>
        <v>0.8</v>
      </c>
      <c r="AH440" s="0" t="n">
        <f aca="false">IFERROR((SIGN($P440-$Q440)*SIGN($T440-$U440)+SIGN($P440-$R440)*SIGN($T440-$V440)+SIGN($P440-$S440)*SIGN($T440-$W440)+SIGN($Q440-$R440)*SIGN($U440-$V440)+SIGN($Q440-$S440)*SIGN($U440-$W440)+SIGN($R440-$S440)*SIGN($V440-$W440))/SQRT((6-(($P440=$Q440)*1+($P440=$R440)*1+($P440=$S440)*1+($Q440=$R440)*1+($Q440=$S440)*1+($R440=$S440)*1))*(6-(($T440=$U440)*1+($T440=$V440)*1+($T440=$W440)*1+($U440=$V440)*1+($U440=$W440)*1+($V440=$W440)*1))),"")</f>
        <v>0.666666666666667</v>
      </c>
      <c r="AI440" s="0" t="n">
        <f aca="false">MATCH(MAX($K440:$O440),$K440:$O440,0)</f>
        <v>1</v>
      </c>
      <c r="AJ440" s="0" t="n">
        <f aca="false">IF(AI440&lt;&gt;$E440,1,0)</f>
        <v>1</v>
      </c>
      <c r="AK440" s="0" t="n">
        <f aca="false">IF(AJ440=1,INDEX($F440:$J440,AI440)/MAX($P440:$S440),"")</f>
        <v>0.653465346534654</v>
      </c>
      <c r="AL440" s="0" t="n">
        <f aca="false">IF(AJ440=1,1+COUNTIF($P440:$S440,"&gt;"&amp;INDEX($F440:$J440,AI440)),"")</f>
        <v>2</v>
      </c>
      <c r="AM440" s="0" t="n">
        <f aca="false">AVERAGE($P440:$S440)/MAX($P440:$S440)</f>
        <v>0.64480198019802</v>
      </c>
      <c r="AN440" s="0" t="n">
        <f aca="false">100-INDEX($F440:$J440,$E440)</f>
        <v>52.2</v>
      </c>
    </row>
    <row r="441" customFormat="false" ht="15" hidden="false" customHeight="false" outlineLevel="0" collapsed="false">
      <c r="A441" s="0" t="s">
        <v>57</v>
      </c>
      <c r="B441" s="0" t="n">
        <v>2019</v>
      </c>
      <c r="C441" s="0" t="s">
        <v>58</v>
      </c>
      <c r="D441" s="0" t="s">
        <v>44</v>
      </c>
      <c r="E441" s="0" t="n">
        <v>5</v>
      </c>
      <c r="F441" s="0" t="n">
        <v>11.4</v>
      </c>
      <c r="G441" s="0" t="n">
        <v>10.1</v>
      </c>
      <c r="H441" s="0" t="n">
        <v>11.5</v>
      </c>
      <c r="I441" s="0" t="n">
        <v>8.3</v>
      </c>
      <c r="J441" s="0" t="n">
        <v>58.5</v>
      </c>
      <c r="K441" s="0" t="n">
        <v>5.47052318336</v>
      </c>
      <c r="L441" s="0" t="n">
        <v>35.6289685764</v>
      </c>
      <c r="M441" s="0" t="n">
        <v>5.39259173742</v>
      </c>
      <c r="N441" s="0" t="n">
        <v>3.30919157524</v>
      </c>
      <c r="O441" s="0" t="n">
        <v>50.1987249276</v>
      </c>
      <c r="P441" s="0" t="n">
        <f aca="false">INDEX($F441:$J441,IF(1&lt;$E441,1,1+1))</f>
        <v>11.4</v>
      </c>
      <c r="Q441" s="0" t="n">
        <f aca="false">INDEX($F441:$J441,IF(2&lt;$E441,2,2+1))</f>
        <v>10.1</v>
      </c>
      <c r="R441" s="0" t="n">
        <f aca="false">INDEX($F441:$J441,IF(3&lt;$E441,3,3+1))</f>
        <v>11.5</v>
      </c>
      <c r="S441" s="0" t="n">
        <f aca="false">INDEX($F441:$J441,IF(4&lt;$E441,4,4+1))</f>
        <v>8.3</v>
      </c>
      <c r="T441" s="0" t="n">
        <f aca="false">INDEX($K441:$O441,IF(1&lt;$E441,1,1+1))</f>
        <v>5.47052318336</v>
      </c>
      <c r="U441" s="0" t="n">
        <f aca="false">INDEX($K441:$O441,IF(2&lt;$E441,2,2+1))</f>
        <v>35.6289685764</v>
      </c>
      <c r="V441" s="0" t="n">
        <f aca="false">INDEX($K441:$O441,IF(3&lt;$E441,3,3+1))</f>
        <v>5.39259173742</v>
      </c>
      <c r="W441" s="0" t="n">
        <f aca="false">INDEX($K441:$O441,IF(4&lt;$E441,4,4+1))</f>
        <v>3.30919157524</v>
      </c>
      <c r="X441" s="0" t="n">
        <f aca="false">1+COUNTIF($P441:$S441,"&gt;"&amp;$P441)+(COUNTIF($P441:$S441,$P441)-1)/2</f>
        <v>2</v>
      </c>
      <c r="Y441" s="0" t="n">
        <f aca="false">1+COUNTIF($P441:$S441,"&gt;"&amp;$Q441)+(COUNTIF($P441:$S441,$Q441)-1)/2</f>
        <v>3</v>
      </c>
      <c r="Z441" s="0" t="n">
        <f aca="false">1+COUNTIF($P441:$S441,"&gt;"&amp;$R441)+(COUNTIF($P441:$S441,$R441)-1)/2</f>
        <v>1</v>
      </c>
      <c r="AA441" s="0" t="n">
        <f aca="false">1+COUNTIF($P441:$S441,"&gt;"&amp;$S441)+(COUNTIF($P441:$S441,$S441)-1)/2</f>
        <v>4</v>
      </c>
      <c r="AB441" s="0" t="n">
        <f aca="false">1+COUNTIF($T441:$W441,"&gt;"&amp;$T441)+(COUNTIF($T441:$W441,$T441)-1)/2</f>
        <v>2</v>
      </c>
      <c r="AC441" s="0" t="n">
        <f aca="false">1+COUNTIF($T441:$W441,"&gt;"&amp;$U441)+(COUNTIF($T441:$W441,$U441)-1)/2</f>
        <v>1</v>
      </c>
      <c r="AD441" s="0" t="n">
        <f aca="false">1+COUNTIF($T441:$W441,"&gt;"&amp;$V441)+(COUNTIF($T441:$W441,$V441)-1)/2</f>
        <v>3</v>
      </c>
      <c r="AE441" s="0" t="n">
        <f aca="false">1+COUNTIF($T441:$W441,"&gt;"&amp;$W441)+(COUNTIF($T441:$W441,$W441)-1)/2</f>
        <v>4</v>
      </c>
      <c r="AF441" s="0" t="n">
        <f aca="false">IFERROR(CORREL($P441:$S441,$T441:$W441),"")</f>
        <v>-0.0360522321080928</v>
      </c>
      <c r="AG441" s="0" t="n">
        <f aca="false">IFERROR(CORREL($X441:$AA441,$AB441:$AE441),"")</f>
        <v>0.2</v>
      </c>
      <c r="AH441" s="0" t="n">
        <f aca="false">IFERROR((SIGN($P441-$Q441)*SIGN($T441-$U441)+SIGN($P441-$R441)*SIGN($T441-$V441)+SIGN($P441-$S441)*SIGN($T441-$W441)+SIGN($Q441-$R441)*SIGN($U441-$V441)+SIGN($Q441-$S441)*SIGN($U441-$W441)+SIGN($R441-$S441)*SIGN($V441-$W441))/SQRT((6-(($P441=$Q441)*1+($P441=$R441)*1+($P441=$S441)*1+($Q441=$R441)*1+($Q441=$S441)*1+($R441=$S441)*1))*(6-(($T441=$U441)*1+($T441=$V441)*1+($T441=$W441)*1+($U441=$V441)*1+($U441=$W441)*1+($V441=$W441)*1))),"")</f>
        <v>0</v>
      </c>
      <c r="AI441" s="0" t="n">
        <f aca="false">MATCH(MAX($K441:$O441),$K441:$O441,0)</f>
        <v>5</v>
      </c>
      <c r="AJ441" s="0" t="n">
        <f aca="false">IF(AI441&lt;&gt;$E441,1,0)</f>
        <v>0</v>
      </c>
      <c r="AK441" s="0" t="str">
        <f aca="false">IF(AJ441=1,INDEX($F441:$J441,AI441)/MAX($P441:$S441),"")</f>
        <v/>
      </c>
      <c r="AL441" s="0" t="str">
        <f aca="false">IF(AJ441=1,1+COUNTIF($P441:$S441,"&gt;"&amp;INDEX($F441:$J441,AI441)),"")</f>
        <v/>
      </c>
      <c r="AM441" s="0" t="n">
        <f aca="false">AVERAGE($P441:$S441)/MAX($P441:$S441)</f>
        <v>0.897826086956522</v>
      </c>
      <c r="AN441" s="0" t="n">
        <f aca="false">100-INDEX($F441:$J441,$E441)</f>
        <v>41.5</v>
      </c>
    </row>
    <row r="442" customFormat="false" ht="15" hidden="false" customHeight="false" outlineLevel="0" collapsed="false">
      <c r="A442" s="0" t="s">
        <v>57</v>
      </c>
      <c r="B442" s="0" t="n">
        <v>2019</v>
      </c>
      <c r="C442" s="0" t="s">
        <v>58</v>
      </c>
      <c r="D442" s="0" t="s">
        <v>45</v>
      </c>
      <c r="E442" s="0" t="n">
        <v>2</v>
      </c>
      <c r="F442" s="0" t="n">
        <v>22.8</v>
      </c>
      <c r="G442" s="0" t="n">
        <v>29</v>
      </c>
      <c r="H442" s="0" t="n">
        <v>22.4</v>
      </c>
      <c r="I442" s="0" t="n">
        <v>14.6</v>
      </c>
      <c r="J442" s="0" t="n">
        <v>11</v>
      </c>
      <c r="K442" s="0" t="n">
        <v>2.34085948719</v>
      </c>
      <c r="L442" s="0" t="n">
        <v>53.9607441011</v>
      </c>
      <c r="M442" s="0" t="n">
        <v>16.60836716</v>
      </c>
      <c r="N442" s="0" t="n">
        <v>17.3701503638</v>
      </c>
      <c r="O442" s="0" t="n">
        <v>9.7198788879</v>
      </c>
      <c r="P442" s="0" t="n">
        <f aca="false">INDEX($F442:$J442,IF(1&lt;$E442,1,1+1))</f>
        <v>22.8</v>
      </c>
      <c r="Q442" s="0" t="n">
        <f aca="false">INDEX($F442:$J442,IF(2&lt;$E442,2,2+1))</f>
        <v>22.4</v>
      </c>
      <c r="R442" s="0" t="n">
        <f aca="false">INDEX($F442:$J442,IF(3&lt;$E442,3,3+1))</f>
        <v>14.6</v>
      </c>
      <c r="S442" s="0" t="n">
        <f aca="false">INDEX($F442:$J442,IF(4&lt;$E442,4,4+1))</f>
        <v>11</v>
      </c>
      <c r="T442" s="0" t="n">
        <f aca="false">INDEX($K442:$O442,IF(1&lt;$E442,1,1+1))</f>
        <v>2.34085948719</v>
      </c>
      <c r="U442" s="0" t="n">
        <f aca="false">INDEX($K442:$O442,IF(2&lt;$E442,2,2+1))</f>
        <v>16.60836716</v>
      </c>
      <c r="V442" s="0" t="n">
        <f aca="false">INDEX($K442:$O442,IF(3&lt;$E442,3,3+1))</f>
        <v>17.3701503638</v>
      </c>
      <c r="W442" s="0" t="n">
        <f aca="false">INDEX($K442:$O442,IF(4&lt;$E442,4,4+1))</f>
        <v>9.7198788879</v>
      </c>
      <c r="X442" s="0" t="n">
        <f aca="false">1+COUNTIF($P442:$S442,"&gt;"&amp;$P442)+(COUNTIF($P442:$S442,$P442)-1)/2</f>
        <v>1</v>
      </c>
      <c r="Y442" s="0" t="n">
        <f aca="false">1+COUNTIF($P442:$S442,"&gt;"&amp;$Q442)+(COUNTIF($P442:$S442,$Q442)-1)/2</f>
        <v>2</v>
      </c>
      <c r="Z442" s="0" t="n">
        <f aca="false">1+COUNTIF($P442:$S442,"&gt;"&amp;$R442)+(COUNTIF($P442:$S442,$R442)-1)/2</f>
        <v>3</v>
      </c>
      <c r="AA442" s="0" t="n">
        <f aca="false">1+COUNTIF($P442:$S442,"&gt;"&amp;$S442)+(COUNTIF($P442:$S442,$S442)-1)/2</f>
        <v>4</v>
      </c>
      <c r="AB442" s="0" t="n">
        <f aca="false">1+COUNTIF($T442:$W442,"&gt;"&amp;$T442)+(COUNTIF($T442:$W442,$T442)-1)/2</f>
        <v>4</v>
      </c>
      <c r="AC442" s="0" t="n">
        <f aca="false">1+COUNTIF($T442:$W442,"&gt;"&amp;$U442)+(COUNTIF($T442:$W442,$U442)-1)/2</f>
        <v>2</v>
      </c>
      <c r="AD442" s="0" t="n">
        <f aca="false">1+COUNTIF($T442:$W442,"&gt;"&amp;$V442)+(COUNTIF($T442:$W442,$V442)-1)/2</f>
        <v>1</v>
      </c>
      <c r="AE442" s="0" t="n">
        <f aca="false">1+COUNTIF($T442:$W442,"&gt;"&amp;$W442)+(COUNTIF($T442:$W442,$W442)-1)/2</f>
        <v>3</v>
      </c>
      <c r="AF442" s="0" t="n">
        <f aca="false">IFERROR(CORREL($P442:$S442,$T442:$W442),"")</f>
        <v>-0.235427709945543</v>
      </c>
      <c r="AG442" s="0" t="n">
        <f aca="false">IFERROR(CORREL($X442:$AA442,$AB442:$AE442),"")</f>
        <v>-0.4</v>
      </c>
      <c r="AH442" s="0" t="n">
        <f aca="false">IFERROR((SIGN($P442-$Q442)*SIGN($T442-$U442)+SIGN($P442-$R442)*SIGN($T442-$V442)+SIGN($P442-$S442)*SIGN($T442-$W442)+SIGN($Q442-$R442)*SIGN($U442-$V442)+SIGN($Q442-$S442)*SIGN($U442-$W442)+SIGN($R442-$S442)*SIGN($V442-$W442))/SQRT((6-(($P442=$Q442)*1+($P442=$R442)*1+($P442=$S442)*1+($Q442=$R442)*1+($Q442=$S442)*1+($R442=$S442)*1))*(6-(($T442=$U442)*1+($T442=$V442)*1+($T442=$W442)*1+($U442=$V442)*1+($U442=$W442)*1+($V442=$W442)*1))),"")</f>
        <v>-0.333333333333333</v>
      </c>
      <c r="AI442" s="0" t="n">
        <f aca="false">MATCH(MAX($K442:$O442),$K442:$O442,0)</f>
        <v>2</v>
      </c>
      <c r="AJ442" s="0" t="n">
        <f aca="false">IF(AI442&lt;&gt;$E442,1,0)</f>
        <v>0</v>
      </c>
      <c r="AK442" s="0" t="str">
        <f aca="false">IF(AJ442=1,INDEX($F442:$J442,AI442)/MAX($P442:$S442),"")</f>
        <v/>
      </c>
      <c r="AL442" s="0" t="str">
        <f aca="false">IF(AJ442=1,1+COUNTIF($P442:$S442,"&gt;"&amp;INDEX($F442:$J442,AI442)),"")</f>
        <v/>
      </c>
      <c r="AM442" s="0" t="n">
        <f aca="false">AVERAGE($P442:$S442)/MAX($P442:$S442)</f>
        <v>0.776315789473684</v>
      </c>
      <c r="AN442" s="0" t="n">
        <f aca="false">100-INDEX($F442:$J442,$E442)</f>
        <v>71</v>
      </c>
    </row>
    <row r="443" customFormat="false" ht="15" hidden="false" customHeight="false" outlineLevel="0" collapsed="false">
      <c r="A443" s="0" t="s">
        <v>57</v>
      </c>
      <c r="B443" s="0" t="n">
        <v>2019</v>
      </c>
      <c r="C443" s="0" t="s">
        <v>49</v>
      </c>
      <c r="D443" s="0" t="s">
        <v>42</v>
      </c>
      <c r="E443" s="0" t="n">
        <v>2</v>
      </c>
      <c r="F443" s="0" t="n">
        <v>9.6</v>
      </c>
      <c r="G443" s="0" t="n">
        <v>26</v>
      </c>
      <c r="H443" s="0" t="n">
        <v>46.3</v>
      </c>
      <c r="I443" s="0" t="n">
        <v>8.6</v>
      </c>
      <c r="J443" s="0" t="n">
        <v>7</v>
      </c>
      <c r="K443" s="0" t="n">
        <v>2.10401771799</v>
      </c>
      <c r="L443" s="0" t="n">
        <v>25.4385909002</v>
      </c>
      <c r="M443" s="0" t="n">
        <v>34.1011113864</v>
      </c>
      <c r="N443" s="0" t="n">
        <v>15.153160818</v>
      </c>
      <c r="O443" s="0" t="n">
        <v>23.2031191774</v>
      </c>
      <c r="P443" s="0" t="n">
        <f aca="false">INDEX($F443:$J443,IF(1&lt;$E443,1,1+1))</f>
        <v>9.6</v>
      </c>
      <c r="Q443" s="0" t="n">
        <f aca="false">INDEX($F443:$J443,IF(2&lt;$E443,2,2+1))</f>
        <v>46.3</v>
      </c>
      <c r="R443" s="0" t="n">
        <f aca="false">INDEX($F443:$J443,IF(3&lt;$E443,3,3+1))</f>
        <v>8.6</v>
      </c>
      <c r="S443" s="0" t="n">
        <f aca="false">INDEX($F443:$J443,IF(4&lt;$E443,4,4+1))</f>
        <v>7</v>
      </c>
      <c r="T443" s="0" t="n">
        <f aca="false">INDEX($K443:$O443,IF(1&lt;$E443,1,1+1))</f>
        <v>2.10401771799</v>
      </c>
      <c r="U443" s="0" t="n">
        <f aca="false">INDEX($K443:$O443,IF(2&lt;$E443,2,2+1))</f>
        <v>34.1011113864</v>
      </c>
      <c r="V443" s="0" t="n">
        <f aca="false">INDEX($K443:$O443,IF(3&lt;$E443,3,3+1))</f>
        <v>15.153160818</v>
      </c>
      <c r="W443" s="0" t="n">
        <f aca="false">INDEX($K443:$O443,IF(4&lt;$E443,4,4+1))</f>
        <v>23.2031191774</v>
      </c>
      <c r="X443" s="0" t="n">
        <f aca="false">1+COUNTIF($P443:$S443,"&gt;"&amp;$P443)+(COUNTIF($P443:$S443,$P443)-1)/2</f>
        <v>2</v>
      </c>
      <c r="Y443" s="0" t="n">
        <f aca="false">1+COUNTIF($P443:$S443,"&gt;"&amp;$Q443)+(COUNTIF($P443:$S443,$Q443)-1)/2</f>
        <v>1</v>
      </c>
      <c r="Z443" s="0" t="n">
        <f aca="false">1+COUNTIF($P443:$S443,"&gt;"&amp;$R443)+(COUNTIF($P443:$S443,$R443)-1)/2</f>
        <v>3</v>
      </c>
      <c r="AA443" s="0" t="n">
        <f aca="false">1+COUNTIF($P443:$S443,"&gt;"&amp;$S443)+(COUNTIF($P443:$S443,$S443)-1)/2</f>
        <v>4</v>
      </c>
      <c r="AB443" s="0" t="n">
        <f aca="false">1+COUNTIF($T443:$W443,"&gt;"&amp;$T443)+(COUNTIF($T443:$W443,$T443)-1)/2</f>
        <v>4</v>
      </c>
      <c r="AC443" s="0" t="n">
        <f aca="false">1+COUNTIF($T443:$W443,"&gt;"&amp;$U443)+(COUNTIF($T443:$W443,$U443)-1)/2</f>
        <v>1</v>
      </c>
      <c r="AD443" s="0" t="n">
        <f aca="false">1+COUNTIF($T443:$W443,"&gt;"&amp;$V443)+(COUNTIF($T443:$W443,$V443)-1)/2</f>
        <v>3</v>
      </c>
      <c r="AE443" s="0" t="n">
        <f aca="false">1+COUNTIF($T443:$W443,"&gt;"&amp;$W443)+(COUNTIF($T443:$W443,$W443)-1)/2</f>
        <v>2</v>
      </c>
      <c r="AF443" s="0" t="n">
        <f aca="false">IFERROR(CORREL($P443:$S443,$T443:$W443),"")</f>
        <v>0.728102688385295</v>
      </c>
      <c r="AG443" s="0" t="n">
        <f aca="false">IFERROR(CORREL($X443:$AA443,$AB443:$AE443),"")</f>
        <v>0.2</v>
      </c>
      <c r="AH443" s="0" t="n">
        <f aca="false">IFERROR((SIGN($P443-$Q443)*SIGN($T443-$U443)+SIGN($P443-$R443)*SIGN($T443-$V443)+SIGN($P443-$S443)*SIGN($T443-$W443)+SIGN($Q443-$R443)*SIGN($U443-$V443)+SIGN($Q443-$S443)*SIGN($U443-$W443)+SIGN($R443-$S443)*SIGN($V443-$W443))/SQRT((6-(($P443=$Q443)*1+($P443=$R443)*1+($P443=$S443)*1+($Q443=$R443)*1+($Q443=$S443)*1+($R443=$S443)*1))*(6-(($T443=$U443)*1+($T443=$V443)*1+($T443=$W443)*1+($U443=$V443)*1+($U443=$W443)*1+($V443=$W443)*1))),"")</f>
        <v>0</v>
      </c>
      <c r="AI443" s="0" t="n">
        <f aca="false">MATCH(MAX($K443:$O443),$K443:$O443,0)</f>
        <v>3</v>
      </c>
      <c r="AJ443" s="0" t="n">
        <f aca="false">IF(AI443&lt;&gt;$E443,1,0)</f>
        <v>1</v>
      </c>
      <c r="AK443" s="0" t="n">
        <f aca="false">IF(AJ443=1,INDEX($F443:$J443,AI443)/MAX($P443:$S443),"")</f>
        <v>1</v>
      </c>
      <c r="AL443" s="0" t="n">
        <f aca="false">IF(AJ443=1,1+COUNTIF($P443:$S443,"&gt;"&amp;INDEX($F443:$J443,AI443)),"")</f>
        <v>1</v>
      </c>
      <c r="AM443" s="0" t="n">
        <f aca="false">AVERAGE($P443:$S443)/MAX($P443:$S443)</f>
        <v>0.386069114470842</v>
      </c>
      <c r="AN443" s="0" t="n">
        <f aca="false">100-INDEX($F443:$J443,$E443)</f>
        <v>74</v>
      </c>
    </row>
    <row r="444" customFormat="false" ht="15" hidden="false" customHeight="false" outlineLevel="0" collapsed="false">
      <c r="A444" s="0" t="s">
        <v>57</v>
      </c>
      <c r="B444" s="0" t="n">
        <v>2019</v>
      </c>
      <c r="C444" s="0" t="s">
        <v>49</v>
      </c>
      <c r="D444" s="0" t="s">
        <v>44</v>
      </c>
      <c r="E444" s="0" t="n">
        <v>1</v>
      </c>
      <c r="F444" s="0" t="n">
        <v>30.2</v>
      </c>
      <c r="G444" s="0" t="n">
        <v>29.5</v>
      </c>
      <c r="H444" s="0" t="n">
        <v>9</v>
      </c>
      <c r="I444" s="0" t="n">
        <v>14.6</v>
      </c>
      <c r="J444" s="0" t="n">
        <v>14.2</v>
      </c>
      <c r="K444" s="0" t="n">
        <v>53.954314355</v>
      </c>
      <c r="L444" s="0" t="n">
        <v>25.303524086</v>
      </c>
      <c r="M444" s="0" t="n">
        <v>10.1934210922</v>
      </c>
      <c r="N444" s="0" t="n">
        <v>4.68278376749</v>
      </c>
      <c r="O444" s="0" t="n">
        <v>5.8659566993</v>
      </c>
      <c r="P444" s="0" t="n">
        <f aca="false">INDEX($F444:$J444,IF(1&lt;$E444,1,1+1))</f>
        <v>29.5</v>
      </c>
      <c r="Q444" s="0" t="n">
        <f aca="false">INDEX($F444:$J444,IF(2&lt;$E444,2,2+1))</f>
        <v>9</v>
      </c>
      <c r="R444" s="0" t="n">
        <f aca="false">INDEX($F444:$J444,IF(3&lt;$E444,3,3+1))</f>
        <v>14.6</v>
      </c>
      <c r="S444" s="0" t="n">
        <f aca="false">INDEX($F444:$J444,IF(4&lt;$E444,4,4+1))</f>
        <v>14.2</v>
      </c>
      <c r="T444" s="0" t="n">
        <f aca="false">INDEX($K444:$O444,IF(1&lt;$E444,1,1+1))</f>
        <v>25.303524086</v>
      </c>
      <c r="U444" s="0" t="n">
        <f aca="false">INDEX($K444:$O444,IF(2&lt;$E444,2,2+1))</f>
        <v>10.1934210922</v>
      </c>
      <c r="V444" s="0" t="n">
        <f aca="false">INDEX($K444:$O444,IF(3&lt;$E444,3,3+1))</f>
        <v>4.68278376749</v>
      </c>
      <c r="W444" s="0" t="n">
        <f aca="false">INDEX($K444:$O444,IF(4&lt;$E444,4,4+1))</f>
        <v>5.8659566993</v>
      </c>
      <c r="X444" s="0" t="n">
        <f aca="false">1+COUNTIF($P444:$S444,"&gt;"&amp;$P444)+(COUNTIF($P444:$S444,$P444)-1)/2</f>
        <v>1</v>
      </c>
      <c r="Y444" s="0" t="n">
        <f aca="false">1+COUNTIF($P444:$S444,"&gt;"&amp;$Q444)+(COUNTIF($P444:$S444,$Q444)-1)/2</f>
        <v>4</v>
      </c>
      <c r="Z444" s="0" t="n">
        <f aca="false">1+COUNTIF($P444:$S444,"&gt;"&amp;$R444)+(COUNTIF($P444:$S444,$R444)-1)/2</f>
        <v>2</v>
      </c>
      <c r="AA444" s="0" t="n">
        <f aca="false">1+COUNTIF($P444:$S444,"&gt;"&amp;$S444)+(COUNTIF($P444:$S444,$S444)-1)/2</f>
        <v>3</v>
      </c>
      <c r="AB444" s="0" t="n">
        <f aca="false">1+COUNTIF($T444:$W444,"&gt;"&amp;$T444)+(COUNTIF($T444:$W444,$T444)-1)/2</f>
        <v>1</v>
      </c>
      <c r="AC444" s="0" t="n">
        <f aca="false">1+COUNTIF($T444:$W444,"&gt;"&amp;$U444)+(COUNTIF($T444:$W444,$U444)-1)/2</f>
        <v>2</v>
      </c>
      <c r="AD444" s="0" t="n">
        <f aca="false">1+COUNTIF($T444:$W444,"&gt;"&amp;$V444)+(COUNTIF($T444:$W444,$V444)-1)/2</f>
        <v>4</v>
      </c>
      <c r="AE444" s="0" t="n">
        <f aca="false">1+COUNTIF($T444:$W444,"&gt;"&amp;$W444)+(COUNTIF($T444:$W444,$W444)-1)/2</f>
        <v>3</v>
      </c>
      <c r="AF444" s="0" t="n">
        <f aca="false">IFERROR(CORREL($P444:$S444,$T444:$W444),"")</f>
        <v>0.855690607510758</v>
      </c>
      <c r="AG444" s="0" t="n">
        <f aca="false">IFERROR(CORREL($X444:$AA444,$AB444:$AE444),"")</f>
        <v>0.2</v>
      </c>
      <c r="AH444" s="0" t="n">
        <f aca="false">IFERROR((SIGN($P444-$Q444)*SIGN($T444-$U444)+SIGN($P444-$R444)*SIGN($T444-$V444)+SIGN($P444-$S444)*SIGN($T444-$W444)+SIGN($Q444-$R444)*SIGN($U444-$V444)+SIGN($Q444-$S444)*SIGN($U444-$W444)+SIGN($R444-$S444)*SIGN($V444-$W444))/SQRT((6-(($P444=$Q444)*1+($P444=$R444)*1+($P444=$S444)*1+($Q444=$R444)*1+($Q444=$S444)*1+($R444=$S444)*1))*(6-(($T444=$U444)*1+($T444=$V444)*1+($T444=$W444)*1+($U444=$V444)*1+($U444=$W444)*1+($V444=$W444)*1))),"")</f>
        <v>0</v>
      </c>
      <c r="AI444" s="0" t="n">
        <f aca="false">MATCH(MAX($K444:$O444),$K444:$O444,0)</f>
        <v>1</v>
      </c>
      <c r="AJ444" s="0" t="n">
        <f aca="false">IF(AI444&lt;&gt;$E444,1,0)</f>
        <v>0</v>
      </c>
      <c r="AK444" s="0" t="str">
        <f aca="false">IF(AJ444=1,INDEX($F444:$J444,AI444)/MAX($P444:$S444),"")</f>
        <v/>
      </c>
      <c r="AL444" s="0" t="str">
        <f aca="false">IF(AJ444=1,1+COUNTIF($P444:$S444,"&gt;"&amp;INDEX($F444:$J444,AI444)),"")</f>
        <v/>
      </c>
      <c r="AM444" s="0" t="n">
        <f aca="false">AVERAGE($P444:$S444)/MAX($P444:$S444)</f>
        <v>0.570338983050847</v>
      </c>
      <c r="AN444" s="0" t="n">
        <f aca="false">100-INDEX($F444:$J444,$E444)</f>
        <v>69.8</v>
      </c>
    </row>
    <row r="445" customFormat="false" ht="15" hidden="false" customHeight="false" outlineLevel="0" collapsed="false">
      <c r="A445" s="0" t="s">
        <v>57</v>
      </c>
      <c r="B445" s="0" t="n">
        <v>2019</v>
      </c>
      <c r="C445" s="0" t="s">
        <v>49</v>
      </c>
      <c r="D445" s="0" t="s">
        <v>45</v>
      </c>
      <c r="E445" s="0" t="n">
        <v>1</v>
      </c>
      <c r="F445" s="0" t="n">
        <v>53</v>
      </c>
      <c r="G445" s="0" t="n">
        <v>12.1</v>
      </c>
      <c r="H445" s="0" t="n">
        <v>13.7</v>
      </c>
      <c r="I445" s="0" t="n">
        <v>11</v>
      </c>
      <c r="J445" s="0" t="n">
        <v>7.5</v>
      </c>
      <c r="K445" s="0" t="n">
        <v>10.6853361579</v>
      </c>
      <c r="L445" s="0" t="n">
        <v>19.6228187626</v>
      </c>
      <c r="M445" s="0" t="n">
        <v>29.6520591731</v>
      </c>
      <c r="N445" s="0" t="n">
        <v>33.9551944817</v>
      </c>
      <c r="O445" s="0" t="n">
        <v>6.0845914247</v>
      </c>
      <c r="P445" s="0" t="n">
        <f aca="false">INDEX($F445:$J445,IF(1&lt;$E445,1,1+1))</f>
        <v>12.1</v>
      </c>
      <c r="Q445" s="0" t="n">
        <f aca="false">INDEX($F445:$J445,IF(2&lt;$E445,2,2+1))</f>
        <v>13.7</v>
      </c>
      <c r="R445" s="0" t="n">
        <f aca="false">INDEX($F445:$J445,IF(3&lt;$E445,3,3+1))</f>
        <v>11</v>
      </c>
      <c r="S445" s="0" t="n">
        <f aca="false">INDEX($F445:$J445,IF(4&lt;$E445,4,4+1))</f>
        <v>7.5</v>
      </c>
      <c r="T445" s="0" t="n">
        <f aca="false">INDEX($K445:$O445,IF(1&lt;$E445,1,1+1))</f>
        <v>19.6228187626</v>
      </c>
      <c r="U445" s="0" t="n">
        <f aca="false">INDEX($K445:$O445,IF(2&lt;$E445,2,2+1))</f>
        <v>29.6520591731</v>
      </c>
      <c r="V445" s="0" t="n">
        <f aca="false">INDEX($K445:$O445,IF(3&lt;$E445,3,3+1))</f>
        <v>33.9551944817</v>
      </c>
      <c r="W445" s="0" t="n">
        <f aca="false">INDEX($K445:$O445,IF(4&lt;$E445,4,4+1))</f>
        <v>6.0845914247</v>
      </c>
      <c r="X445" s="0" t="n">
        <f aca="false">1+COUNTIF($P445:$S445,"&gt;"&amp;$P445)+(COUNTIF($P445:$S445,$P445)-1)/2</f>
        <v>2</v>
      </c>
      <c r="Y445" s="0" t="n">
        <f aca="false">1+COUNTIF($P445:$S445,"&gt;"&amp;$Q445)+(COUNTIF($P445:$S445,$Q445)-1)/2</f>
        <v>1</v>
      </c>
      <c r="Z445" s="0" t="n">
        <f aca="false">1+COUNTIF($P445:$S445,"&gt;"&amp;$R445)+(COUNTIF($P445:$S445,$R445)-1)/2</f>
        <v>3</v>
      </c>
      <c r="AA445" s="0" t="n">
        <f aca="false">1+COUNTIF($P445:$S445,"&gt;"&amp;$S445)+(COUNTIF($P445:$S445,$S445)-1)/2</f>
        <v>4</v>
      </c>
      <c r="AB445" s="0" t="n">
        <f aca="false">1+COUNTIF($T445:$W445,"&gt;"&amp;$T445)+(COUNTIF($T445:$W445,$T445)-1)/2</f>
        <v>3</v>
      </c>
      <c r="AC445" s="0" t="n">
        <f aca="false">1+COUNTIF($T445:$W445,"&gt;"&amp;$U445)+(COUNTIF($T445:$W445,$U445)-1)/2</f>
        <v>2</v>
      </c>
      <c r="AD445" s="0" t="n">
        <f aca="false">1+COUNTIF($T445:$W445,"&gt;"&amp;$V445)+(COUNTIF($T445:$W445,$V445)-1)/2</f>
        <v>1</v>
      </c>
      <c r="AE445" s="0" t="n">
        <f aca="false">1+COUNTIF($T445:$W445,"&gt;"&amp;$W445)+(COUNTIF($T445:$W445,$W445)-1)/2</f>
        <v>4</v>
      </c>
      <c r="AF445" s="0" t="n">
        <f aca="false">IFERROR(CORREL($P445:$S445,$T445:$W445),"")</f>
        <v>0.754269071074664</v>
      </c>
      <c r="AG445" s="0" t="n">
        <f aca="false">IFERROR(CORREL($X445:$AA445,$AB445:$AE445),"")</f>
        <v>0.4</v>
      </c>
      <c r="AH445" s="0" t="n">
        <f aca="false">IFERROR((SIGN($P445-$Q445)*SIGN($T445-$U445)+SIGN($P445-$R445)*SIGN($T445-$V445)+SIGN($P445-$S445)*SIGN($T445-$W445)+SIGN($Q445-$R445)*SIGN($U445-$V445)+SIGN($Q445-$S445)*SIGN($U445-$W445)+SIGN($R445-$S445)*SIGN($V445-$W445))/SQRT((6-(($P445=$Q445)*1+($P445=$R445)*1+($P445=$S445)*1+($Q445=$R445)*1+($Q445=$S445)*1+($R445=$S445)*1))*(6-(($T445=$U445)*1+($T445=$V445)*1+($T445=$W445)*1+($U445=$V445)*1+($U445=$W445)*1+($V445=$W445)*1))),"")</f>
        <v>0.333333333333333</v>
      </c>
      <c r="AI445" s="0" t="n">
        <f aca="false">MATCH(MAX($K445:$O445),$K445:$O445,0)</f>
        <v>4</v>
      </c>
      <c r="AJ445" s="0" t="n">
        <f aca="false">IF(AI445&lt;&gt;$E445,1,0)</f>
        <v>1</v>
      </c>
      <c r="AK445" s="0" t="n">
        <f aca="false">IF(AJ445=1,INDEX($F445:$J445,AI445)/MAX($P445:$S445),"")</f>
        <v>0.802919708029197</v>
      </c>
      <c r="AL445" s="0" t="n">
        <f aca="false">IF(AJ445=1,1+COUNTIF($P445:$S445,"&gt;"&amp;INDEX($F445:$J445,AI445)),"")</f>
        <v>3</v>
      </c>
      <c r="AM445" s="0" t="n">
        <f aca="false">AVERAGE($P445:$S445)/MAX($P445:$S445)</f>
        <v>0.808394160583942</v>
      </c>
      <c r="AN445" s="0" t="n">
        <f aca="false">100-INDEX($F445:$J445,$E445)</f>
        <v>47</v>
      </c>
    </row>
    <row r="446" customFormat="false" ht="15" hidden="false" customHeight="false" outlineLevel="0" collapsed="false">
      <c r="A446" s="0" t="s">
        <v>57</v>
      </c>
      <c r="B446" s="0" t="n">
        <v>2019</v>
      </c>
      <c r="C446" s="0" t="s">
        <v>51</v>
      </c>
      <c r="D446" s="0" t="s">
        <v>42</v>
      </c>
      <c r="E446" s="0" t="n">
        <v>2</v>
      </c>
      <c r="F446" s="0" t="n">
        <v>16.3</v>
      </c>
      <c r="G446" s="0" t="n">
        <v>32.5</v>
      </c>
      <c r="H446" s="0" t="n">
        <v>11.2</v>
      </c>
      <c r="I446" s="0" t="n">
        <v>26.4</v>
      </c>
      <c r="J446" s="0" t="n">
        <v>10.2</v>
      </c>
      <c r="K446" s="0" t="n">
        <v>22.6223419504</v>
      </c>
      <c r="L446" s="0" t="n">
        <v>19.2538678078</v>
      </c>
      <c r="M446" s="0" t="n">
        <v>10.8241091329</v>
      </c>
      <c r="N446" s="0" t="n">
        <v>11.2634460732</v>
      </c>
      <c r="O446" s="0" t="n">
        <v>36.0362350356</v>
      </c>
      <c r="P446" s="0" t="n">
        <f aca="false">INDEX($F446:$J446,IF(1&lt;$E446,1,1+1))</f>
        <v>16.3</v>
      </c>
      <c r="Q446" s="0" t="n">
        <f aca="false">INDEX($F446:$J446,IF(2&lt;$E446,2,2+1))</f>
        <v>11.2</v>
      </c>
      <c r="R446" s="0" t="n">
        <f aca="false">INDEX($F446:$J446,IF(3&lt;$E446,3,3+1))</f>
        <v>26.4</v>
      </c>
      <c r="S446" s="0" t="n">
        <f aca="false">INDEX($F446:$J446,IF(4&lt;$E446,4,4+1))</f>
        <v>10.2</v>
      </c>
      <c r="T446" s="0" t="n">
        <f aca="false">INDEX($K446:$O446,IF(1&lt;$E446,1,1+1))</f>
        <v>22.6223419504</v>
      </c>
      <c r="U446" s="0" t="n">
        <f aca="false">INDEX($K446:$O446,IF(2&lt;$E446,2,2+1))</f>
        <v>10.8241091329</v>
      </c>
      <c r="V446" s="0" t="n">
        <f aca="false">INDEX($K446:$O446,IF(3&lt;$E446,3,3+1))</f>
        <v>11.2634460732</v>
      </c>
      <c r="W446" s="0" t="n">
        <f aca="false">INDEX($K446:$O446,IF(4&lt;$E446,4,4+1))</f>
        <v>36.0362350356</v>
      </c>
      <c r="X446" s="0" t="n">
        <f aca="false">1+COUNTIF($P446:$S446,"&gt;"&amp;$P446)+(COUNTIF($P446:$S446,$P446)-1)/2</f>
        <v>2</v>
      </c>
      <c r="Y446" s="0" t="n">
        <f aca="false">1+COUNTIF($P446:$S446,"&gt;"&amp;$Q446)+(COUNTIF($P446:$S446,$Q446)-1)/2</f>
        <v>3</v>
      </c>
      <c r="Z446" s="0" t="n">
        <f aca="false">1+COUNTIF($P446:$S446,"&gt;"&amp;$R446)+(COUNTIF($P446:$S446,$R446)-1)/2</f>
        <v>1</v>
      </c>
      <c r="AA446" s="0" t="n">
        <f aca="false">1+COUNTIF($P446:$S446,"&gt;"&amp;$S446)+(COUNTIF($P446:$S446,$S446)-1)/2</f>
        <v>4</v>
      </c>
      <c r="AB446" s="0" t="n">
        <f aca="false">1+COUNTIF($T446:$W446,"&gt;"&amp;$T446)+(COUNTIF($T446:$W446,$T446)-1)/2</f>
        <v>2</v>
      </c>
      <c r="AC446" s="0" t="n">
        <f aca="false">1+COUNTIF($T446:$W446,"&gt;"&amp;$U446)+(COUNTIF($T446:$W446,$U446)-1)/2</f>
        <v>4</v>
      </c>
      <c r="AD446" s="0" t="n">
        <f aca="false">1+COUNTIF($T446:$W446,"&gt;"&amp;$V446)+(COUNTIF($T446:$W446,$V446)-1)/2</f>
        <v>3</v>
      </c>
      <c r="AE446" s="0" t="n">
        <f aca="false">1+COUNTIF($T446:$W446,"&gt;"&amp;$W446)+(COUNTIF($T446:$W446,$W446)-1)/2</f>
        <v>1</v>
      </c>
      <c r="AF446" s="0" t="n">
        <f aca="false">IFERROR(CORREL($P446:$S446,$T446:$W446),"")</f>
        <v>-0.525593692123541</v>
      </c>
      <c r="AG446" s="0" t="n">
        <f aca="false">IFERROR(CORREL($X446:$AA446,$AB446:$AE446),"")</f>
        <v>-0.4</v>
      </c>
      <c r="AH446" s="0" t="n">
        <f aca="false">IFERROR((SIGN($P446-$Q446)*SIGN($T446-$U446)+SIGN($P446-$R446)*SIGN($T446-$V446)+SIGN($P446-$S446)*SIGN($T446-$W446)+SIGN($Q446-$R446)*SIGN($U446-$V446)+SIGN($Q446-$S446)*SIGN($U446-$W446)+SIGN($R446-$S446)*SIGN($V446-$W446))/SQRT((6-(($P446=$Q446)*1+($P446=$R446)*1+($P446=$S446)*1+($Q446=$R446)*1+($Q446=$S446)*1+($R446=$S446)*1))*(6-(($T446=$U446)*1+($T446=$V446)*1+($T446=$W446)*1+($U446=$V446)*1+($U446=$W446)*1+($V446=$W446)*1))),"")</f>
        <v>-0.333333333333333</v>
      </c>
      <c r="AI446" s="0" t="n">
        <f aca="false">MATCH(MAX($K446:$O446),$K446:$O446,0)</f>
        <v>5</v>
      </c>
      <c r="AJ446" s="0" t="n">
        <f aca="false">IF(AI446&lt;&gt;$E446,1,0)</f>
        <v>1</v>
      </c>
      <c r="AK446" s="0" t="n">
        <f aca="false">IF(AJ446=1,INDEX($F446:$J446,AI446)/MAX($P446:$S446),"")</f>
        <v>0.386363636363636</v>
      </c>
      <c r="AL446" s="0" t="n">
        <f aca="false">IF(AJ446=1,1+COUNTIF($P446:$S446,"&gt;"&amp;INDEX($F446:$J446,AI446)),"")</f>
        <v>4</v>
      </c>
      <c r="AM446" s="0" t="n">
        <f aca="false">AVERAGE($P446:$S446)/MAX($P446:$S446)</f>
        <v>0.607007575757576</v>
      </c>
      <c r="AN446" s="0" t="n">
        <f aca="false">100-INDEX($F446:$J446,$E446)</f>
        <v>67.5</v>
      </c>
    </row>
    <row r="447" customFormat="false" ht="15" hidden="false" customHeight="false" outlineLevel="0" collapsed="false">
      <c r="A447" s="0" t="s">
        <v>57</v>
      </c>
      <c r="B447" s="0" t="n">
        <v>2019</v>
      </c>
      <c r="C447" s="0" t="s">
        <v>51</v>
      </c>
      <c r="D447" s="0" t="s">
        <v>43</v>
      </c>
      <c r="E447" s="0" t="n">
        <v>1</v>
      </c>
      <c r="F447" s="0" t="n">
        <v>41.8</v>
      </c>
      <c r="G447" s="0" t="n">
        <v>16.4</v>
      </c>
      <c r="H447" s="0" t="n">
        <v>10.5</v>
      </c>
      <c r="I447" s="0" t="n">
        <v>16.9</v>
      </c>
      <c r="J447" s="0" t="n">
        <v>10.6</v>
      </c>
      <c r="K447" s="0" t="n">
        <v>46.7340666399</v>
      </c>
      <c r="L447" s="0" t="n">
        <v>13.4861129059</v>
      </c>
      <c r="M447" s="0" t="n">
        <v>31.7349942472</v>
      </c>
      <c r="N447" s="0" t="n">
        <v>6.3753417337</v>
      </c>
      <c r="O447" s="0" t="n">
        <v>1.66948447331</v>
      </c>
      <c r="P447" s="0" t="n">
        <f aca="false">INDEX($F447:$J447,IF(1&lt;$E447,1,1+1))</f>
        <v>16.4</v>
      </c>
      <c r="Q447" s="0" t="n">
        <f aca="false">INDEX($F447:$J447,IF(2&lt;$E447,2,2+1))</f>
        <v>10.5</v>
      </c>
      <c r="R447" s="0" t="n">
        <f aca="false">INDEX($F447:$J447,IF(3&lt;$E447,3,3+1))</f>
        <v>16.9</v>
      </c>
      <c r="S447" s="0" t="n">
        <f aca="false">INDEX($F447:$J447,IF(4&lt;$E447,4,4+1))</f>
        <v>10.6</v>
      </c>
      <c r="T447" s="0" t="n">
        <f aca="false">INDEX($K447:$O447,IF(1&lt;$E447,1,1+1))</f>
        <v>13.4861129059</v>
      </c>
      <c r="U447" s="0" t="n">
        <f aca="false">INDEX($K447:$O447,IF(2&lt;$E447,2,2+1))</f>
        <v>31.7349942472</v>
      </c>
      <c r="V447" s="0" t="n">
        <f aca="false">INDEX($K447:$O447,IF(3&lt;$E447,3,3+1))</f>
        <v>6.3753417337</v>
      </c>
      <c r="W447" s="0" t="n">
        <f aca="false">INDEX($K447:$O447,IF(4&lt;$E447,4,4+1))</f>
        <v>1.66948447331</v>
      </c>
      <c r="X447" s="0" t="n">
        <f aca="false">1+COUNTIF($P447:$S447,"&gt;"&amp;$P447)+(COUNTIF($P447:$S447,$P447)-1)/2</f>
        <v>2</v>
      </c>
      <c r="Y447" s="0" t="n">
        <f aca="false">1+COUNTIF($P447:$S447,"&gt;"&amp;$Q447)+(COUNTIF($P447:$S447,$Q447)-1)/2</f>
        <v>4</v>
      </c>
      <c r="Z447" s="0" t="n">
        <f aca="false">1+COUNTIF($P447:$S447,"&gt;"&amp;$R447)+(COUNTIF($P447:$S447,$R447)-1)/2</f>
        <v>1</v>
      </c>
      <c r="AA447" s="0" t="n">
        <f aca="false">1+COUNTIF($P447:$S447,"&gt;"&amp;$S447)+(COUNTIF($P447:$S447,$S447)-1)/2</f>
        <v>3</v>
      </c>
      <c r="AB447" s="0" t="n">
        <f aca="false">1+COUNTIF($T447:$W447,"&gt;"&amp;$T447)+(COUNTIF($T447:$W447,$T447)-1)/2</f>
        <v>2</v>
      </c>
      <c r="AC447" s="0" t="n">
        <f aca="false">1+COUNTIF($T447:$W447,"&gt;"&amp;$U447)+(COUNTIF($T447:$W447,$U447)-1)/2</f>
        <v>1</v>
      </c>
      <c r="AD447" s="0" t="n">
        <f aca="false">1+COUNTIF($T447:$W447,"&gt;"&amp;$V447)+(COUNTIF($T447:$W447,$V447)-1)/2</f>
        <v>3</v>
      </c>
      <c r="AE447" s="0" t="n">
        <f aca="false">1+COUNTIF($T447:$W447,"&gt;"&amp;$W447)+(COUNTIF($T447:$W447,$W447)-1)/2</f>
        <v>4</v>
      </c>
      <c r="AF447" s="0" t="n">
        <f aca="false">IFERROR(CORREL($P447:$S447,$T447:$W447),"")</f>
        <v>-0.31902860754616</v>
      </c>
      <c r="AG447" s="0" t="n">
        <f aca="false">IFERROR(CORREL($X447:$AA447,$AB447:$AE447),"")</f>
        <v>-0.4</v>
      </c>
      <c r="AH447" s="0" t="n">
        <f aca="false">IFERROR((SIGN($P447-$Q447)*SIGN($T447-$U447)+SIGN($P447-$R447)*SIGN($T447-$V447)+SIGN($P447-$S447)*SIGN($T447-$W447)+SIGN($Q447-$R447)*SIGN($U447-$V447)+SIGN($Q447-$S447)*SIGN($U447-$W447)+SIGN($R447-$S447)*SIGN($V447-$W447))/SQRT((6-(($P447=$Q447)*1+($P447=$R447)*1+($P447=$S447)*1+($Q447=$R447)*1+($Q447=$S447)*1+($R447=$S447)*1))*(6-(($T447=$U447)*1+($T447=$V447)*1+($T447=$W447)*1+($U447=$V447)*1+($U447=$W447)*1+($V447=$W447)*1))),"")</f>
        <v>-0.333333333333333</v>
      </c>
      <c r="AI447" s="0" t="n">
        <f aca="false">MATCH(MAX($K447:$O447),$K447:$O447,0)</f>
        <v>1</v>
      </c>
      <c r="AJ447" s="0" t="n">
        <f aca="false">IF(AI447&lt;&gt;$E447,1,0)</f>
        <v>0</v>
      </c>
      <c r="AK447" s="0" t="str">
        <f aca="false">IF(AJ447=1,INDEX($F447:$J447,AI447)/MAX($P447:$S447),"")</f>
        <v/>
      </c>
      <c r="AL447" s="0" t="str">
        <f aca="false">IF(AJ447=1,1+COUNTIF($P447:$S447,"&gt;"&amp;INDEX($F447:$J447,AI447)),"")</f>
        <v/>
      </c>
      <c r="AM447" s="0" t="n">
        <f aca="false">AVERAGE($P447:$S447)/MAX($P447:$S447)</f>
        <v>0.804733727810651</v>
      </c>
      <c r="AN447" s="0" t="n">
        <f aca="false">100-INDEX($F447:$J447,$E447)</f>
        <v>58.2</v>
      </c>
    </row>
    <row r="448" customFormat="false" ht="15" hidden="false" customHeight="false" outlineLevel="0" collapsed="false">
      <c r="A448" s="0" t="s">
        <v>57</v>
      </c>
      <c r="B448" s="0" t="n">
        <v>2019</v>
      </c>
      <c r="C448" s="0" t="s">
        <v>51</v>
      </c>
      <c r="D448" s="0" t="s">
        <v>44</v>
      </c>
      <c r="E448" s="0" t="n">
        <v>4</v>
      </c>
      <c r="F448" s="0" t="n">
        <v>14.7</v>
      </c>
      <c r="G448" s="0" t="n">
        <v>16.9</v>
      </c>
      <c r="H448" s="0" t="n">
        <v>17.9</v>
      </c>
      <c r="I448" s="0" t="n">
        <v>35</v>
      </c>
      <c r="J448" s="0" t="n">
        <v>11.6</v>
      </c>
      <c r="K448" s="0" t="n">
        <v>10.5344104854</v>
      </c>
      <c r="L448" s="0" t="n">
        <v>41.0393983847</v>
      </c>
      <c r="M448" s="0" t="n">
        <v>7.80791678389</v>
      </c>
      <c r="N448" s="0" t="n">
        <v>29.7380403673</v>
      </c>
      <c r="O448" s="0" t="n">
        <v>10.8802339786</v>
      </c>
      <c r="P448" s="0" t="n">
        <f aca="false">INDEX($F448:$J448,IF(1&lt;$E448,1,1+1))</f>
        <v>14.7</v>
      </c>
      <c r="Q448" s="0" t="n">
        <f aca="false">INDEX($F448:$J448,IF(2&lt;$E448,2,2+1))</f>
        <v>16.9</v>
      </c>
      <c r="R448" s="0" t="n">
        <f aca="false">INDEX($F448:$J448,IF(3&lt;$E448,3,3+1))</f>
        <v>17.9</v>
      </c>
      <c r="S448" s="0" t="n">
        <f aca="false">INDEX($F448:$J448,IF(4&lt;$E448,4,4+1))</f>
        <v>11.6</v>
      </c>
      <c r="T448" s="0" t="n">
        <f aca="false">INDEX($K448:$O448,IF(1&lt;$E448,1,1+1))</f>
        <v>10.5344104854</v>
      </c>
      <c r="U448" s="0" t="n">
        <f aca="false">INDEX($K448:$O448,IF(2&lt;$E448,2,2+1))</f>
        <v>41.0393983847</v>
      </c>
      <c r="V448" s="0" t="n">
        <f aca="false">INDEX($K448:$O448,IF(3&lt;$E448,3,3+1))</f>
        <v>7.80791678389</v>
      </c>
      <c r="W448" s="0" t="n">
        <f aca="false">INDEX($K448:$O448,IF(4&lt;$E448,4,4+1))</f>
        <v>10.8802339786</v>
      </c>
      <c r="X448" s="0" t="n">
        <f aca="false">1+COUNTIF($P448:$S448,"&gt;"&amp;$P448)+(COUNTIF($P448:$S448,$P448)-1)/2</f>
        <v>3</v>
      </c>
      <c r="Y448" s="0" t="n">
        <f aca="false">1+COUNTIF($P448:$S448,"&gt;"&amp;$Q448)+(COUNTIF($P448:$S448,$Q448)-1)/2</f>
        <v>2</v>
      </c>
      <c r="Z448" s="0" t="n">
        <f aca="false">1+COUNTIF($P448:$S448,"&gt;"&amp;$R448)+(COUNTIF($P448:$S448,$R448)-1)/2</f>
        <v>1</v>
      </c>
      <c r="AA448" s="0" t="n">
        <f aca="false">1+COUNTIF($P448:$S448,"&gt;"&amp;$S448)+(COUNTIF($P448:$S448,$S448)-1)/2</f>
        <v>4</v>
      </c>
      <c r="AB448" s="0" t="n">
        <f aca="false">1+COUNTIF($T448:$W448,"&gt;"&amp;$T448)+(COUNTIF($T448:$W448,$T448)-1)/2</f>
        <v>3</v>
      </c>
      <c r="AC448" s="0" t="n">
        <f aca="false">1+COUNTIF($T448:$W448,"&gt;"&amp;$U448)+(COUNTIF($T448:$W448,$U448)-1)/2</f>
        <v>1</v>
      </c>
      <c r="AD448" s="0" t="n">
        <f aca="false">1+COUNTIF($T448:$W448,"&gt;"&amp;$V448)+(COUNTIF($T448:$W448,$V448)-1)/2</f>
        <v>4</v>
      </c>
      <c r="AE448" s="0" t="n">
        <f aca="false">1+COUNTIF($T448:$W448,"&gt;"&amp;$W448)+(COUNTIF($T448:$W448,$W448)-1)/2</f>
        <v>2</v>
      </c>
      <c r="AF448" s="0" t="n">
        <f aca="false">IFERROR(CORREL($P448:$S448,$T448:$W448),"")</f>
        <v>0.312797856370009</v>
      </c>
      <c r="AG448" s="0" t="n">
        <f aca="false">IFERROR(CORREL($X448:$AA448,$AB448:$AE448),"")</f>
        <v>-0.4</v>
      </c>
      <c r="AH448" s="0" t="n">
        <f aca="false">IFERROR((SIGN($P448-$Q448)*SIGN($T448-$U448)+SIGN($P448-$R448)*SIGN($T448-$V448)+SIGN($P448-$S448)*SIGN($T448-$W448)+SIGN($Q448-$R448)*SIGN($U448-$V448)+SIGN($Q448-$S448)*SIGN($U448-$W448)+SIGN($R448-$S448)*SIGN($V448-$W448))/SQRT((6-(($P448=$Q448)*1+($P448=$R448)*1+($P448=$S448)*1+($Q448=$R448)*1+($Q448=$S448)*1+($R448=$S448)*1))*(6-(($T448=$U448)*1+($T448=$V448)*1+($T448=$W448)*1+($U448=$V448)*1+($U448=$W448)*1+($V448=$W448)*1))),"")</f>
        <v>-0.333333333333333</v>
      </c>
      <c r="AI448" s="0" t="n">
        <f aca="false">MATCH(MAX($K448:$O448),$K448:$O448,0)</f>
        <v>2</v>
      </c>
      <c r="AJ448" s="0" t="n">
        <f aca="false">IF(AI448&lt;&gt;$E448,1,0)</f>
        <v>1</v>
      </c>
      <c r="AK448" s="0" t="n">
        <f aca="false">IF(AJ448=1,INDEX($F448:$J448,AI448)/MAX($P448:$S448),"")</f>
        <v>0.944134078212291</v>
      </c>
      <c r="AL448" s="0" t="n">
        <f aca="false">IF(AJ448=1,1+COUNTIF($P448:$S448,"&gt;"&amp;INDEX($F448:$J448,AI448)),"")</f>
        <v>2</v>
      </c>
      <c r="AM448" s="0" t="n">
        <f aca="false">AVERAGE($P448:$S448)/MAX($P448:$S448)</f>
        <v>0.853351955307263</v>
      </c>
      <c r="AN448" s="0" t="n">
        <f aca="false">100-INDEX($F448:$J448,$E448)</f>
        <v>65</v>
      </c>
    </row>
    <row r="449" customFormat="false" ht="15" hidden="false" customHeight="false" outlineLevel="0" collapsed="false">
      <c r="A449" s="0" t="s">
        <v>57</v>
      </c>
      <c r="B449" s="0" t="n">
        <v>2019</v>
      </c>
      <c r="C449" s="0" t="s">
        <v>51</v>
      </c>
      <c r="D449" s="0" t="s">
        <v>45</v>
      </c>
      <c r="E449" s="0" t="n">
        <v>2</v>
      </c>
      <c r="F449" s="0" t="n">
        <v>16.2</v>
      </c>
      <c r="G449" s="0" t="n">
        <v>35.6</v>
      </c>
      <c r="H449" s="0" t="n">
        <v>13</v>
      </c>
      <c r="I449" s="0" t="n">
        <v>19.5</v>
      </c>
      <c r="J449" s="0" t="n">
        <v>11.8</v>
      </c>
      <c r="K449" s="0" t="n">
        <v>20.2633350253</v>
      </c>
      <c r="L449" s="0" t="n">
        <v>39.7477070872</v>
      </c>
      <c r="M449" s="0" t="n">
        <v>23.6226634676</v>
      </c>
      <c r="N449" s="0" t="n">
        <v>4.07725936531</v>
      </c>
      <c r="O449" s="0" t="n">
        <v>12.2890350546</v>
      </c>
      <c r="P449" s="0" t="n">
        <f aca="false">INDEX($F449:$J449,IF(1&lt;$E449,1,1+1))</f>
        <v>16.2</v>
      </c>
      <c r="Q449" s="0" t="n">
        <f aca="false">INDEX($F449:$J449,IF(2&lt;$E449,2,2+1))</f>
        <v>13</v>
      </c>
      <c r="R449" s="0" t="n">
        <f aca="false">INDEX($F449:$J449,IF(3&lt;$E449,3,3+1))</f>
        <v>19.5</v>
      </c>
      <c r="S449" s="0" t="n">
        <f aca="false">INDEX($F449:$J449,IF(4&lt;$E449,4,4+1))</f>
        <v>11.8</v>
      </c>
      <c r="T449" s="0" t="n">
        <f aca="false">INDEX($K449:$O449,IF(1&lt;$E449,1,1+1))</f>
        <v>20.2633350253</v>
      </c>
      <c r="U449" s="0" t="n">
        <f aca="false">INDEX($K449:$O449,IF(2&lt;$E449,2,2+1))</f>
        <v>23.6226634676</v>
      </c>
      <c r="V449" s="0" t="n">
        <f aca="false">INDEX($K449:$O449,IF(3&lt;$E449,3,3+1))</f>
        <v>4.07725936531</v>
      </c>
      <c r="W449" s="0" t="n">
        <f aca="false">INDEX($K449:$O449,IF(4&lt;$E449,4,4+1))</f>
        <v>12.2890350546</v>
      </c>
      <c r="X449" s="0" t="n">
        <f aca="false">1+COUNTIF($P449:$S449,"&gt;"&amp;$P449)+(COUNTIF($P449:$S449,$P449)-1)/2</f>
        <v>2</v>
      </c>
      <c r="Y449" s="0" t="n">
        <f aca="false">1+COUNTIF($P449:$S449,"&gt;"&amp;$Q449)+(COUNTIF($P449:$S449,$Q449)-1)/2</f>
        <v>3</v>
      </c>
      <c r="Z449" s="0" t="n">
        <f aca="false">1+COUNTIF($P449:$S449,"&gt;"&amp;$R449)+(COUNTIF($P449:$S449,$R449)-1)/2</f>
        <v>1</v>
      </c>
      <c r="AA449" s="0" t="n">
        <f aca="false">1+COUNTIF($P449:$S449,"&gt;"&amp;$S449)+(COUNTIF($P449:$S449,$S449)-1)/2</f>
        <v>4</v>
      </c>
      <c r="AB449" s="0" t="n">
        <f aca="false">1+COUNTIF($T449:$W449,"&gt;"&amp;$T449)+(COUNTIF($T449:$W449,$T449)-1)/2</f>
        <v>2</v>
      </c>
      <c r="AC449" s="0" t="n">
        <f aca="false">1+COUNTIF($T449:$W449,"&gt;"&amp;$U449)+(COUNTIF($T449:$W449,$U449)-1)/2</f>
        <v>1</v>
      </c>
      <c r="AD449" s="0" t="n">
        <f aca="false">1+COUNTIF($T449:$W449,"&gt;"&amp;$V449)+(COUNTIF($T449:$W449,$V449)-1)/2</f>
        <v>4</v>
      </c>
      <c r="AE449" s="0" t="n">
        <f aca="false">1+COUNTIF($T449:$W449,"&gt;"&amp;$W449)+(COUNTIF($T449:$W449,$W449)-1)/2</f>
        <v>3</v>
      </c>
      <c r="AF449" s="0" t="n">
        <f aca="false">IFERROR(CORREL($P449:$S449,$T449:$W449),"")</f>
        <v>-0.56794759850564</v>
      </c>
      <c r="AG449" s="0" t="n">
        <f aca="false">IFERROR(CORREL($X449:$AA449,$AB449:$AE449),"")</f>
        <v>-0.4</v>
      </c>
      <c r="AH449" s="0" t="n">
        <f aca="false">IFERROR((SIGN($P449-$Q449)*SIGN($T449-$U449)+SIGN($P449-$R449)*SIGN($T449-$V449)+SIGN($P449-$S449)*SIGN($T449-$W449)+SIGN($Q449-$R449)*SIGN($U449-$V449)+SIGN($Q449-$S449)*SIGN($U449-$W449)+SIGN($R449-$S449)*SIGN($V449-$W449))/SQRT((6-(($P449=$Q449)*1+($P449=$R449)*1+($P449=$S449)*1+($Q449=$R449)*1+($Q449=$S449)*1+($R449=$S449)*1))*(6-(($T449=$U449)*1+($T449=$V449)*1+($T449=$W449)*1+($U449=$V449)*1+($U449=$W449)*1+($V449=$W449)*1))),"")</f>
        <v>-0.333333333333333</v>
      </c>
      <c r="AI449" s="0" t="n">
        <f aca="false">MATCH(MAX($K449:$O449),$K449:$O449,0)</f>
        <v>2</v>
      </c>
      <c r="AJ449" s="0" t="n">
        <f aca="false">IF(AI449&lt;&gt;$E449,1,0)</f>
        <v>0</v>
      </c>
      <c r="AK449" s="0" t="str">
        <f aca="false">IF(AJ449=1,INDEX($F449:$J449,AI449)/MAX($P449:$S449),"")</f>
        <v/>
      </c>
      <c r="AL449" s="0" t="str">
        <f aca="false">IF(AJ449=1,1+COUNTIF($P449:$S449,"&gt;"&amp;INDEX($F449:$J449,AI449)),"")</f>
        <v/>
      </c>
      <c r="AM449" s="0" t="n">
        <f aca="false">AVERAGE($P449:$S449)/MAX($P449:$S449)</f>
        <v>0.775641025641026</v>
      </c>
      <c r="AN449" s="0" t="n">
        <f aca="false">100-INDEX($F449:$J449,$E449)</f>
        <v>64.4</v>
      </c>
    </row>
    <row r="450" customFormat="false" ht="15" hidden="false" customHeight="false" outlineLevel="0" collapsed="false">
      <c r="A450" s="0" t="s">
        <v>57</v>
      </c>
      <c r="B450" s="0" t="n">
        <v>2019</v>
      </c>
      <c r="C450" s="0" t="s">
        <v>46</v>
      </c>
      <c r="D450" s="0" t="s">
        <v>42</v>
      </c>
      <c r="E450" s="0" t="n">
        <v>1</v>
      </c>
      <c r="F450" s="0" t="n">
        <v>34.9</v>
      </c>
      <c r="G450" s="0" t="n">
        <v>14.1</v>
      </c>
      <c r="H450" s="0" t="n">
        <v>18.7</v>
      </c>
      <c r="I450" s="0" t="n">
        <v>16</v>
      </c>
      <c r="J450" s="0" t="n">
        <v>10</v>
      </c>
      <c r="K450" s="0" t="n">
        <v>63.972143621</v>
      </c>
      <c r="L450" s="0" t="n">
        <v>0.0459392757262</v>
      </c>
      <c r="M450" s="0" t="n">
        <v>35.9737317762</v>
      </c>
      <c r="N450" s="0" t="n">
        <v>0.00427183583656</v>
      </c>
      <c r="O450" s="0" t="n">
        <v>0.00391349121523</v>
      </c>
      <c r="P450" s="0" t="n">
        <f aca="false">INDEX($F450:$J450,IF(1&lt;$E450,1,1+1))</f>
        <v>14.1</v>
      </c>
      <c r="Q450" s="0" t="n">
        <f aca="false">INDEX($F450:$J450,IF(2&lt;$E450,2,2+1))</f>
        <v>18.7</v>
      </c>
      <c r="R450" s="0" t="n">
        <f aca="false">INDEX($F450:$J450,IF(3&lt;$E450,3,3+1))</f>
        <v>16</v>
      </c>
      <c r="S450" s="0" t="n">
        <f aca="false">INDEX($F450:$J450,IF(4&lt;$E450,4,4+1))</f>
        <v>10</v>
      </c>
      <c r="T450" s="0" t="n">
        <f aca="false">INDEX($K450:$O450,IF(1&lt;$E450,1,1+1))</f>
        <v>0.0459392757262</v>
      </c>
      <c r="U450" s="0" t="n">
        <f aca="false">INDEX($K450:$O450,IF(2&lt;$E450,2,2+1))</f>
        <v>35.9737317762</v>
      </c>
      <c r="V450" s="0" t="n">
        <f aca="false">INDEX($K450:$O450,IF(3&lt;$E450,3,3+1))</f>
        <v>0.00427183583656</v>
      </c>
      <c r="W450" s="0" t="n">
        <f aca="false">INDEX($K450:$O450,IF(4&lt;$E450,4,4+1))</f>
        <v>0.00391349121523</v>
      </c>
      <c r="X450" s="0" t="n">
        <f aca="false">1+COUNTIF($P450:$S450,"&gt;"&amp;$P450)+(COUNTIF($P450:$S450,$P450)-1)/2</f>
        <v>3</v>
      </c>
      <c r="Y450" s="0" t="n">
        <f aca="false">1+COUNTIF($P450:$S450,"&gt;"&amp;$Q450)+(COUNTIF($P450:$S450,$Q450)-1)/2</f>
        <v>1</v>
      </c>
      <c r="Z450" s="0" t="n">
        <f aca="false">1+COUNTIF($P450:$S450,"&gt;"&amp;$R450)+(COUNTIF($P450:$S450,$R450)-1)/2</f>
        <v>2</v>
      </c>
      <c r="AA450" s="0" t="n">
        <f aca="false">1+COUNTIF($P450:$S450,"&gt;"&amp;$S450)+(COUNTIF($P450:$S450,$S450)-1)/2</f>
        <v>4</v>
      </c>
      <c r="AB450" s="0" t="n">
        <f aca="false">1+COUNTIF($T450:$W450,"&gt;"&amp;$T450)+(COUNTIF($T450:$W450,$T450)-1)/2</f>
        <v>2</v>
      </c>
      <c r="AC450" s="0" t="n">
        <f aca="false">1+COUNTIF($T450:$W450,"&gt;"&amp;$U450)+(COUNTIF($T450:$W450,$U450)-1)/2</f>
        <v>1</v>
      </c>
      <c r="AD450" s="0" t="n">
        <f aca="false">1+COUNTIF($T450:$W450,"&gt;"&amp;$V450)+(COUNTIF($T450:$W450,$V450)-1)/2</f>
        <v>3</v>
      </c>
      <c r="AE450" s="0" t="n">
        <f aca="false">1+COUNTIF($T450:$W450,"&gt;"&amp;$W450)+(COUNTIF($T450:$W450,$W450)-1)/2</f>
        <v>4</v>
      </c>
      <c r="AF450" s="0" t="n">
        <f aca="false">IFERROR(CORREL($P450:$S450,$T450:$W450),"")</f>
        <v>0.729182631025537</v>
      </c>
      <c r="AG450" s="0" t="n">
        <f aca="false">IFERROR(CORREL($X450:$AA450,$AB450:$AE450),"")</f>
        <v>0.8</v>
      </c>
      <c r="AH450" s="0" t="n">
        <f aca="false">IFERROR((SIGN($P450-$Q450)*SIGN($T450-$U450)+SIGN($P450-$R450)*SIGN($T450-$V450)+SIGN($P450-$S450)*SIGN($T450-$W450)+SIGN($Q450-$R450)*SIGN($U450-$V450)+SIGN($Q450-$S450)*SIGN($U450-$W450)+SIGN($R450-$S450)*SIGN($V450-$W450))/SQRT((6-(($P450=$Q450)*1+($P450=$R450)*1+($P450=$S450)*1+($Q450=$R450)*1+($Q450=$S450)*1+($R450=$S450)*1))*(6-(($T450=$U450)*1+($T450=$V450)*1+($T450=$W450)*1+($U450=$V450)*1+($U450=$W450)*1+($V450=$W450)*1))),"")</f>
        <v>0.666666666666667</v>
      </c>
      <c r="AI450" s="0" t="n">
        <f aca="false">MATCH(MAX($K450:$O450),$K450:$O450,0)</f>
        <v>1</v>
      </c>
      <c r="AJ450" s="0" t="n">
        <f aca="false">IF(AI450&lt;&gt;$E450,1,0)</f>
        <v>0</v>
      </c>
      <c r="AK450" s="0" t="str">
        <f aca="false">IF(AJ450=1,INDEX($F450:$J450,AI450)/MAX($P450:$S450),"")</f>
        <v/>
      </c>
      <c r="AL450" s="0" t="str">
        <f aca="false">IF(AJ450=1,1+COUNTIF($P450:$S450,"&gt;"&amp;INDEX($F450:$J450,AI450)),"")</f>
        <v/>
      </c>
      <c r="AM450" s="0" t="n">
        <f aca="false">AVERAGE($P450:$S450)/MAX($P450:$S450)</f>
        <v>0.786096256684492</v>
      </c>
      <c r="AN450" s="0" t="n">
        <f aca="false">100-INDEX($F450:$J450,$E450)</f>
        <v>65.1</v>
      </c>
    </row>
    <row r="451" customFormat="false" ht="15" hidden="false" customHeight="false" outlineLevel="0" collapsed="false">
      <c r="A451" s="0" t="s">
        <v>57</v>
      </c>
      <c r="B451" s="0" t="n">
        <v>2019</v>
      </c>
      <c r="C451" s="0" t="s">
        <v>46</v>
      </c>
      <c r="D451" s="0" t="s">
        <v>43</v>
      </c>
      <c r="E451" s="0" t="n">
        <v>2</v>
      </c>
      <c r="F451" s="0" t="n">
        <v>15.7</v>
      </c>
      <c r="G451" s="0" t="n">
        <v>28.2</v>
      </c>
      <c r="H451" s="0" t="n">
        <v>9.5</v>
      </c>
      <c r="I451" s="0" t="n">
        <v>28.6</v>
      </c>
      <c r="J451" s="0" t="n">
        <v>11.5</v>
      </c>
      <c r="K451" s="0" t="n">
        <v>8.30494897034</v>
      </c>
      <c r="L451" s="0" t="n">
        <v>9.72684078857</v>
      </c>
      <c r="M451" s="0" t="n">
        <v>41.0887433678</v>
      </c>
      <c r="N451" s="0" t="n">
        <v>13.7653682824</v>
      </c>
      <c r="O451" s="0" t="n">
        <v>27.1140985909</v>
      </c>
      <c r="P451" s="0" t="n">
        <f aca="false">INDEX($F451:$J451,IF(1&lt;$E451,1,1+1))</f>
        <v>15.7</v>
      </c>
      <c r="Q451" s="0" t="n">
        <f aca="false">INDEX($F451:$J451,IF(2&lt;$E451,2,2+1))</f>
        <v>9.5</v>
      </c>
      <c r="R451" s="0" t="n">
        <f aca="false">INDEX($F451:$J451,IF(3&lt;$E451,3,3+1))</f>
        <v>28.6</v>
      </c>
      <c r="S451" s="0" t="n">
        <f aca="false">INDEX($F451:$J451,IF(4&lt;$E451,4,4+1))</f>
        <v>11.5</v>
      </c>
      <c r="T451" s="0" t="n">
        <f aca="false">INDEX($K451:$O451,IF(1&lt;$E451,1,1+1))</f>
        <v>8.30494897034</v>
      </c>
      <c r="U451" s="0" t="n">
        <f aca="false">INDEX($K451:$O451,IF(2&lt;$E451,2,2+1))</f>
        <v>41.0887433678</v>
      </c>
      <c r="V451" s="0" t="n">
        <f aca="false">INDEX($K451:$O451,IF(3&lt;$E451,3,3+1))</f>
        <v>13.7653682824</v>
      </c>
      <c r="W451" s="0" t="n">
        <f aca="false">INDEX($K451:$O451,IF(4&lt;$E451,4,4+1))</f>
        <v>27.1140985909</v>
      </c>
      <c r="X451" s="0" t="n">
        <f aca="false">1+COUNTIF($P451:$S451,"&gt;"&amp;$P451)+(COUNTIF($P451:$S451,$P451)-1)/2</f>
        <v>2</v>
      </c>
      <c r="Y451" s="0" t="n">
        <f aca="false">1+COUNTIF($P451:$S451,"&gt;"&amp;$Q451)+(COUNTIF($P451:$S451,$Q451)-1)/2</f>
        <v>4</v>
      </c>
      <c r="Z451" s="0" t="n">
        <f aca="false">1+COUNTIF($P451:$S451,"&gt;"&amp;$R451)+(COUNTIF($P451:$S451,$R451)-1)/2</f>
        <v>1</v>
      </c>
      <c r="AA451" s="0" t="n">
        <f aca="false">1+COUNTIF($P451:$S451,"&gt;"&amp;$S451)+(COUNTIF($P451:$S451,$S451)-1)/2</f>
        <v>3</v>
      </c>
      <c r="AB451" s="0" t="n">
        <f aca="false">1+COUNTIF($T451:$W451,"&gt;"&amp;$T451)+(COUNTIF($T451:$W451,$T451)-1)/2</f>
        <v>4</v>
      </c>
      <c r="AC451" s="0" t="n">
        <f aca="false">1+COUNTIF($T451:$W451,"&gt;"&amp;$U451)+(COUNTIF($T451:$W451,$U451)-1)/2</f>
        <v>1</v>
      </c>
      <c r="AD451" s="0" t="n">
        <f aca="false">1+COUNTIF($T451:$W451,"&gt;"&amp;$V451)+(COUNTIF($T451:$W451,$V451)-1)/2</f>
        <v>3</v>
      </c>
      <c r="AE451" s="0" t="n">
        <f aca="false">1+COUNTIF($T451:$W451,"&gt;"&amp;$W451)+(COUNTIF($T451:$W451,$W451)-1)/2</f>
        <v>2</v>
      </c>
      <c r="AF451" s="0" t="n">
        <f aca="false">IFERROR(CORREL($P451:$S451,$T451:$W451),"")</f>
        <v>-0.655786746350295</v>
      </c>
      <c r="AG451" s="0" t="n">
        <f aca="false">IFERROR(CORREL($X451:$AA451,$AB451:$AE451),"")</f>
        <v>-0.8</v>
      </c>
      <c r="AH451" s="0" t="n">
        <f aca="false">IFERROR((SIGN($P451-$Q451)*SIGN($T451-$U451)+SIGN($P451-$R451)*SIGN($T451-$V451)+SIGN($P451-$S451)*SIGN($T451-$W451)+SIGN($Q451-$R451)*SIGN($U451-$V451)+SIGN($Q451-$S451)*SIGN($U451-$W451)+SIGN($R451-$S451)*SIGN($V451-$W451))/SQRT((6-(($P451=$Q451)*1+($P451=$R451)*1+($P451=$S451)*1+($Q451=$R451)*1+($Q451=$S451)*1+($R451=$S451)*1))*(6-(($T451=$U451)*1+($T451=$V451)*1+($T451=$W451)*1+($U451=$V451)*1+($U451=$W451)*1+($V451=$W451)*1))),"")</f>
        <v>-0.666666666666667</v>
      </c>
      <c r="AI451" s="0" t="n">
        <f aca="false">MATCH(MAX($K451:$O451),$K451:$O451,0)</f>
        <v>3</v>
      </c>
      <c r="AJ451" s="0" t="n">
        <f aca="false">IF(AI451&lt;&gt;$E451,1,0)</f>
        <v>1</v>
      </c>
      <c r="AK451" s="0" t="n">
        <f aca="false">IF(AJ451=1,INDEX($F451:$J451,AI451)/MAX($P451:$S451),"")</f>
        <v>0.332167832167832</v>
      </c>
      <c r="AL451" s="0" t="n">
        <f aca="false">IF(AJ451=1,1+COUNTIF($P451:$S451,"&gt;"&amp;INDEX($F451:$J451,AI451)),"")</f>
        <v>4</v>
      </c>
      <c r="AM451" s="0" t="n">
        <f aca="false">AVERAGE($P451:$S451)/MAX($P451:$S451)</f>
        <v>0.570804195804196</v>
      </c>
      <c r="AN451" s="0" t="n">
        <f aca="false">100-INDEX($F451:$J451,$E451)</f>
        <v>71.8</v>
      </c>
    </row>
    <row r="452" customFormat="false" ht="15" hidden="false" customHeight="false" outlineLevel="0" collapsed="false">
      <c r="A452" s="0" t="s">
        <v>57</v>
      </c>
      <c r="B452" s="0" t="n">
        <v>2019</v>
      </c>
      <c r="C452" s="0" t="s">
        <v>46</v>
      </c>
      <c r="D452" s="0" t="s">
        <v>44</v>
      </c>
      <c r="E452" s="0" t="n">
        <v>2</v>
      </c>
      <c r="F452" s="0" t="n">
        <v>15.3</v>
      </c>
      <c r="G452" s="0" t="n">
        <v>38.1</v>
      </c>
      <c r="H452" s="0" t="n">
        <v>15.1</v>
      </c>
      <c r="I452" s="0" t="n">
        <v>9.1</v>
      </c>
      <c r="J452" s="0" t="n">
        <v>15.7</v>
      </c>
      <c r="K452" s="0" t="n">
        <v>1.14088157971</v>
      </c>
      <c r="L452" s="0" t="n">
        <v>37.7904305862</v>
      </c>
      <c r="M452" s="0" t="n">
        <v>10.0105480286</v>
      </c>
      <c r="N452" s="0" t="n">
        <v>17.2347569898</v>
      </c>
      <c r="O452" s="0" t="n">
        <v>33.8233828158</v>
      </c>
      <c r="P452" s="0" t="n">
        <f aca="false">INDEX($F452:$J452,IF(1&lt;$E452,1,1+1))</f>
        <v>15.3</v>
      </c>
      <c r="Q452" s="0" t="n">
        <f aca="false">INDEX($F452:$J452,IF(2&lt;$E452,2,2+1))</f>
        <v>15.1</v>
      </c>
      <c r="R452" s="0" t="n">
        <f aca="false">INDEX($F452:$J452,IF(3&lt;$E452,3,3+1))</f>
        <v>9.1</v>
      </c>
      <c r="S452" s="0" t="n">
        <f aca="false">INDEX($F452:$J452,IF(4&lt;$E452,4,4+1))</f>
        <v>15.7</v>
      </c>
      <c r="T452" s="0" t="n">
        <f aca="false">INDEX($K452:$O452,IF(1&lt;$E452,1,1+1))</f>
        <v>1.14088157971</v>
      </c>
      <c r="U452" s="0" t="n">
        <f aca="false">INDEX($K452:$O452,IF(2&lt;$E452,2,2+1))</f>
        <v>10.0105480286</v>
      </c>
      <c r="V452" s="0" t="n">
        <f aca="false">INDEX($K452:$O452,IF(3&lt;$E452,3,3+1))</f>
        <v>17.2347569898</v>
      </c>
      <c r="W452" s="0" t="n">
        <f aca="false">INDEX($K452:$O452,IF(4&lt;$E452,4,4+1))</f>
        <v>33.8233828158</v>
      </c>
      <c r="X452" s="0" t="n">
        <f aca="false">1+COUNTIF($P452:$S452,"&gt;"&amp;$P452)+(COUNTIF($P452:$S452,$P452)-1)/2</f>
        <v>2</v>
      </c>
      <c r="Y452" s="0" t="n">
        <f aca="false">1+COUNTIF($P452:$S452,"&gt;"&amp;$Q452)+(COUNTIF($P452:$S452,$Q452)-1)/2</f>
        <v>3</v>
      </c>
      <c r="Z452" s="0" t="n">
        <f aca="false">1+COUNTIF($P452:$S452,"&gt;"&amp;$R452)+(COUNTIF($P452:$S452,$R452)-1)/2</f>
        <v>4</v>
      </c>
      <c r="AA452" s="0" t="n">
        <f aca="false">1+COUNTIF($P452:$S452,"&gt;"&amp;$S452)+(COUNTIF($P452:$S452,$S452)-1)/2</f>
        <v>1</v>
      </c>
      <c r="AB452" s="0" t="n">
        <f aca="false">1+COUNTIF($T452:$W452,"&gt;"&amp;$T452)+(COUNTIF($T452:$W452,$T452)-1)/2</f>
        <v>4</v>
      </c>
      <c r="AC452" s="0" t="n">
        <f aca="false">1+COUNTIF($T452:$W452,"&gt;"&amp;$U452)+(COUNTIF($T452:$W452,$U452)-1)/2</f>
        <v>3</v>
      </c>
      <c r="AD452" s="0" t="n">
        <f aca="false">1+COUNTIF($T452:$W452,"&gt;"&amp;$V452)+(COUNTIF($T452:$W452,$V452)-1)/2</f>
        <v>2</v>
      </c>
      <c r="AE452" s="0" t="n">
        <f aca="false">1+COUNTIF($T452:$W452,"&gt;"&amp;$W452)+(COUNTIF($T452:$W452,$W452)-1)/2</f>
        <v>1</v>
      </c>
      <c r="AF452" s="0" t="n">
        <f aca="false">IFERROR(CORREL($P452:$S452,$T452:$W452),"")</f>
        <v>-0.0154255306879222</v>
      </c>
      <c r="AG452" s="0" t="n">
        <f aca="false">IFERROR(CORREL($X452:$AA452,$AB452:$AE452),"")</f>
        <v>0.2</v>
      </c>
      <c r="AH452" s="0" t="n">
        <f aca="false">IFERROR((SIGN($P452-$Q452)*SIGN($T452-$U452)+SIGN($P452-$R452)*SIGN($T452-$V452)+SIGN($P452-$S452)*SIGN($T452-$W452)+SIGN($Q452-$R452)*SIGN($U452-$V452)+SIGN($Q452-$S452)*SIGN($U452-$W452)+SIGN($R452-$S452)*SIGN($V452-$W452))/SQRT((6-(($P452=$Q452)*1+($P452=$R452)*1+($P452=$S452)*1+($Q452=$R452)*1+($Q452=$S452)*1+($R452=$S452)*1))*(6-(($T452=$U452)*1+($T452=$V452)*1+($T452=$W452)*1+($U452=$V452)*1+($U452=$W452)*1+($V452=$W452)*1))),"")</f>
        <v>0</v>
      </c>
      <c r="AI452" s="0" t="n">
        <f aca="false">MATCH(MAX($K452:$O452),$K452:$O452,0)</f>
        <v>2</v>
      </c>
      <c r="AJ452" s="0" t="n">
        <f aca="false">IF(AI452&lt;&gt;$E452,1,0)</f>
        <v>0</v>
      </c>
      <c r="AK452" s="0" t="str">
        <f aca="false">IF(AJ452=1,INDEX($F452:$J452,AI452)/MAX($P452:$S452),"")</f>
        <v/>
      </c>
      <c r="AL452" s="0" t="str">
        <f aca="false">IF(AJ452=1,1+COUNTIF($P452:$S452,"&gt;"&amp;INDEX($F452:$J452,AI452)),"")</f>
        <v/>
      </c>
      <c r="AM452" s="0" t="n">
        <f aca="false">AVERAGE($P452:$S452)/MAX($P452:$S452)</f>
        <v>0.878980891719745</v>
      </c>
      <c r="AN452" s="0" t="n">
        <f aca="false">100-INDEX($F452:$J452,$E452)</f>
        <v>61.9</v>
      </c>
    </row>
    <row r="453" customFormat="false" ht="15" hidden="false" customHeight="false" outlineLevel="0" collapsed="false">
      <c r="A453" s="0" t="s">
        <v>57</v>
      </c>
      <c r="B453" s="0" t="n">
        <v>2019</v>
      </c>
      <c r="C453" s="0" t="s">
        <v>46</v>
      </c>
      <c r="D453" s="0" t="s">
        <v>45</v>
      </c>
      <c r="E453" s="0" t="n">
        <v>1</v>
      </c>
      <c r="F453" s="0" t="n">
        <v>40</v>
      </c>
      <c r="G453" s="0" t="n">
        <v>15.9</v>
      </c>
      <c r="H453" s="0" t="n">
        <v>10</v>
      </c>
      <c r="I453" s="0" t="n">
        <v>15.9</v>
      </c>
      <c r="J453" s="0" t="n">
        <v>11.4</v>
      </c>
      <c r="K453" s="0" t="n">
        <v>36.1816027095</v>
      </c>
      <c r="L453" s="0" t="n">
        <v>2.75544324224</v>
      </c>
      <c r="M453" s="0" t="n">
        <v>4.84529468151</v>
      </c>
      <c r="N453" s="0" t="n">
        <v>21.2661122983</v>
      </c>
      <c r="O453" s="0" t="n">
        <v>34.9515470685</v>
      </c>
      <c r="P453" s="0" t="n">
        <f aca="false">INDEX($F453:$J453,IF(1&lt;$E453,1,1+1))</f>
        <v>15.9</v>
      </c>
      <c r="Q453" s="0" t="n">
        <f aca="false">INDEX($F453:$J453,IF(2&lt;$E453,2,2+1))</f>
        <v>10</v>
      </c>
      <c r="R453" s="0" t="n">
        <f aca="false">INDEX($F453:$J453,IF(3&lt;$E453,3,3+1))</f>
        <v>15.9</v>
      </c>
      <c r="S453" s="0" t="n">
        <f aca="false">INDEX($F453:$J453,IF(4&lt;$E453,4,4+1))</f>
        <v>11.4</v>
      </c>
      <c r="T453" s="0" t="n">
        <f aca="false">INDEX($K453:$O453,IF(1&lt;$E453,1,1+1))</f>
        <v>2.75544324224</v>
      </c>
      <c r="U453" s="0" t="n">
        <f aca="false">INDEX($K453:$O453,IF(2&lt;$E453,2,2+1))</f>
        <v>4.84529468151</v>
      </c>
      <c r="V453" s="0" t="n">
        <f aca="false">INDEX($K453:$O453,IF(3&lt;$E453,3,3+1))</f>
        <v>21.2661122983</v>
      </c>
      <c r="W453" s="0" t="n">
        <f aca="false">INDEX($K453:$O453,IF(4&lt;$E453,4,4+1))</f>
        <v>34.9515470685</v>
      </c>
      <c r="X453" s="0" t="n">
        <f aca="false">1+COUNTIF($P453:$S453,"&gt;"&amp;$P453)+(COUNTIF($P453:$S453,$P453)-1)/2</f>
        <v>1.5</v>
      </c>
      <c r="Y453" s="0" t="n">
        <f aca="false">1+COUNTIF($P453:$S453,"&gt;"&amp;$Q453)+(COUNTIF($P453:$S453,$Q453)-1)/2</f>
        <v>4</v>
      </c>
      <c r="Z453" s="0" t="n">
        <f aca="false">1+COUNTIF($P453:$S453,"&gt;"&amp;$R453)+(COUNTIF($P453:$S453,$R453)-1)/2</f>
        <v>1.5</v>
      </c>
      <c r="AA453" s="0" t="n">
        <f aca="false">1+COUNTIF($P453:$S453,"&gt;"&amp;$S453)+(COUNTIF($P453:$S453,$S453)-1)/2</f>
        <v>3</v>
      </c>
      <c r="AB453" s="0" t="n">
        <f aca="false">1+COUNTIF($T453:$W453,"&gt;"&amp;$T453)+(COUNTIF($T453:$W453,$T453)-1)/2</f>
        <v>4</v>
      </c>
      <c r="AC453" s="0" t="n">
        <f aca="false">1+COUNTIF($T453:$W453,"&gt;"&amp;$U453)+(COUNTIF($T453:$W453,$U453)-1)/2</f>
        <v>3</v>
      </c>
      <c r="AD453" s="0" t="n">
        <f aca="false">1+COUNTIF($T453:$W453,"&gt;"&amp;$V453)+(COUNTIF($T453:$W453,$V453)-1)/2</f>
        <v>2</v>
      </c>
      <c r="AE453" s="0" t="n">
        <f aca="false">1+COUNTIF($T453:$W453,"&gt;"&amp;$W453)+(COUNTIF($T453:$W453,$W453)-1)/2</f>
        <v>1</v>
      </c>
      <c r="AF453" s="0" t="n">
        <f aca="false">IFERROR(CORREL($P453:$S453,$T453:$W453),"")</f>
        <v>-0.143756563551644</v>
      </c>
      <c r="AG453" s="0" t="n">
        <f aca="false">IFERROR(CORREL($X453:$AA453,$AB453:$AE453),"")</f>
        <v>-0.210818510677892</v>
      </c>
      <c r="AH453" s="0" t="n">
        <f aca="false">IFERROR((SIGN($P453-$Q453)*SIGN($T453-$U453)+SIGN($P453-$R453)*SIGN($T453-$V453)+SIGN($P453-$S453)*SIGN($T453-$W453)+SIGN($Q453-$R453)*SIGN($U453-$V453)+SIGN($Q453-$S453)*SIGN($U453-$W453)+SIGN($R453-$S453)*SIGN($V453-$W453))/SQRT((6-(($P453=$Q453)*1+($P453=$R453)*1+($P453=$S453)*1+($Q453=$R453)*1+($Q453=$S453)*1+($R453=$S453)*1))*(6-(($T453=$U453)*1+($T453=$V453)*1+($T453=$W453)*1+($U453=$V453)*1+($U453=$W453)*1+($V453=$W453)*1))),"")</f>
        <v>-0.182574185835055</v>
      </c>
      <c r="AI453" s="0" t="n">
        <f aca="false">MATCH(MAX($K453:$O453),$K453:$O453,0)</f>
        <v>1</v>
      </c>
      <c r="AJ453" s="0" t="n">
        <f aca="false">IF(AI453&lt;&gt;$E453,1,0)</f>
        <v>0</v>
      </c>
      <c r="AK453" s="0" t="str">
        <f aca="false">IF(AJ453=1,INDEX($F453:$J453,AI453)/MAX($P453:$S453),"")</f>
        <v/>
      </c>
      <c r="AL453" s="0" t="str">
        <f aca="false">IF(AJ453=1,1+COUNTIF($P453:$S453,"&gt;"&amp;INDEX($F453:$J453,AI453)),"")</f>
        <v/>
      </c>
      <c r="AM453" s="0" t="n">
        <f aca="false">AVERAGE($P453:$S453)/MAX($P453:$S453)</f>
        <v>0.836477987421384</v>
      </c>
      <c r="AN453" s="0" t="n">
        <f aca="false">100-INDEX($F453:$J453,$E453)</f>
        <v>60</v>
      </c>
    </row>
    <row r="454" customFormat="false" ht="15" hidden="false" customHeight="false" outlineLevel="0" collapsed="false">
      <c r="A454" s="0" t="s">
        <v>57</v>
      </c>
      <c r="B454" s="0" t="n">
        <v>2018</v>
      </c>
      <c r="C454" s="0" t="s">
        <v>58</v>
      </c>
      <c r="D454" s="0" t="s">
        <v>42</v>
      </c>
      <c r="E454" s="0" t="n">
        <v>4</v>
      </c>
      <c r="F454" s="0" t="n">
        <v>15.6</v>
      </c>
      <c r="G454" s="0" t="n">
        <v>19.2</v>
      </c>
      <c r="H454" s="0" t="n">
        <v>16.8</v>
      </c>
      <c r="I454" s="0" t="n">
        <v>35.8</v>
      </c>
      <c r="J454" s="0" t="n">
        <v>8.3</v>
      </c>
      <c r="K454" s="0" t="n">
        <v>50.5218741013</v>
      </c>
      <c r="L454" s="0" t="n">
        <v>14.2969574341</v>
      </c>
      <c r="M454" s="0" t="n">
        <v>7.97528597557</v>
      </c>
      <c r="N454" s="0" t="n">
        <v>25.6989275777</v>
      </c>
      <c r="O454" s="0" t="n">
        <v>1.5069549113</v>
      </c>
      <c r="P454" s="0" t="n">
        <f aca="false">INDEX($F454:$J454,IF(1&lt;$E454,1,1+1))</f>
        <v>15.6</v>
      </c>
      <c r="Q454" s="0" t="n">
        <f aca="false">INDEX($F454:$J454,IF(2&lt;$E454,2,2+1))</f>
        <v>19.2</v>
      </c>
      <c r="R454" s="0" t="n">
        <f aca="false">INDEX($F454:$J454,IF(3&lt;$E454,3,3+1))</f>
        <v>16.8</v>
      </c>
      <c r="S454" s="0" t="n">
        <f aca="false">INDEX($F454:$J454,IF(4&lt;$E454,4,4+1))</f>
        <v>8.3</v>
      </c>
      <c r="T454" s="0" t="n">
        <f aca="false">INDEX($K454:$O454,IF(1&lt;$E454,1,1+1))</f>
        <v>50.5218741013</v>
      </c>
      <c r="U454" s="0" t="n">
        <f aca="false">INDEX($K454:$O454,IF(2&lt;$E454,2,2+1))</f>
        <v>14.2969574341</v>
      </c>
      <c r="V454" s="0" t="n">
        <f aca="false">INDEX($K454:$O454,IF(3&lt;$E454,3,3+1))</f>
        <v>7.97528597557</v>
      </c>
      <c r="W454" s="0" t="n">
        <f aca="false">INDEX($K454:$O454,IF(4&lt;$E454,4,4+1))</f>
        <v>1.5069549113</v>
      </c>
      <c r="X454" s="0" t="n">
        <f aca="false">1+COUNTIF($P454:$S454,"&gt;"&amp;$P454)+(COUNTIF($P454:$S454,$P454)-1)/2</f>
        <v>3</v>
      </c>
      <c r="Y454" s="0" t="n">
        <f aca="false">1+COUNTIF($P454:$S454,"&gt;"&amp;$Q454)+(COUNTIF($P454:$S454,$Q454)-1)/2</f>
        <v>1</v>
      </c>
      <c r="Z454" s="0" t="n">
        <f aca="false">1+COUNTIF($P454:$S454,"&gt;"&amp;$R454)+(COUNTIF($P454:$S454,$R454)-1)/2</f>
        <v>2</v>
      </c>
      <c r="AA454" s="0" t="n">
        <f aca="false">1+COUNTIF($P454:$S454,"&gt;"&amp;$S454)+(COUNTIF($P454:$S454,$S454)-1)/2</f>
        <v>4</v>
      </c>
      <c r="AB454" s="0" t="n">
        <f aca="false">1+COUNTIF($T454:$W454,"&gt;"&amp;$T454)+(COUNTIF($T454:$W454,$T454)-1)/2</f>
        <v>1</v>
      </c>
      <c r="AC454" s="0" t="n">
        <f aca="false">1+COUNTIF($T454:$W454,"&gt;"&amp;$U454)+(COUNTIF($T454:$W454,$U454)-1)/2</f>
        <v>2</v>
      </c>
      <c r="AD454" s="0" t="n">
        <f aca="false">1+COUNTIF($T454:$W454,"&gt;"&amp;$V454)+(COUNTIF($T454:$W454,$V454)-1)/2</f>
        <v>3</v>
      </c>
      <c r="AE454" s="0" t="n">
        <f aca="false">1+COUNTIF($T454:$W454,"&gt;"&amp;$W454)+(COUNTIF($T454:$W454,$W454)-1)/2</f>
        <v>4</v>
      </c>
      <c r="AF454" s="0" t="n">
        <f aca="false">IFERROR(CORREL($P454:$S454,$T454:$W454),"")</f>
        <v>0.312364996797807</v>
      </c>
      <c r="AG454" s="0" t="n">
        <f aca="false">IFERROR(CORREL($X454:$AA454,$AB454:$AE454),"")</f>
        <v>0.4</v>
      </c>
      <c r="AH454" s="0" t="n">
        <f aca="false">IFERROR((SIGN($P454-$Q454)*SIGN($T454-$U454)+SIGN($P454-$R454)*SIGN($T454-$V454)+SIGN($P454-$S454)*SIGN($T454-$W454)+SIGN($Q454-$R454)*SIGN($U454-$V454)+SIGN($Q454-$S454)*SIGN($U454-$W454)+SIGN($R454-$S454)*SIGN($V454-$W454))/SQRT((6-(($P454=$Q454)*1+($P454=$R454)*1+($P454=$S454)*1+($Q454=$R454)*1+($Q454=$S454)*1+($R454=$S454)*1))*(6-(($T454=$U454)*1+($T454=$V454)*1+($T454=$W454)*1+($U454=$V454)*1+($U454=$W454)*1+($V454=$W454)*1))),"")</f>
        <v>0.333333333333333</v>
      </c>
      <c r="AI454" s="0" t="n">
        <f aca="false">MATCH(MAX($K454:$O454),$K454:$O454,0)</f>
        <v>1</v>
      </c>
      <c r="AJ454" s="0" t="n">
        <f aca="false">IF(AI454&lt;&gt;$E454,1,0)</f>
        <v>1</v>
      </c>
      <c r="AK454" s="0" t="n">
        <f aca="false">IF(AJ454=1,INDEX($F454:$J454,AI454)/MAX($P454:$S454),"")</f>
        <v>0.8125</v>
      </c>
      <c r="AL454" s="0" t="n">
        <f aca="false">IF(AJ454=1,1+COUNTIF($P454:$S454,"&gt;"&amp;INDEX($F454:$J454,AI454)),"")</f>
        <v>3</v>
      </c>
      <c r="AM454" s="0" t="n">
        <f aca="false">AVERAGE($P454:$S454)/MAX($P454:$S454)</f>
        <v>0.779947916666667</v>
      </c>
      <c r="AN454" s="0" t="n">
        <f aca="false">100-INDEX($F454:$J454,$E454)</f>
        <v>64.2</v>
      </c>
    </row>
    <row r="455" customFormat="false" ht="15" hidden="false" customHeight="false" outlineLevel="0" collapsed="false">
      <c r="A455" s="0" t="s">
        <v>57</v>
      </c>
      <c r="B455" s="0" t="n">
        <v>2018</v>
      </c>
      <c r="C455" s="0" t="s">
        <v>58</v>
      </c>
      <c r="D455" s="0" t="s">
        <v>43</v>
      </c>
      <c r="E455" s="0" t="n">
        <v>2</v>
      </c>
      <c r="F455" s="0" t="n">
        <v>11.5</v>
      </c>
      <c r="G455" s="0" t="n">
        <v>34.9</v>
      </c>
      <c r="H455" s="0" t="n">
        <v>15.3</v>
      </c>
      <c r="I455" s="0" t="n">
        <v>8.8</v>
      </c>
      <c r="J455" s="0" t="n">
        <v>25.1</v>
      </c>
      <c r="K455" s="0" t="n">
        <v>0.992013417276</v>
      </c>
      <c r="L455" s="0" t="n">
        <v>50.7533638117</v>
      </c>
      <c r="M455" s="0" t="n">
        <v>8.51987071696</v>
      </c>
      <c r="N455" s="0" t="n">
        <v>30.5379547835</v>
      </c>
      <c r="O455" s="0" t="n">
        <v>9.19679727051</v>
      </c>
      <c r="P455" s="0" t="n">
        <f aca="false">INDEX($F455:$J455,IF(1&lt;$E455,1,1+1))</f>
        <v>11.5</v>
      </c>
      <c r="Q455" s="0" t="n">
        <f aca="false">INDEX($F455:$J455,IF(2&lt;$E455,2,2+1))</f>
        <v>15.3</v>
      </c>
      <c r="R455" s="0" t="n">
        <f aca="false">INDEX($F455:$J455,IF(3&lt;$E455,3,3+1))</f>
        <v>8.8</v>
      </c>
      <c r="S455" s="0" t="n">
        <f aca="false">INDEX($F455:$J455,IF(4&lt;$E455,4,4+1))</f>
        <v>25.1</v>
      </c>
      <c r="T455" s="0" t="n">
        <f aca="false">INDEX($K455:$O455,IF(1&lt;$E455,1,1+1))</f>
        <v>0.992013417276</v>
      </c>
      <c r="U455" s="0" t="n">
        <f aca="false">INDEX($K455:$O455,IF(2&lt;$E455,2,2+1))</f>
        <v>8.51987071696</v>
      </c>
      <c r="V455" s="0" t="n">
        <f aca="false">INDEX($K455:$O455,IF(3&lt;$E455,3,3+1))</f>
        <v>30.5379547835</v>
      </c>
      <c r="W455" s="0" t="n">
        <f aca="false">INDEX($K455:$O455,IF(4&lt;$E455,4,4+1))</f>
        <v>9.19679727051</v>
      </c>
      <c r="X455" s="0" t="n">
        <f aca="false">1+COUNTIF($P455:$S455,"&gt;"&amp;$P455)+(COUNTIF($P455:$S455,$P455)-1)/2</f>
        <v>3</v>
      </c>
      <c r="Y455" s="0" t="n">
        <f aca="false">1+COUNTIF($P455:$S455,"&gt;"&amp;$Q455)+(COUNTIF($P455:$S455,$Q455)-1)/2</f>
        <v>2</v>
      </c>
      <c r="Z455" s="0" t="n">
        <f aca="false">1+COUNTIF($P455:$S455,"&gt;"&amp;$R455)+(COUNTIF($P455:$S455,$R455)-1)/2</f>
        <v>4</v>
      </c>
      <c r="AA455" s="0" t="n">
        <f aca="false">1+COUNTIF($P455:$S455,"&gt;"&amp;$S455)+(COUNTIF($P455:$S455,$S455)-1)/2</f>
        <v>1</v>
      </c>
      <c r="AB455" s="0" t="n">
        <f aca="false">1+COUNTIF($T455:$W455,"&gt;"&amp;$T455)+(COUNTIF($T455:$W455,$T455)-1)/2</f>
        <v>4</v>
      </c>
      <c r="AC455" s="0" t="n">
        <f aca="false">1+COUNTIF($T455:$W455,"&gt;"&amp;$U455)+(COUNTIF($T455:$W455,$U455)-1)/2</f>
        <v>3</v>
      </c>
      <c r="AD455" s="0" t="n">
        <f aca="false">1+COUNTIF($T455:$W455,"&gt;"&amp;$V455)+(COUNTIF($T455:$W455,$V455)-1)/2</f>
        <v>1</v>
      </c>
      <c r="AE455" s="0" t="n">
        <f aca="false">1+COUNTIF($T455:$W455,"&gt;"&amp;$W455)+(COUNTIF($T455:$W455,$W455)-1)/2</f>
        <v>2</v>
      </c>
      <c r="AF455" s="0" t="n">
        <f aca="false">IFERROR(CORREL($P455:$S455,$T455:$W455),"")</f>
        <v>-0.389718391537079</v>
      </c>
      <c r="AG455" s="0" t="n">
        <f aca="false">IFERROR(CORREL($X455:$AA455,$AB455:$AE455),"")</f>
        <v>-0.2</v>
      </c>
      <c r="AH455" s="0" t="n">
        <f aca="false">IFERROR((SIGN($P455-$Q455)*SIGN($T455-$U455)+SIGN($P455-$R455)*SIGN($T455-$V455)+SIGN($P455-$S455)*SIGN($T455-$W455)+SIGN($Q455-$R455)*SIGN($U455-$V455)+SIGN($Q455-$S455)*SIGN($U455-$W455)+SIGN($R455-$S455)*SIGN($V455-$W455))/SQRT((6-(($P455=$Q455)*1+($P455=$R455)*1+($P455=$S455)*1+($Q455=$R455)*1+($Q455=$S455)*1+($R455=$S455)*1))*(6-(($T455=$U455)*1+($T455=$V455)*1+($T455=$W455)*1+($U455=$V455)*1+($U455=$W455)*1+($V455=$W455)*1))),"")</f>
        <v>0</v>
      </c>
      <c r="AI455" s="0" t="n">
        <f aca="false">MATCH(MAX($K455:$O455),$K455:$O455,0)</f>
        <v>2</v>
      </c>
      <c r="AJ455" s="0" t="n">
        <f aca="false">IF(AI455&lt;&gt;$E455,1,0)</f>
        <v>0</v>
      </c>
      <c r="AK455" s="0" t="str">
        <f aca="false">IF(AJ455=1,INDEX($F455:$J455,AI455)/MAX($P455:$S455),"")</f>
        <v/>
      </c>
      <c r="AL455" s="0" t="str">
        <f aca="false">IF(AJ455=1,1+COUNTIF($P455:$S455,"&gt;"&amp;INDEX($F455:$J455,AI455)),"")</f>
        <v/>
      </c>
      <c r="AM455" s="0" t="n">
        <f aca="false">AVERAGE($P455:$S455)/MAX($P455:$S455)</f>
        <v>0.604581673306773</v>
      </c>
      <c r="AN455" s="0" t="n">
        <f aca="false">100-INDEX($F455:$J455,$E455)</f>
        <v>65.1</v>
      </c>
    </row>
    <row r="456" customFormat="false" ht="15" hidden="false" customHeight="false" outlineLevel="0" collapsed="false">
      <c r="A456" s="0" t="s">
        <v>57</v>
      </c>
      <c r="B456" s="0" t="n">
        <v>2018</v>
      </c>
      <c r="C456" s="0" t="s">
        <v>58</v>
      </c>
      <c r="D456" s="0" t="s">
        <v>44</v>
      </c>
      <c r="E456" s="0" t="n">
        <v>1</v>
      </c>
      <c r="F456" s="0" t="n">
        <v>23.6</v>
      </c>
      <c r="G456" s="0" t="n">
        <v>22.1</v>
      </c>
      <c r="H456" s="0" t="n">
        <v>22.9</v>
      </c>
      <c r="I456" s="0" t="n">
        <v>20.5</v>
      </c>
      <c r="J456" s="0" t="n">
        <v>6.4</v>
      </c>
      <c r="K456" s="0" t="n">
        <v>33.5249581571</v>
      </c>
      <c r="L456" s="0" t="n">
        <v>0.108236847205</v>
      </c>
      <c r="M456" s="0" t="n">
        <v>44.2364474967</v>
      </c>
      <c r="N456" s="0" t="n">
        <v>12.0066654263</v>
      </c>
      <c r="O456" s="0" t="n">
        <v>10.1236920727</v>
      </c>
      <c r="P456" s="0" t="n">
        <f aca="false">INDEX($F456:$J456,IF(1&lt;$E456,1,1+1))</f>
        <v>22.1</v>
      </c>
      <c r="Q456" s="0" t="n">
        <f aca="false">INDEX($F456:$J456,IF(2&lt;$E456,2,2+1))</f>
        <v>22.9</v>
      </c>
      <c r="R456" s="0" t="n">
        <f aca="false">INDEX($F456:$J456,IF(3&lt;$E456,3,3+1))</f>
        <v>20.5</v>
      </c>
      <c r="S456" s="0" t="n">
        <f aca="false">INDEX($F456:$J456,IF(4&lt;$E456,4,4+1))</f>
        <v>6.4</v>
      </c>
      <c r="T456" s="0" t="n">
        <f aca="false">INDEX($K456:$O456,IF(1&lt;$E456,1,1+1))</f>
        <v>0.108236847205</v>
      </c>
      <c r="U456" s="0" t="n">
        <f aca="false">INDEX($K456:$O456,IF(2&lt;$E456,2,2+1))</f>
        <v>44.2364474967</v>
      </c>
      <c r="V456" s="0" t="n">
        <f aca="false">INDEX($K456:$O456,IF(3&lt;$E456,3,3+1))</f>
        <v>12.0066654263</v>
      </c>
      <c r="W456" s="0" t="n">
        <f aca="false">INDEX($K456:$O456,IF(4&lt;$E456,4,4+1))</f>
        <v>10.1236920727</v>
      </c>
      <c r="X456" s="0" t="n">
        <f aca="false">1+COUNTIF($P456:$S456,"&gt;"&amp;$P456)+(COUNTIF($P456:$S456,$P456)-1)/2</f>
        <v>2</v>
      </c>
      <c r="Y456" s="0" t="n">
        <f aca="false">1+COUNTIF($P456:$S456,"&gt;"&amp;$Q456)+(COUNTIF($P456:$S456,$Q456)-1)/2</f>
        <v>1</v>
      </c>
      <c r="Z456" s="0" t="n">
        <f aca="false">1+COUNTIF($P456:$S456,"&gt;"&amp;$R456)+(COUNTIF($P456:$S456,$R456)-1)/2</f>
        <v>3</v>
      </c>
      <c r="AA456" s="0" t="n">
        <f aca="false">1+COUNTIF($P456:$S456,"&gt;"&amp;$S456)+(COUNTIF($P456:$S456,$S456)-1)/2</f>
        <v>4</v>
      </c>
      <c r="AB456" s="0" t="n">
        <f aca="false">1+COUNTIF($T456:$W456,"&gt;"&amp;$T456)+(COUNTIF($T456:$W456,$T456)-1)/2</f>
        <v>4</v>
      </c>
      <c r="AC456" s="0" t="n">
        <f aca="false">1+COUNTIF($T456:$W456,"&gt;"&amp;$U456)+(COUNTIF($T456:$W456,$U456)-1)/2</f>
        <v>1</v>
      </c>
      <c r="AD456" s="0" t="n">
        <f aca="false">1+COUNTIF($T456:$W456,"&gt;"&amp;$V456)+(COUNTIF($T456:$W456,$V456)-1)/2</f>
        <v>2</v>
      </c>
      <c r="AE456" s="0" t="n">
        <f aca="false">1+COUNTIF($T456:$W456,"&gt;"&amp;$W456)+(COUNTIF($T456:$W456,$W456)-1)/2</f>
        <v>3</v>
      </c>
      <c r="AF456" s="0" t="n">
        <f aca="false">IFERROR(CORREL($P456:$S456,$T456:$W456),"")</f>
        <v>0.294238300231152</v>
      </c>
      <c r="AG456" s="0" t="n">
        <f aca="false">IFERROR(CORREL($X456:$AA456,$AB456:$AE456),"")</f>
        <v>0.4</v>
      </c>
      <c r="AH456" s="0" t="n">
        <f aca="false">IFERROR((SIGN($P456-$Q456)*SIGN($T456-$U456)+SIGN($P456-$R456)*SIGN($T456-$V456)+SIGN($P456-$S456)*SIGN($T456-$W456)+SIGN($Q456-$R456)*SIGN($U456-$V456)+SIGN($Q456-$S456)*SIGN($U456-$W456)+SIGN($R456-$S456)*SIGN($V456-$W456))/SQRT((6-(($P456=$Q456)*1+($P456=$R456)*1+($P456=$S456)*1+($Q456=$R456)*1+($Q456=$S456)*1+($R456=$S456)*1))*(6-(($T456=$U456)*1+($T456=$V456)*1+($T456=$W456)*1+($U456=$V456)*1+($U456=$W456)*1+($V456=$W456)*1))),"")</f>
        <v>0.333333333333333</v>
      </c>
      <c r="AI456" s="0" t="n">
        <f aca="false">MATCH(MAX($K456:$O456),$K456:$O456,0)</f>
        <v>3</v>
      </c>
      <c r="AJ456" s="0" t="n">
        <f aca="false">IF(AI456&lt;&gt;$E456,1,0)</f>
        <v>1</v>
      </c>
      <c r="AK456" s="0" t="n">
        <f aca="false">IF(AJ456=1,INDEX($F456:$J456,AI456)/MAX($P456:$S456),"")</f>
        <v>1</v>
      </c>
      <c r="AL456" s="0" t="n">
        <f aca="false">IF(AJ456=1,1+COUNTIF($P456:$S456,"&gt;"&amp;INDEX($F456:$J456,AI456)),"")</f>
        <v>1</v>
      </c>
      <c r="AM456" s="0" t="n">
        <f aca="false">AVERAGE($P456:$S456)/MAX($P456:$S456)</f>
        <v>0.784934497816594</v>
      </c>
      <c r="AN456" s="0" t="n">
        <f aca="false">100-INDEX($F456:$J456,$E456)</f>
        <v>76.4</v>
      </c>
    </row>
    <row r="457" customFormat="false" ht="15" hidden="false" customHeight="false" outlineLevel="0" collapsed="false">
      <c r="A457" s="0" t="s">
        <v>57</v>
      </c>
      <c r="B457" s="0" t="n">
        <v>2018</v>
      </c>
      <c r="C457" s="0" t="s">
        <v>58</v>
      </c>
      <c r="D457" s="0" t="s">
        <v>45</v>
      </c>
      <c r="E457" s="0" t="n">
        <v>5</v>
      </c>
      <c r="F457" s="0" t="n">
        <v>14.9</v>
      </c>
      <c r="G457" s="0" t="n">
        <v>13.1</v>
      </c>
      <c r="H457" s="0" t="n">
        <v>23.3</v>
      </c>
      <c r="I457" s="0" t="n">
        <v>11.3</v>
      </c>
      <c r="J457" s="0" t="n">
        <v>32.9</v>
      </c>
      <c r="K457" s="0" t="n">
        <v>24.3895151839</v>
      </c>
      <c r="L457" s="0" t="n">
        <v>10.1519796365</v>
      </c>
      <c r="M457" s="0" t="n">
        <v>46.0423375532</v>
      </c>
      <c r="N457" s="0" t="n">
        <v>12.6431949514</v>
      </c>
      <c r="O457" s="0" t="n">
        <v>6.772972675</v>
      </c>
      <c r="P457" s="0" t="n">
        <f aca="false">INDEX($F457:$J457,IF(1&lt;$E457,1,1+1))</f>
        <v>14.9</v>
      </c>
      <c r="Q457" s="0" t="n">
        <f aca="false">INDEX($F457:$J457,IF(2&lt;$E457,2,2+1))</f>
        <v>13.1</v>
      </c>
      <c r="R457" s="0" t="n">
        <f aca="false">INDEX($F457:$J457,IF(3&lt;$E457,3,3+1))</f>
        <v>23.3</v>
      </c>
      <c r="S457" s="0" t="n">
        <f aca="false">INDEX($F457:$J457,IF(4&lt;$E457,4,4+1))</f>
        <v>11.3</v>
      </c>
      <c r="T457" s="0" t="n">
        <f aca="false">INDEX($K457:$O457,IF(1&lt;$E457,1,1+1))</f>
        <v>24.3895151839</v>
      </c>
      <c r="U457" s="0" t="n">
        <f aca="false">INDEX($K457:$O457,IF(2&lt;$E457,2,2+1))</f>
        <v>10.1519796365</v>
      </c>
      <c r="V457" s="0" t="n">
        <f aca="false">INDEX($K457:$O457,IF(3&lt;$E457,3,3+1))</f>
        <v>46.0423375532</v>
      </c>
      <c r="W457" s="0" t="n">
        <f aca="false">INDEX($K457:$O457,IF(4&lt;$E457,4,4+1))</f>
        <v>12.6431949514</v>
      </c>
      <c r="X457" s="0" t="n">
        <f aca="false">1+COUNTIF($P457:$S457,"&gt;"&amp;$P457)+(COUNTIF($P457:$S457,$P457)-1)/2</f>
        <v>2</v>
      </c>
      <c r="Y457" s="0" t="n">
        <f aca="false">1+COUNTIF($P457:$S457,"&gt;"&amp;$Q457)+(COUNTIF($P457:$S457,$Q457)-1)/2</f>
        <v>3</v>
      </c>
      <c r="Z457" s="0" t="n">
        <f aca="false">1+COUNTIF($P457:$S457,"&gt;"&amp;$R457)+(COUNTIF($P457:$S457,$R457)-1)/2</f>
        <v>1</v>
      </c>
      <c r="AA457" s="0" t="n">
        <f aca="false">1+COUNTIF($P457:$S457,"&gt;"&amp;$S457)+(COUNTIF($P457:$S457,$S457)-1)/2</f>
        <v>4</v>
      </c>
      <c r="AB457" s="0" t="n">
        <f aca="false">1+COUNTIF($T457:$W457,"&gt;"&amp;$T457)+(COUNTIF($T457:$W457,$T457)-1)/2</f>
        <v>2</v>
      </c>
      <c r="AC457" s="0" t="n">
        <f aca="false">1+COUNTIF($T457:$W457,"&gt;"&amp;$U457)+(COUNTIF($T457:$W457,$U457)-1)/2</f>
        <v>4</v>
      </c>
      <c r="AD457" s="0" t="n">
        <f aca="false">1+COUNTIF($T457:$W457,"&gt;"&amp;$V457)+(COUNTIF($T457:$W457,$V457)-1)/2</f>
        <v>1</v>
      </c>
      <c r="AE457" s="0" t="n">
        <f aca="false">1+COUNTIF($T457:$W457,"&gt;"&amp;$W457)+(COUNTIF($T457:$W457,$W457)-1)/2</f>
        <v>3</v>
      </c>
      <c r="AF457" s="0" t="n">
        <f aca="false">IFERROR(CORREL($P457:$S457,$T457:$W457),"")</f>
        <v>0.970267560810605</v>
      </c>
      <c r="AG457" s="0" t="n">
        <f aca="false">IFERROR(CORREL($X457:$AA457,$AB457:$AE457),"")</f>
        <v>0.8</v>
      </c>
      <c r="AH457" s="0" t="n">
        <f aca="false">IFERROR((SIGN($P457-$Q457)*SIGN($T457-$U457)+SIGN($P457-$R457)*SIGN($T457-$V457)+SIGN($P457-$S457)*SIGN($T457-$W457)+SIGN($Q457-$R457)*SIGN($U457-$V457)+SIGN($Q457-$S457)*SIGN($U457-$W457)+SIGN($R457-$S457)*SIGN($V457-$W457))/SQRT((6-(($P457=$Q457)*1+($P457=$R457)*1+($P457=$S457)*1+($Q457=$R457)*1+($Q457=$S457)*1+($R457=$S457)*1))*(6-(($T457=$U457)*1+($T457=$V457)*1+($T457=$W457)*1+($U457=$V457)*1+($U457=$W457)*1+($V457=$W457)*1))),"")</f>
        <v>0.666666666666667</v>
      </c>
      <c r="AI457" s="0" t="n">
        <f aca="false">MATCH(MAX($K457:$O457),$K457:$O457,0)</f>
        <v>3</v>
      </c>
      <c r="AJ457" s="0" t="n">
        <f aca="false">IF(AI457&lt;&gt;$E457,1,0)</f>
        <v>1</v>
      </c>
      <c r="AK457" s="0" t="n">
        <f aca="false">IF(AJ457=1,INDEX($F457:$J457,AI457)/MAX($P457:$S457),"")</f>
        <v>1</v>
      </c>
      <c r="AL457" s="0" t="n">
        <f aca="false">IF(AJ457=1,1+COUNTIF($P457:$S457,"&gt;"&amp;INDEX($F457:$J457,AI457)),"")</f>
        <v>1</v>
      </c>
      <c r="AM457" s="0" t="n">
        <f aca="false">AVERAGE($P457:$S457)/MAX($P457:$S457)</f>
        <v>0.671673819742489</v>
      </c>
      <c r="AN457" s="0" t="n">
        <f aca="false">100-INDEX($F457:$J457,$E457)</f>
        <v>67.1</v>
      </c>
    </row>
    <row r="458" customFormat="false" ht="15" hidden="false" customHeight="false" outlineLevel="0" collapsed="false">
      <c r="A458" s="0" t="s">
        <v>57</v>
      </c>
      <c r="B458" s="0" t="n">
        <v>2018</v>
      </c>
      <c r="C458" s="0" t="s">
        <v>49</v>
      </c>
      <c r="D458" s="0" t="s">
        <v>42</v>
      </c>
      <c r="E458" s="0" t="n">
        <v>4</v>
      </c>
      <c r="F458" s="0" t="n">
        <v>13.4</v>
      </c>
      <c r="G458" s="0" t="n">
        <v>13.1</v>
      </c>
      <c r="H458" s="0" t="n">
        <v>12.4</v>
      </c>
      <c r="I458" s="0" t="n">
        <v>32.8</v>
      </c>
      <c r="J458" s="0" t="n">
        <v>17.5</v>
      </c>
      <c r="K458" s="0" t="n">
        <v>59.335888174</v>
      </c>
      <c r="L458" s="0" t="n">
        <v>0.233732952539</v>
      </c>
      <c r="M458" s="0" t="n">
        <v>0.00118215346421</v>
      </c>
      <c r="N458" s="0" t="n">
        <v>39.81480399</v>
      </c>
      <c r="O458" s="0" t="n">
        <v>0.614392729982</v>
      </c>
      <c r="P458" s="0" t="n">
        <f aca="false">INDEX($F458:$J458,IF(1&lt;$E458,1,1+1))</f>
        <v>13.4</v>
      </c>
      <c r="Q458" s="0" t="n">
        <f aca="false">INDEX($F458:$J458,IF(2&lt;$E458,2,2+1))</f>
        <v>13.1</v>
      </c>
      <c r="R458" s="0" t="n">
        <f aca="false">INDEX($F458:$J458,IF(3&lt;$E458,3,3+1))</f>
        <v>12.4</v>
      </c>
      <c r="S458" s="0" t="n">
        <f aca="false">INDEX($F458:$J458,IF(4&lt;$E458,4,4+1))</f>
        <v>17.5</v>
      </c>
      <c r="T458" s="0" t="n">
        <f aca="false">INDEX($K458:$O458,IF(1&lt;$E458,1,1+1))</f>
        <v>59.335888174</v>
      </c>
      <c r="U458" s="0" t="n">
        <f aca="false">INDEX($K458:$O458,IF(2&lt;$E458,2,2+1))</f>
        <v>0.233732952539</v>
      </c>
      <c r="V458" s="0" t="n">
        <f aca="false">INDEX($K458:$O458,IF(3&lt;$E458,3,3+1))</f>
        <v>0.00118215346421</v>
      </c>
      <c r="W458" s="0" t="n">
        <f aca="false">INDEX($K458:$O458,IF(4&lt;$E458,4,4+1))</f>
        <v>0.614392729982</v>
      </c>
      <c r="X458" s="0" t="n">
        <f aca="false">1+COUNTIF($P458:$S458,"&gt;"&amp;$P458)+(COUNTIF($P458:$S458,$P458)-1)/2</f>
        <v>2</v>
      </c>
      <c r="Y458" s="0" t="n">
        <f aca="false">1+COUNTIF($P458:$S458,"&gt;"&amp;$Q458)+(COUNTIF($P458:$S458,$Q458)-1)/2</f>
        <v>3</v>
      </c>
      <c r="Z458" s="0" t="n">
        <f aca="false">1+COUNTIF($P458:$S458,"&gt;"&amp;$R458)+(COUNTIF($P458:$S458,$R458)-1)/2</f>
        <v>4</v>
      </c>
      <c r="AA458" s="0" t="n">
        <f aca="false">1+COUNTIF($P458:$S458,"&gt;"&amp;$S458)+(COUNTIF($P458:$S458,$S458)-1)/2</f>
        <v>1</v>
      </c>
      <c r="AB458" s="0" t="n">
        <f aca="false">1+COUNTIF($T458:$W458,"&gt;"&amp;$T458)+(COUNTIF($T458:$W458,$T458)-1)/2</f>
        <v>1</v>
      </c>
      <c r="AC458" s="0" t="n">
        <f aca="false">1+COUNTIF($T458:$W458,"&gt;"&amp;$U458)+(COUNTIF($T458:$W458,$U458)-1)/2</f>
        <v>3</v>
      </c>
      <c r="AD458" s="0" t="n">
        <f aca="false">1+COUNTIF($T458:$W458,"&gt;"&amp;$V458)+(COUNTIF($T458:$W458,$V458)-1)/2</f>
        <v>4</v>
      </c>
      <c r="AE458" s="0" t="n">
        <f aca="false">1+COUNTIF($T458:$W458,"&gt;"&amp;$W458)+(COUNTIF($T458:$W458,$W458)-1)/2</f>
        <v>2</v>
      </c>
      <c r="AF458" s="0" t="n">
        <f aca="false">IFERROR(CORREL($P458:$S458,$T458:$W458),"")</f>
        <v>-0.194339770153743</v>
      </c>
      <c r="AG458" s="0" t="n">
        <f aca="false">IFERROR(CORREL($X458:$AA458,$AB458:$AE458),"")</f>
        <v>0.8</v>
      </c>
      <c r="AH458" s="0" t="n">
        <f aca="false">IFERROR((SIGN($P458-$Q458)*SIGN($T458-$U458)+SIGN($P458-$R458)*SIGN($T458-$V458)+SIGN($P458-$S458)*SIGN($T458-$W458)+SIGN($Q458-$R458)*SIGN($U458-$V458)+SIGN($Q458-$S458)*SIGN($U458-$W458)+SIGN($R458-$S458)*SIGN($V458-$W458))/SQRT((6-(($P458=$Q458)*1+($P458=$R458)*1+($P458=$S458)*1+($Q458=$R458)*1+($Q458=$S458)*1+($R458=$S458)*1))*(6-(($T458=$U458)*1+($T458=$V458)*1+($T458=$W458)*1+($U458=$V458)*1+($U458=$W458)*1+($V458=$W458)*1))),"")</f>
        <v>0.666666666666667</v>
      </c>
      <c r="AI458" s="0" t="n">
        <f aca="false">MATCH(MAX($K458:$O458),$K458:$O458,0)</f>
        <v>1</v>
      </c>
      <c r="AJ458" s="0" t="n">
        <f aca="false">IF(AI458&lt;&gt;$E458,1,0)</f>
        <v>1</v>
      </c>
      <c r="AK458" s="0" t="n">
        <f aca="false">IF(AJ458=1,INDEX($F458:$J458,AI458)/MAX($P458:$S458),"")</f>
        <v>0.765714285714286</v>
      </c>
      <c r="AL458" s="0" t="n">
        <f aca="false">IF(AJ458=1,1+COUNTIF($P458:$S458,"&gt;"&amp;INDEX($F458:$J458,AI458)),"")</f>
        <v>2</v>
      </c>
      <c r="AM458" s="0" t="n">
        <f aca="false">AVERAGE($P458:$S458)/MAX($P458:$S458)</f>
        <v>0.805714285714286</v>
      </c>
      <c r="AN458" s="0" t="n">
        <f aca="false">100-INDEX($F458:$J458,$E458)</f>
        <v>67.2</v>
      </c>
    </row>
    <row r="459" customFormat="false" ht="15" hidden="false" customHeight="false" outlineLevel="0" collapsed="false">
      <c r="A459" s="0" t="s">
        <v>57</v>
      </c>
      <c r="B459" s="0" t="n">
        <v>2018</v>
      </c>
      <c r="C459" s="0" t="s">
        <v>49</v>
      </c>
      <c r="D459" s="0" t="s">
        <v>43</v>
      </c>
      <c r="E459" s="0" t="n">
        <v>5</v>
      </c>
      <c r="F459" s="0" t="n">
        <v>7.4</v>
      </c>
      <c r="G459" s="0" t="n">
        <v>11.8</v>
      </c>
      <c r="H459" s="0" t="n">
        <v>10.1</v>
      </c>
      <c r="I459" s="0" t="n">
        <v>13.7</v>
      </c>
      <c r="J459" s="0" t="n">
        <v>46</v>
      </c>
      <c r="K459" s="0" t="n">
        <v>5.68833824405</v>
      </c>
      <c r="L459" s="0" t="n">
        <v>0.785839860967</v>
      </c>
      <c r="M459" s="0" t="n">
        <v>6.5310151464</v>
      </c>
      <c r="N459" s="0" t="n">
        <v>2.76217984084</v>
      </c>
      <c r="O459" s="0" t="n">
        <v>84.2326269077</v>
      </c>
      <c r="P459" s="0" t="n">
        <f aca="false">INDEX($F459:$J459,IF(1&lt;$E459,1,1+1))</f>
        <v>7.4</v>
      </c>
      <c r="Q459" s="0" t="n">
        <f aca="false">INDEX($F459:$J459,IF(2&lt;$E459,2,2+1))</f>
        <v>11.8</v>
      </c>
      <c r="R459" s="0" t="n">
        <f aca="false">INDEX($F459:$J459,IF(3&lt;$E459,3,3+1))</f>
        <v>10.1</v>
      </c>
      <c r="S459" s="0" t="n">
        <f aca="false">INDEX($F459:$J459,IF(4&lt;$E459,4,4+1))</f>
        <v>13.7</v>
      </c>
      <c r="T459" s="0" t="n">
        <f aca="false">INDEX($K459:$O459,IF(1&lt;$E459,1,1+1))</f>
        <v>5.68833824405</v>
      </c>
      <c r="U459" s="0" t="n">
        <f aca="false">INDEX($K459:$O459,IF(2&lt;$E459,2,2+1))</f>
        <v>0.785839860967</v>
      </c>
      <c r="V459" s="0" t="n">
        <f aca="false">INDEX($K459:$O459,IF(3&lt;$E459,3,3+1))</f>
        <v>6.5310151464</v>
      </c>
      <c r="W459" s="0" t="n">
        <f aca="false">INDEX($K459:$O459,IF(4&lt;$E459,4,4+1))</f>
        <v>2.76217984084</v>
      </c>
      <c r="X459" s="0" t="n">
        <f aca="false">1+COUNTIF($P459:$S459,"&gt;"&amp;$P459)+(COUNTIF($P459:$S459,$P459)-1)/2</f>
        <v>4</v>
      </c>
      <c r="Y459" s="0" t="n">
        <f aca="false">1+COUNTIF($P459:$S459,"&gt;"&amp;$Q459)+(COUNTIF($P459:$S459,$Q459)-1)/2</f>
        <v>2</v>
      </c>
      <c r="Z459" s="0" t="n">
        <f aca="false">1+COUNTIF($P459:$S459,"&gt;"&amp;$R459)+(COUNTIF($P459:$S459,$R459)-1)/2</f>
        <v>3</v>
      </c>
      <c r="AA459" s="0" t="n">
        <f aca="false">1+COUNTIF($P459:$S459,"&gt;"&amp;$S459)+(COUNTIF($P459:$S459,$S459)-1)/2</f>
        <v>1</v>
      </c>
      <c r="AB459" s="0" t="n">
        <f aca="false">1+COUNTIF($T459:$W459,"&gt;"&amp;$T459)+(COUNTIF($T459:$W459,$T459)-1)/2</f>
        <v>2</v>
      </c>
      <c r="AC459" s="0" t="n">
        <f aca="false">1+COUNTIF($T459:$W459,"&gt;"&amp;$U459)+(COUNTIF($T459:$W459,$U459)-1)/2</f>
        <v>4</v>
      </c>
      <c r="AD459" s="0" t="n">
        <f aca="false">1+COUNTIF($T459:$W459,"&gt;"&amp;$V459)+(COUNTIF($T459:$W459,$V459)-1)/2</f>
        <v>1</v>
      </c>
      <c r="AE459" s="0" t="n">
        <f aca="false">1+COUNTIF($T459:$W459,"&gt;"&amp;$W459)+(COUNTIF($T459:$W459,$W459)-1)/2</f>
        <v>3</v>
      </c>
      <c r="AF459" s="0" t="n">
        <f aca="false">IFERROR(CORREL($P459:$S459,$T459:$W459),"")</f>
        <v>-0.673371192863984</v>
      </c>
      <c r="AG459" s="0" t="n">
        <f aca="false">IFERROR(CORREL($X459:$AA459,$AB459:$AE459),"")</f>
        <v>-0.6</v>
      </c>
      <c r="AH459" s="0" t="n">
        <f aca="false">IFERROR((SIGN($P459-$Q459)*SIGN($T459-$U459)+SIGN($P459-$R459)*SIGN($T459-$V459)+SIGN($P459-$S459)*SIGN($T459-$W459)+SIGN($Q459-$R459)*SIGN($U459-$V459)+SIGN($Q459-$S459)*SIGN($U459-$W459)+SIGN($R459-$S459)*SIGN($V459-$W459))/SQRT((6-(($P459=$Q459)*1+($P459=$R459)*1+($P459=$S459)*1+($Q459=$R459)*1+($Q459=$S459)*1+($R459=$S459)*1))*(6-(($T459=$U459)*1+($T459=$V459)*1+($T459=$W459)*1+($U459=$V459)*1+($U459=$W459)*1+($V459=$W459)*1))),"")</f>
        <v>-0.333333333333333</v>
      </c>
      <c r="AI459" s="0" t="n">
        <f aca="false">MATCH(MAX($K459:$O459),$K459:$O459,0)</f>
        <v>5</v>
      </c>
      <c r="AJ459" s="0" t="n">
        <f aca="false">IF(AI459&lt;&gt;$E459,1,0)</f>
        <v>0</v>
      </c>
      <c r="AK459" s="0" t="str">
        <f aca="false">IF(AJ459=1,INDEX($F459:$J459,AI459)/MAX($P459:$S459),"")</f>
        <v/>
      </c>
      <c r="AL459" s="0" t="str">
        <f aca="false">IF(AJ459=1,1+COUNTIF($P459:$S459,"&gt;"&amp;INDEX($F459:$J459,AI459)),"")</f>
        <v/>
      </c>
      <c r="AM459" s="0" t="n">
        <f aca="false">AVERAGE($P459:$S459)/MAX($P459:$S459)</f>
        <v>0.784671532846715</v>
      </c>
      <c r="AN459" s="0" t="n">
        <f aca="false">100-INDEX($F459:$J459,$E459)</f>
        <v>54</v>
      </c>
    </row>
    <row r="460" customFormat="false" ht="15" hidden="false" customHeight="false" outlineLevel="0" collapsed="false">
      <c r="A460" s="0" t="s">
        <v>57</v>
      </c>
      <c r="B460" s="0" t="n">
        <v>2018</v>
      </c>
      <c r="C460" s="0" t="s">
        <v>49</v>
      </c>
      <c r="D460" s="0" t="s">
        <v>44</v>
      </c>
      <c r="E460" s="0" t="n">
        <v>3</v>
      </c>
      <c r="F460" s="0" t="n">
        <v>12.2</v>
      </c>
      <c r="G460" s="0" t="n">
        <v>8.7</v>
      </c>
      <c r="H460" s="0" t="n">
        <v>48.2</v>
      </c>
      <c r="I460" s="0" t="n">
        <v>12.5</v>
      </c>
      <c r="J460" s="0" t="n">
        <v>7.2</v>
      </c>
      <c r="K460" s="0" t="n">
        <v>33.430185064</v>
      </c>
      <c r="L460" s="0" t="n">
        <v>1.79960394718</v>
      </c>
      <c r="M460" s="0" t="n">
        <v>39.7691944983</v>
      </c>
      <c r="N460" s="0" t="n">
        <v>20.4110633139</v>
      </c>
      <c r="O460" s="0" t="n">
        <v>4.58995317662</v>
      </c>
      <c r="P460" s="0" t="n">
        <f aca="false">INDEX($F460:$J460,IF(1&lt;$E460,1,1+1))</f>
        <v>12.2</v>
      </c>
      <c r="Q460" s="0" t="n">
        <f aca="false">INDEX($F460:$J460,IF(2&lt;$E460,2,2+1))</f>
        <v>8.7</v>
      </c>
      <c r="R460" s="0" t="n">
        <f aca="false">INDEX($F460:$J460,IF(3&lt;$E460,3,3+1))</f>
        <v>12.5</v>
      </c>
      <c r="S460" s="0" t="n">
        <f aca="false">INDEX($F460:$J460,IF(4&lt;$E460,4,4+1))</f>
        <v>7.2</v>
      </c>
      <c r="T460" s="0" t="n">
        <f aca="false">INDEX($K460:$O460,IF(1&lt;$E460,1,1+1))</f>
        <v>33.430185064</v>
      </c>
      <c r="U460" s="0" t="n">
        <f aca="false">INDEX($K460:$O460,IF(2&lt;$E460,2,2+1))</f>
        <v>1.79960394718</v>
      </c>
      <c r="V460" s="0" t="n">
        <f aca="false">INDEX($K460:$O460,IF(3&lt;$E460,3,3+1))</f>
        <v>20.4110633139</v>
      </c>
      <c r="W460" s="0" t="n">
        <f aca="false">INDEX($K460:$O460,IF(4&lt;$E460,4,4+1))</f>
        <v>4.58995317662</v>
      </c>
      <c r="X460" s="0" t="n">
        <f aca="false">1+COUNTIF($P460:$S460,"&gt;"&amp;$P460)+(COUNTIF($P460:$S460,$P460)-1)/2</f>
        <v>2</v>
      </c>
      <c r="Y460" s="0" t="n">
        <f aca="false">1+COUNTIF($P460:$S460,"&gt;"&amp;$Q460)+(COUNTIF($P460:$S460,$Q460)-1)/2</f>
        <v>3</v>
      </c>
      <c r="Z460" s="0" t="n">
        <f aca="false">1+COUNTIF($P460:$S460,"&gt;"&amp;$R460)+(COUNTIF($P460:$S460,$R460)-1)/2</f>
        <v>1</v>
      </c>
      <c r="AA460" s="0" t="n">
        <f aca="false">1+COUNTIF($P460:$S460,"&gt;"&amp;$S460)+(COUNTIF($P460:$S460,$S460)-1)/2</f>
        <v>4</v>
      </c>
      <c r="AB460" s="0" t="n">
        <f aca="false">1+COUNTIF($T460:$W460,"&gt;"&amp;$T460)+(COUNTIF($T460:$W460,$T460)-1)/2</f>
        <v>1</v>
      </c>
      <c r="AC460" s="0" t="n">
        <f aca="false">1+COUNTIF($T460:$W460,"&gt;"&amp;$U460)+(COUNTIF($T460:$W460,$U460)-1)/2</f>
        <v>4</v>
      </c>
      <c r="AD460" s="0" t="n">
        <f aca="false">1+COUNTIF($T460:$W460,"&gt;"&amp;$V460)+(COUNTIF($T460:$W460,$V460)-1)/2</f>
        <v>2</v>
      </c>
      <c r="AE460" s="0" t="n">
        <f aca="false">1+COUNTIF($T460:$W460,"&gt;"&amp;$W460)+(COUNTIF($T460:$W460,$W460)-1)/2</f>
        <v>3</v>
      </c>
      <c r="AF460" s="0" t="n">
        <f aca="false">IFERROR(CORREL($P460:$S460,$T460:$W460),"")</f>
        <v>0.867637373033928</v>
      </c>
      <c r="AG460" s="0" t="n">
        <f aca="false">IFERROR(CORREL($X460:$AA460,$AB460:$AE460),"")</f>
        <v>0.6</v>
      </c>
      <c r="AH460" s="0" t="n">
        <f aca="false">IFERROR((SIGN($P460-$Q460)*SIGN($T460-$U460)+SIGN($P460-$R460)*SIGN($T460-$V460)+SIGN($P460-$S460)*SIGN($T460-$W460)+SIGN($Q460-$R460)*SIGN($U460-$V460)+SIGN($Q460-$S460)*SIGN($U460-$W460)+SIGN($R460-$S460)*SIGN($V460-$W460))/SQRT((6-(($P460=$Q460)*1+($P460=$R460)*1+($P460=$S460)*1+($Q460=$R460)*1+($Q460=$S460)*1+($R460=$S460)*1))*(6-(($T460=$U460)*1+($T460=$V460)*1+($T460=$W460)*1+($U460=$V460)*1+($U460=$W460)*1+($V460=$W460)*1))),"")</f>
        <v>0.333333333333333</v>
      </c>
      <c r="AI460" s="0" t="n">
        <f aca="false">MATCH(MAX($K460:$O460),$K460:$O460,0)</f>
        <v>3</v>
      </c>
      <c r="AJ460" s="0" t="n">
        <f aca="false">IF(AI460&lt;&gt;$E460,1,0)</f>
        <v>0</v>
      </c>
      <c r="AK460" s="0" t="str">
        <f aca="false">IF(AJ460=1,INDEX($F460:$J460,AI460)/MAX($P460:$S460),"")</f>
        <v/>
      </c>
      <c r="AL460" s="0" t="str">
        <f aca="false">IF(AJ460=1,1+COUNTIF($P460:$S460,"&gt;"&amp;INDEX($F460:$J460,AI460)),"")</f>
        <v/>
      </c>
      <c r="AM460" s="0" t="n">
        <f aca="false">AVERAGE($P460:$S460)/MAX($P460:$S460)</f>
        <v>0.812</v>
      </c>
      <c r="AN460" s="0" t="n">
        <f aca="false">100-INDEX($F460:$J460,$E460)</f>
        <v>51.8</v>
      </c>
    </row>
    <row r="461" customFormat="false" ht="15" hidden="false" customHeight="false" outlineLevel="0" collapsed="false">
      <c r="A461" s="0" t="s">
        <v>57</v>
      </c>
      <c r="B461" s="0" t="n">
        <v>2018</v>
      </c>
      <c r="C461" s="0" t="s">
        <v>49</v>
      </c>
      <c r="D461" s="0" t="s">
        <v>45</v>
      </c>
      <c r="E461" s="0" t="n">
        <v>2</v>
      </c>
      <c r="F461" s="0" t="n">
        <v>7.9</v>
      </c>
      <c r="G461" s="0" t="n">
        <v>40.6</v>
      </c>
      <c r="H461" s="0" t="n">
        <v>17.9</v>
      </c>
      <c r="I461" s="0" t="n">
        <v>13.9</v>
      </c>
      <c r="J461" s="0" t="n">
        <v>8.5</v>
      </c>
      <c r="K461" s="0" t="n">
        <v>8.34616394864</v>
      </c>
      <c r="L461" s="0" t="n">
        <v>16.7201195834</v>
      </c>
      <c r="M461" s="0" t="n">
        <v>43.369630918</v>
      </c>
      <c r="N461" s="0" t="n">
        <v>7.20457466385</v>
      </c>
      <c r="O461" s="0" t="n">
        <v>24.3595108861</v>
      </c>
      <c r="P461" s="0" t="n">
        <f aca="false">INDEX($F461:$J461,IF(1&lt;$E461,1,1+1))</f>
        <v>7.9</v>
      </c>
      <c r="Q461" s="0" t="n">
        <f aca="false">INDEX($F461:$J461,IF(2&lt;$E461,2,2+1))</f>
        <v>17.9</v>
      </c>
      <c r="R461" s="0" t="n">
        <f aca="false">INDEX($F461:$J461,IF(3&lt;$E461,3,3+1))</f>
        <v>13.9</v>
      </c>
      <c r="S461" s="0" t="n">
        <f aca="false">INDEX($F461:$J461,IF(4&lt;$E461,4,4+1))</f>
        <v>8.5</v>
      </c>
      <c r="T461" s="0" t="n">
        <f aca="false">INDEX($K461:$O461,IF(1&lt;$E461,1,1+1))</f>
        <v>8.34616394864</v>
      </c>
      <c r="U461" s="0" t="n">
        <f aca="false">INDEX($K461:$O461,IF(2&lt;$E461,2,2+1))</f>
        <v>43.369630918</v>
      </c>
      <c r="V461" s="0" t="n">
        <f aca="false">INDEX($K461:$O461,IF(3&lt;$E461,3,3+1))</f>
        <v>7.20457466385</v>
      </c>
      <c r="W461" s="0" t="n">
        <f aca="false">INDEX($K461:$O461,IF(4&lt;$E461,4,4+1))</f>
        <v>24.3595108861</v>
      </c>
      <c r="X461" s="0" t="n">
        <f aca="false">1+COUNTIF($P461:$S461,"&gt;"&amp;$P461)+(COUNTIF($P461:$S461,$P461)-1)/2</f>
        <v>4</v>
      </c>
      <c r="Y461" s="0" t="n">
        <f aca="false">1+COUNTIF($P461:$S461,"&gt;"&amp;$Q461)+(COUNTIF($P461:$S461,$Q461)-1)/2</f>
        <v>1</v>
      </c>
      <c r="Z461" s="0" t="n">
        <f aca="false">1+COUNTIF($P461:$S461,"&gt;"&amp;$R461)+(COUNTIF($P461:$S461,$R461)-1)/2</f>
        <v>2</v>
      </c>
      <c r="AA461" s="0" t="n">
        <f aca="false">1+COUNTIF($P461:$S461,"&gt;"&amp;$S461)+(COUNTIF($P461:$S461,$S461)-1)/2</f>
        <v>3</v>
      </c>
      <c r="AB461" s="0" t="n">
        <f aca="false">1+COUNTIF($T461:$W461,"&gt;"&amp;$T461)+(COUNTIF($T461:$W461,$T461)-1)/2</f>
        <v>3</v>
      </c>
      <c r="AC461" s="0" t="n">
        <f aca="false">1+COUNTIF($T461:$W461,"&gt;"&amp;$U461)+(COUNTIF($T461:$W461,$U461)-1)/2</f>
        <v>1</v>
      </c>
      <c r="AD461" s="0" t="n">
        <f aca="false">1+COUNTIF($T461:$W461,"&gt;"&amp;$V461)+(COUNTIF($T461:$W461,$V461)-1)/2</f>
        <v>4</v>
      </c>
      <c r="AE461" s="0" t="n">
        <f aca="false">1+COUNTIF($T461:$W461,"&gt;"&amp;$W461)+(COUNTIF($T461:$W461,$W461)-1)/2</f>
        <v>2</v>
      </c>
      <c r="AF461" s="0" t="n">
        <f aca="false">IFERROR(CORREL($P461:$S461,$T461:$W461),"")</f>
        <v>0.60510667735016</v>
      </c>
      <c r="AG461" s="0" t="n">
        <f aca="false">IFERROR(CORREL($X461:$AA461,$AB461:$AE461),"")</f>
        <v>0.4</v>
      </c>
      <c r="AH461" s="0" t="n">
        <f aca="false">IFERROR((SIGN($P461-$Q461)*SIGN($T461-$U461)+SIGN($P461-$R461)*SIGN($T461-$V461)+SIGN($P461-$S461)*SIGN($T461-$W461)+SIGN($Q461-$R461)*SIGN($U461-$V461)+SIGN($Q461-$S461)*SIGN($U461-$W461)+SIGN($R461-$S461)*SIGN($V461-$W461))/SQRT((6-(($P461=$Q461)*1+($P461=$R461)*1+($P461=$S461)*1+($Q461=$R461)*1+($Q461=$S461)*1+($R461=$S461)*1))*(6-(($T461=$U461)*1+($T461=$V461)*1+($T461=$W461)*1+($U461=$V461)*1+($U461=$W461)*1+($V461=$W461)*1))),"")</f>
        <v>0.333333333333333</v>
      </c>
      <c r="AI461" s="0" t="n">
        <f aca="false">MATCH(MAX($K461:$O461),$K461:$O461,0)</f>
        <v>3</v>
      </c>
      <c r="AJ461" s="0" t="n">
        <f aca="false">IF(AI461&lt;&gt;$E461,1,0)</f>
        <v>1</v>
      </c>
      <c r="AK461" s="0" t="n">
        <f aca="false">IF(AJ461=1,INDEX($F461:$J461,AI461)/MAX($P461:$S461),"")</f>
        <v>1</v>
      </c>
      <c r="AL461" s="0" t="n">
        <f aca="false">IF(AJ461=1,1+COUNTIF($P461:$S461,"&gt;"&amp;INDEX($F461:$J461,AI461)),"")</f>
        <v>1</v>
      </c>
      <c r="AM461" s="0" t="n">
        <f aca="false">AVERAGE($P461:$S461)/MAX($P461:$S461)</f>
        <v>0.6731843575419</v>
      </c>
      <c r="AN461" s="0" t="n">
        <f aca="false">100-INDEX($F461:$J461,$E461)</f>
        <v>59.4</v>
      </c>
    </row>
    <row r="462" customFormat="false" ht="15" hidden="false" customHeight="false" outlineLevel="0" collapsed="false">
      <c r="A462" s="0" t="s">
        <v>57</v>
      </c>
      <c r="B462" s="0" t="n">
        <v>2018</v>
      </c>
      <c r="C462" s="0" t="s">
        <v>51</v>
      </c>
      <c r="D462" s="0" t="s">
        <v>42</v>
      </c>
      <c r="E462" s="0" t="n">
        <v>2</v>
      </c>
      <c r="F462" s="0" t="n">
        <v>13.4</v>
      </c>
      <c r="G462" s="0" t="n">
        <v>36.4</v>
      </c>
      <c r="H462" s="0" t="n">
        <v>9.4</v>
      </c>
      <c r="I462" s="0" t="n">
        <v>15.7</v>
      </c>
      <c r="J462" s="0" t="n">
        <v>12.3</v>
      </c>
      <c r="K462" s="0" t="n">
        <v>24.0760922028</v>
      </c>
      <c r="L462" s="0" t="n">
        <v>26.8533345292</v>
      </c>
      <c r="M462" s="0" t="n">
        <v>23.4323434934</v>
      </c>
      <c r="N462" s="0" t="n">
        <v>16.2090691987</v>
      </c>
      <c r="O462" s="0" t="n">
        <v>9.42916057595</v>
      </c>
      <c r="P462" s="0" t="n">
        <f aca="false">INDEX($F462:$J462,IF(1&lt;$E462,1,1+1))</f>
        <v>13.4</v>
      </c>
      <c r="Q462" s="0" t="n">
        <f aca="false">INDEX($F462:$J462,IF(2&lt;$E462,2,2+1))</f>
        <v>9.4</v>
      </c>
      <c r="R462" s="0" t="n">
        <f aca="false">INDEX($F462:$J462,IF(3&lt;$E462,3,3+1))</f>
        <v>15.7</v>
      </c>
      <c r="S462" s="0" t="n">
        <f aca="false">INDEX($F462:$J462,IF(4&lt;$E462,4,4+1))</f>
        <v>12.3</v>
      </c>
      <c r="T462" s="0" t="n">
        <f aca="false">INDEX($K462:$O462,IF(1&lt;$E462,1,1+1))</f>
        <v>24.0760922028</v>
      </c>
      <c r="U462" s="0" t="n">
        <f aca="false">INDEX($K462:$O462,IF(2&lt;$E462,2,2+1))</f>
        <v>23.4323434934</v>
      </c>
      <c r="V462" s="0" t="n">
        <f aca="false">INDEX($K462:$O462,IF(3&lt;$E462,3,3+1))</f>
        <v>16.2090691987</v>
      </c>
      <c r="W462" s="0" t="n">
        <f aca="false">INDEX($K462:$O462,IF(4&lt;$E462,4,4+1))</f>
        <v>9.42916057595</v>
      </c>
      <c r="X462" s="0" t="n">
        <f aca="false">1+COUNTIF($P462:$S462,"&gt;"&amp;$P462)+(COUNTIF($P462:$S462,$P462)-1)/2</f>
        <v>2</v>
      </c>
      <c r="Y462" s="0" t="n">
        <f aca="false">1+COUNTIF($P462:$S462,"&gt;"&amp;$Q462)+(COUNTIF($P462:$S462,$Q462)-1)/2</f>
        <v>4</v>
      </c>
      <c r="Z462" s="0" t="n">
        <f aca="false">1+COUNTIF($P462:$S462,"&gt;"&amp;$R462)+(COUNTIF($P462:$S462,$R462)-1)/2</f>
        <v>1</v>
      </c>
      <c r="AA462" s="0" t="n">
        <f aca="false">1+COUNTIF($P462:$S462,"&gt;"&amp;$S462)+(COUNTIF($P462:$S462,$S462)-1)/2</f>
        <v>3</v>
      </c>
      <c r="AB462" s="0" t="n">
        <f aca="false">1+COUNTIF($T462:$W462,"&gt;"&amp;$T462)+(COUNTIF($T462:$W462,$T462)-1)/2</f>
        <v>1</v>
      </c>
      <c r="AC462" s="0" t="n">
        <f aca="false">1+COUNTIF($T462:$W462,"&gt;"&amp;$U462)+(COUNTIF($T462:$W462,$U462)-1)/2</f>
        <v>2</v>
      </c>
      <c r="AD462" s="0" t="n">
        <f aca="false">1+COUNTIF($T462:$W462,"&gt;"&amp;$V462)+(COUNTIF($T462:$W462,$V462)-1)/2</f>
        <v>3</v>
      </c>
      <c r="AE462" s="0" t="n">
        <f aca="false">1+COUNTIF($T462:$W462,"&gt;"&amp;$W462)+(COUNTIF($T462:$W462,$W462)-1)/2</f>
        <v>4</v>
      </c>
      <c r="AF462" s="0" t="n">
        <f aca="false">IFERROR(CORREL($P462:$S462,$T462:$W462),"")</f>
        <v>-0.288409002882537</v>
      </c>
      <c r="AG462" s="0" t="n">
        <f aca="false">IFERROR(CORREL($X462:$AA462,$AB462:$AE462),"")</f>
        <v>0</v>
      </c>
      <c r="AH462" s="0" t="n">
        <f aca="false">IFERROR((SIGN($P462-$Q462)*SIGN($T462-$U462)+SIGN($P462-$R462)*SIGN($T462-$V462)+SIGN($P462-$S462)*SIGN($T462-$W462)+SIGN($Q462-$R462)*SIGN($U462-$V462)+SIGN($Q462-$S462)*SIGN($U462-$W462)+SIGN($R462-$S462)*SIGN($V462-$W462))/SQRT((6-(($P462=$Q462)*1+($P462=$R462)*1+($P462=$S462)*1+($Q462=$R462)*1+($Q462=$S462)*1+($R462=$S462)*1))*(6-(($T462=$U462)*1+($T462=$V462)*1+($T462=$W462)*1+($U462=$V462)*1+($U462=$W462)*1+($V462=$W462)*1))),"")</f>
        <v>0</v>
      </c>
      <c r="AI462" s="0" t="n">
        <f aca="false">MATCH(MAX($K462:$O462),$K462:$O462,0)</f>
        <v>2</v>
      </c>
      <c r="AJ462" s="0" t="n">
        <f aca="false">IF(AI462&lt;&gt;$E462,1,0)</f>
        <v>0</v>
      </c>
      <c r="AK462" s="0" t="str">
        <f aca="false">IF(AJ462=1,INDEX($F462:$J462,AI462)/MAX($P462:$S462),"")</f>
        <v/>
      </c>
      <c r="AL462" s="0" t="str">
        <f aca="false">IF(AJ462=1,1+COUNTIF($P462:$S462,"&gt;"&amp;INDEX($F462:$J462,AI462)),"")</f>
        <v/>
      </c>
      <c r="AM462" s="0" t="n">
        <f aca="false">AVERAGE($P462:$S462)/MAX($P462:$S462)</f>
        <v>0.808917197452229</v>
      </c>
      <c r="AN462" s="0" t="n">
        <f aca="false">100-INDEX($F462:$J462,$E462)</f>
        <v>63.6</v>
      </c>
    </row>
    <row r="463" customFormat="false" ht="15" hidden="false" customHeight="false" outlineLevel="0" collapsed="false">
      <c r="A463" s="0" t="s">
        <v>57</v>
      </c>
      <c r="B463" s="0" t="n">
        <v>2018</v>
      </c>
      <c r="C463" s="0" t="s">
        <v>51</v>
      </c>
      <c r="D463" s="0" t="s">
        <v>43</v>
      </c>
      <c r="E463" s="0" t="n">
        <v>1</v>
      </c>
      <c r="F463" s="0" t="n">
        <v>36.7</v>
      </c>
      <c r="G463" s="0" t="n">
        <v>13.7</v>
      </c>
      <c r="H463" s="0" t="n">
        <v>11</v>
      </c>
      <c r="I463" s="0" t="n">
        <v>19.1</v>
      </c>
      <c r="J463" s="0" t="n">
        <v>5.9</v>
      </c>
      <c r="K463" s="0" t="n">
        <v>79.0858865125</v>
      </c>
      <c r="L463" s="0" t="n">
        <v>4.94149764302</v>
      </c>
      <c r="M463" s="0" t="n">
        <v>6.97188296945</v>
      </c>
      <c r="N463" s="0" t="n">
        <v>3.31578014805</v>
      </c>
      <c r="O463" s="0" t="n">
        <v>5.68495272694</v>
      </c>
      <c r="P463" s="0" t="n">
        <f aca="false">INDEX($F463:$J463,IF(1&lt;$E463,1,1+1))</f>
        <v>13.7</v>
      </c>
      <c r="Q463" s="0" t="n">
        <f aca="false">INDEX($F463:$J463,IF(2&lt;$E463,2,2+1))</f>
        <v>11</v>
      </c>
      <c r="R463" s="0" t="n">
        <f aca="false">INDEX($F463:$J463,IF(3&lt;$E463,3,3+1))</f>
        <v>19.1</v>
      </c>
      <c r="S463" s="0" t="n">
        <f aca="false">INDEX($F463:$J463,IF(4&lt;$E463,4,4+1))</f>
        <v>5.9</v>
      </c>
      <c r="T463" s="0" t="n">
        <f aca="false">INDEX($K463:$O463,IF(1&lt;$E463,1,1+1))</f>
        <v>4.94149764302</v>
      </c>
      <c r="U463" s="0" t="n">
        <f aca="false">INDEX($K463:$O463,IF(2&lt;$E463,2,2+1))</f>
        <v>6.97188296945</v>
      </c>
      <c r="V463" s="0" t="n">
        <f aca="false">INDEX($K463:$O463,IF(3&lt;$E463,3,3+1))</f>
        <v>3.31578014805</v>
      </c>
      <c r="W463" s="0" t="n">
        <f aca="false">INDEX($K463:$O463,IF(4&lt;$E463,4,4+1))</f>
        <v>5.68495272694</v>
      </c>
      <c r="X463" s="0" t="n">
        <f aca="false">1+COUNTIF($P463:$S463,"&gt;"&amp;$P463)+(COUNTIF($P463:$S463,$P463)-1)/2</f>
        <v>2</v>
      </c>
      <c r="Y463" s="0" t="n">
        <f aca="false">1+COUNTIF($P463:$S463,"&gt;"&amp;$Q463)+(COUNTIF($P463:$S463,$Q463)-1)/2</f>
        <v>3</v>
      </c>
      <c r="Z463" s="0" t="n">
        <f aca="false">1+COUNTIF($P463:$S463,"&gt;"&amp;$R463)+(COUNTIF($P463:$S463,$R463)-1)/2</f>
        <v>1</v>
      </c>
      <c r="AA463" s="0" t="n">
        <f aca="false">1+COUNTIF($P463:$S463,"&gt;"&amp;$S463)+(COUNTIF($P463:$S463,$S463)-1)/2</f>
        <v>4</v>
      </c>
      <c r="AB463" s="0" t="n">
        <f aca="false">1+COUNTIF($T463:$W463,"&gt;"&amp;$T463)+(COUNTIF($T463:$W463,$T463)-1)/2</f>
        <v>3</v>
      </c>
      <c r="AC463" s="0" t="n">
        <f aca="false">1+COUNTIF($T463:$W463,"&gt;"&amp;$U463)+(COUNTIF($T463:$W463,$U463)-1)/2</f>
        <v>1</v>
      </c>
      <c r="AD463" s="0" t="n">
        <f aca="false">1+COUNTIF($T463:$W463,"&gt;"&amp;$V463)+(COUNTIF($T463:$W463,$V463)-1)/2</f>
        <v>4</v>
      </c>
      <c r="AE463" s="0" t="n">
        <f aca="false">1+COUNTIF($T463:$W463,"&gt;"&amp;$W463)+(COUNTIF($T463:$W463,$W463)-1)/2</f>
        <v>2</v>
      </c>
      <c r="AF463" s="0" t="n">
        <f aca="false">IFERROR(CORREL($P463:$S463,$T463:$W463),"")</f>
        <v>-0.738263797830292</v>
      </c>
      <c r="AG463" s="0" t="n">
        <f aca="false">IFERROR(CORREL($X463:$AA463,$AB463:$AE463),"")</f>
        <v>-0.8</v>
      </c>
      <c r="AH463" s="0" t="n">
        <f aca="false">IFERROR((SIGN($P463-$Q463)*SIGN($T463-$U463)+SIGN($P463-$R463)*SIGN($T463-$V463)+SIGN($P463-$S463)*SIGN($T463-$W463)+SIGN($Q463-$R463)*SIGN($U463-$V463)+SIGN($Q463-$S463)*SIGN($U463-$W463)+SIGN($R463-$S463)*SIGN($V463-$W463))/SQRT((6-(($P463=$Q463)*1+($P463=$R463)*1+($P463=$S463)*1+($Q463=$R463)*1+($Q463=$S463)*1+($R463=$S463)*1))*(6-(($T463=$U463)*1+($T463=$V463)*1+($T463=$W463)*1+($U463=$V463)*1+($U463=$W463)*1+($V463=$W463)*1))),"")</f>
        <v>-0.666666666666667</v>
      </c>
      <c r="AI463" s="0" t="n">
        <f aca="false">MATCH(MAX($K463:$O463),$K463:$O463,0)</f>
        <v>1</v>
      </c>
      <c r="AJ463" s="0" t="n">
        <f aca="false">IF(AI463&lt;&gt;$E463,1,0)</f>
        <v>0</v>
      </c>
      <c r="AK463" s="0" t="str">
        <f aca="false">IF(AJ463=1,INDEX($F463:$J463,AI463)/MAX($P463:$S463),"")</f>
        <v/>
      </c>
      <c r="AL463" s="0" t="str">
        <f aca="false">IF(AJ463=1,1+COUNTIF($P463:$S463,"&gt;"&amp;INDEX($F463:$J463,AI463)),"")</f>
        <v/>
      </c>
      <c r="AM463" s="0" t="n">
        <f aca="false">AVERAGE($P463:$S463)/MAX($P463:$S463)</f>
        <v>0.650523560209424</v>
      </c>
      <c r="AN463" s="0" t="n">
        <f aca="false">100-INDEX($F463:$J463,$E463)</f>
        <v>63.3</v>
      </c>
    </row>
    <row r="464" customFormat="false" ht="15" hidden="false" customHeight="false" outlineLevel="0" collapsed="false">
      <c r="A464" s="0" t="s">
        <v>57</v>
      </c>
      <c r="B464" s="0" t="n">
        <v>2018</v>
      </c>
      <c r="C464" s="0" t="s">
        <v>51</v>
      </c>
      <c r="D464" s="0" t="s">
        <v>44</v>
      </c>
      <c r="E464" s="0" t="n">
        <v>3</v>
      </c>
      <c r="F464" s="0" t="n">
        <v>10.1</v>
      </c>
      <c r="G464" s="0" t="n">
        <v>18.3</v>
      </c>
      <c r="H464" s="0" t="n">
        <v>37.5</v>
      </c>
      <c r="I464" s="0" t="n">
        <v>12.7</v>
      </c>
      <c r="J464" s="0" t="n">
        <v>7.8</v>
      </c>
      <c r="K464" s="0" t="n">
        <v>12.6502001977</v>
      </c>
      <c r="L464" s="0" t="n">
        <v>20.0160904878</v>
      </c>
      <c r="M464" s="0" t="n">
        <v>20.6474013356</v>
      </c>
      <c r="N464" s="0" t="n">
        <v>3.7302913415</v>
      </c>
      <c r="O464" s="0" t="n">
        <v>42.9560166374</v>
      </c>
      <c r="P464" s="0" t="n">
        <f aca="false">INDEX($F464:$J464,IF(1&lt;$E464,1,1+1))</f>
        <v>10.1</v>
      </c>
      <c r="Q464" s="0" t="n">
        <f aca="false">INDEX($F464:$J464,IF(2&lt;$E464,2,2+1))</f>
        <v>18.3</v>
      </c>
      <c r="R464" s="0" t="n">
        <f aca="false">INDEX($F464:$J464,IF(3&lt;$E464,3,3+1))</f>
        <v>12.7</v>
      </c>
      <c r="S464" s="0" t="n">
        <f aca="false">INDEX($F464:$J464,IF(4&lt;$E464,4,4+1))</f>
        <v>7.8</v>
      </c>
      <c r="T464" s="0" t="n">
        <f aca="false">INDEX($K464:$O464,IF(1&lt;$E464,1,1+1))</f>
        <v>12.6502001977</v>
      </c>
      <c r="U464" s="0" t="n">
        <f aca="false">INDEX($K464:$O464,IF(2&lt;$E464,2,2+1))</f>
        <v>20.0160904878</v>
      </c>
      <c r="V464" s="0" t="n">
        <f aca="false">INDEX($K464:$O464,IF(3&lt;$E464,3,3+1))</f>
        <v>3.7302913415</v>
      </c>
      <c r="W464" s="0" t="n">
        <f aca="false">INDEX($K464:$O464,IF(4&lt;$E464,4,4+1))</f>
        <v>42.9560166374</v>
      </c>
      <c r="X464" s="0" t="n">
        <f aca="false">1+COUNTIF($P464:$S464,"&gt;"&amp;$P464)+(COUNTIF($P464:$S464,$P464)-1)/2</f>
        <v>3</v>
      </c>
      <c r="Y464" s="0" t="n">
        <f aca="false">1+COUNTIF($P464:$S464,"&gt;"&amp;$Q464)+(COUNTIF($P464:$S464,$Q464)-1)/2</f>
        <v>1</v>
      </c>
      <c r="Z464" s="0" t="n">
        <f aca="false">1+COUNTIF($P464:$S464,"&gt;"&amp;$R464)+(COUNTIF($P464:$S464,$R464)-1)/2</f>
        <v>2</v>
      </c>
      <c r="AA464" s="0" t="n">
        <f aca="false">1+COUNTIF($P464:$S464,"&gt;"&amp;$S464)+(COUNTIF($P464:$S464,$S464)-1)/2</f>
        <v>4</v>
      </c>
      <c r="AB464" s="0" t="n">
        <f aca="false">1+COUNTIF($T464:$W464,"&gt;"&amp;$T464)+(COUNTIF($T464:$W464,$T464)-1)/2</f>
        <v>3</v>
      </c>
      <c r="AC464" s="0" t="n">
        <f aca="false">1+COUNTIF($T464:$W464,"&gt;"&amp;$U464)+(COUNTIF($T464:$W464,$U464)-1)/2</f>
        <v>2</v>
      </c>
      <c r="AD464" s="0" t="n">
        <f aca="false">1+COUNTIF($T464:$W464,"&gt;"&amp;$V464)+(COUNTIF($T464:$W464,$V464)-1)/2</f>
        <v>4</v>
      </c>
      <c r="AE464" s="0" t="n">
        <f aca="false">1+COUNTIF($T464:$W464,"&gt;"&amp;$W464)+(COUNTIF($T464:$W464,$W464)-1)/2</f>
        <v>1</v>
      </c>
      <c r="AF464" s="0" t="n">
        <f aca="false">IFERROR(CORREL($P464:$S464,$T464:$W464),"")</f>
        <v>-0.41132548186495</v>
      </c>
      <c r="AG464" s="0" t="n">
        <f aca="false">IFERROR(CORREL($X464:$AA464,$AB464:$AE464),"")</f>
        <v>-0.4</v>
      </c>
      <c r="AH464" s="0" t="n">
        <f aca="false">IFERROR((SIGN($P464-$Q464)*SIGN($T464-$U464)+SIGN($P464-$R464)*SIGN($T464-$V464)+SIGN($P464-$S464)*SIGN($T464-$W464)+SIGN($Q464-$R464)*SIGN($U464-$V464)+SIGN($Q464-$S464)*SIGN($U464-$W464)+SIGN($R464-$S464)*SIGN($V464-$W464))/SQRT((6-(($P464=$Q464)*1+($P464=$R464)*1+($P464=$S464)*1+($Q464=$R464)*1+($Q464=$S464)*1+($R464=$S464)*1))*(6-(($T464=$U464)*1+($T464=$V464)*1+($T464=$W464)*1+($U464=$V464)*1+($U464=$W464)*1+($V464=$W464)*1))),"")</f>
        <v>-0.333333333333333</v>
      </c>
      <c r="AI464" s="0" t="n">
        <f aca="false">MATCH(MAX($K464:$O464),$K464:$O464,0)</f>
        <v>5</v>
      </c>
      <c r="AJ464" s="0" t="n">
        <f aca="false">IF(AI464&lt;&gt;$E464,1,0)</f>
        <v>1</v>
      </c>
      <c r="AK464" s="0" t="n">
        <f aca="false">IF(AJ464=1,INDEX($F464:$J464,AI464)/MAX($P464:$S464),"")</f>
        <v>0.426229508196721</v>
      </c>
      <c r="AL464" s="0" t="n">
        <f aca="false">IF(AJ464=1,1+COUNTIF($P464:$S464,"&gt;"&amp;INDEX($F464:$J464,AI464)),"")</f>
        <v>4</v>
      </c>
      <c r="AM464" s="0" t="n">
        <f aca="false">AVERAGE($P464:$S464)/MAX($P464:$S464)</f>
        <v>0.668032786885246</v>
      </c>
      <c r="AN464" s="0" t="n">
        <f aca="false">100-INDEX($F464:$J464,$E464)</f>
        <v>62.5</v>
      </c>
    </row>
    <row r="465" customFormat="false" ht="15" hidden="false" customHeight="false" outlineLevel="0" collapsed="false">
      <c r="A465" s="0" t="s">
        <v>57</v>
      </c>
      <c r="B465" s="0" t="n">
        <v>2018</v>
      </c>
      <c r="C465" s="0" t="s">
        <v>51</v>
      </c>
      <c r="D465" s="0" t="s">
        <v>45</v>
      </c>
      <c r="E465" s="0" t="n">
        <v>5</v>
      </c>
      <c r="F465" s="0" t="n">
        <v>13.7</v>
      </c>
      <c r="G465" s="0" t="n">
        <v>10.8</v>
      </c>
      <c r="H465" s="0" t="n">
        <v>14.8</v>
      </c>
      <c r="I465" s="0" t="n">
        <v>19.6</v>
      </c>
      <c r="J465" s="0" t="n">
        <v>27.6</v>
      </c>
      <c r="K465" s="0" t="n">
        <v>50.1511077324</v>
      </c>
      <c r="L465" s="0" t="n">
        <v>13.7419007392</v>
      </c>
      <c r="M465" s="0" t="n">
        <v>3.49989020056</v>
      </c>
      <c r="N465" s="0" t="n">
        <v>19.6738808094</v>
      </c>
      <c r="O465" s="0" t="n">
        <v>12.9332205184</v>
      </c>
      <c r="P465" s="0" t="n">
        <f aca="false">INDEX($F465:$J465,IF(1&lt;$E465,1,1+1))</f>
        <v>13.7</v>
      </c>
      <c r="Q465" s="0" t="n">
        <f aca="false">INDEX($F465:$J465,IF(2&lt;$E465,2,2+1))</f>
        <v>10.8</v>
      </c>
      <c r="R465" s="0" t="n">
        <f aca="false">INDEX($F465:$J465,IF(3&lt;$E465,3,3+1))</f>
        <v>14.8</v>
      </c>
      <c r="S465" s="0" t="n">
        <f aca="false">INDEX($F465:$J465,IF(4&lt;$E465,4,4+1))</f>
        <v>19.6</v>
      </c>
      <c r="T465" s="0" t="n">
        <f aca="false">INDEX($K465:$O465,IF(1&lt;$E465,1,1+1))</f>
        <v>50.1511077324</v>
      </c>
      <c r="U465" s="0" t="n">
        <f aca="false">INDEX($K465:$O465,IF(2&lt;$E465,2,2+1))</f>
        <v>13.7419007392</v>
      </c>
      <c r="V465" s="0" t="n">
        <f aca="false">INDEX($K465:$O465,IF(3&lt;$E465,3,3+1))</f>
        <v>3.49989020056</v>
      </c>
      <c r="W465" s="0" t="n">
        <f aca="false">INDEX($K465:$O465,IF(4&lt;$E465,4,4+1))</f>
        <v>19.6738808094</v>
      </c>
      <c r="X465" s="0" t="n">
        <f aca="false">1+COUNTIF($P465:$S465,"&gt;"&amp;$P465)+(COUNTIF($P465:$S465,$P465)-1)/2</f>
        <v>3</v>
      </c>
      <c r="Y465" s="0" t="n">
        <f aca="false">1+COUNTIF($P465:$S465,"&gt;"&amp;$Q465)+(COUNTIF($P465:$S465,$Q465)-1)/2</f>
        <v>4</v>
      </c>
      <c r="Z465" s="0" t="n">
        <f aca="false">1+COUNTIF($P465:$S465,"&gt;"&amp;$R465)+(COUNTIF($P465:$S465,$R465)-1)/2</f>
        <v>2</v>
      </c>
      <c r="AA465" s="0" t="n">
        <f aca="false">1+COUNTIF($P465:$S465,"&gt;"&amp;$S465)+(COUNTIF($P465:$S465,$S465)-1)/2</f>
        <v>1</v>
      </c>
      <c r="AB465" s="0" t="n">
        <f aca="false">1+COUNTIF($T465:$W465,"&gt;"&amp;$T465)+(COUNTIF($T465:$W465,$T465)-1)/2</f>
        <v>1</v>
      </c>
      <c r="AC465" s="0" t="n">
        <f aca="false">1+COUNTIF($T465:$W465,"&gt;"&amp;$U465)+(COUNTIF($T465:$W465,$U465)-1)/2</f>
        <v>3</v>
      </c>
      <c r="AD465" s="0" t="n">
        <f aca="false">1+COUNTIF($T465:$W465,"&gt;"&amp;$V465)+(COUNTIF($T465:$W465,$V465)-1)/2</f>
        <v>4</v>
      </c>
      <c r="AE465" s="0" t="n">
        <f aca="false">1+COUNTIF($T465:$W465,"&gt;"&amp;$W465)+(COUNTIF($T465:$W465,$W465)-1)/2</f>
        <v>2</v>
      </c>
      <c r="AF465" s="0" t="n">
        <f aca="false">IFERROR(CORREL($P465:$S465,$T465:$W465),"")</f>
        <v>-0.0415922774366207</v>
      </c>
      <c r="AG465" s="0" t="n">
        <f aca="false">IFERROR(CORREL($X465:$AA465,$AB465:$AE465),"")</f>
        <v>0</v>
      </c>
      <c r="AH465" s="0" t="n">
        <f aca="false">IFERROR((SIGN($P465-$Q465)*SIGN($T465-$U465)+SIGN($P465-$R465)*SIGN($T465-$V465)+SIGN($P465-$S465)*SIGN($T465-$W465)+SIGN($Q465-$R465)*SIGN($U465-$V465)+SIGN($Q465-$S465)*SIGN($U465-$W465)+SIGN($R465-$S465)*SIGN($V465-$W465))/SQRT((6-(($P465=$Q465)*1+($P465=$R465)*1+($P465=$S465)*1+($Q465=$R465)*1+($Q465=$S465)*1+($R465=$S465)*1))*(6-(($T465=$U465)*1+($T465=$V465)*1+($T465=$W465)*1+($U465=$V465)*1+($U465=$W465)*1+($V465=$W465)*1))),"")</f>
        <v>0</v>
      </c>
      <c r="AI465" s="0" t="n">
        <f aca="false">MATCH(MAX($K465:$O465),$K465:$O465,0)</f>
        <v>1</v>
      </c>
      <c r="AJ465" s="0" t="n">
        <f aca="false">IF(AI465&lt;&gt;$E465,1,0)</f>
        <v>1</v>
      </c>
      <c r="AK465" s="0" t="n">
        <f aca="false">IF(AJ465=1,INDEX($F465:$J465,AI465)/MAX($P465:$S465),"")</f>
        <v>0.698979591836735</v>
      </c>
      <c r="AL465" s="0" t="n">
        <f aca="false">IF(AJ465=1,1+COUNTIF($P465:$S465,"&gt;"&amp;INDEX($F465:$J465,AI465)),"")</f>
        <v>3</v>
      </c>
      <c r="AM465" s="0" t="n">
        <f aca="false">AVERAGE($P465:$S465)/MAX($P465:$S465)</f>
        <v>0.751275510204082</v>
      </c>
      <c r="AN465" s="0" t="n">
        <f aca="false">100-INDEX($F465:$J465,$E465)</f>
        <v>72.4</v>
      </c>
    </row>
    <row r="466" customFormat="false" ht="15" hidden="false" customHeight="false" outlineLevel="0" collapsed="false">
      <c r="A466" s="0" t="s">
        <v>57</v>
      </c>
      <c r="B466" s="0" t="n">
        <v>2018</v>
      </c>
      <c r="C466" s="0" t="s">
        <v>46</v>
      </c>
      <c r="D466" s="0" t="s">
        <v>42</v>
      </c>
      <c r="E466" s="0" t="n">
        <v>2</v>
      </c>
      <c r="F466" s="0" t="n">
        <v>19.2</v>
      </c>
      <c r="G466" s="0" t="n">
        <v>17.8</v>
      </c>
      <c r="H466" s="0" t="n">
        <v>24.8</v>
      </c>
      <c r="I466" s="0" t="n">
        <v>11.7</v>
      </c>
      <c r="J466" s="0" t="n">
        <v>9.4</v>
      </c>
      <c r="K466" s="0" t="n">
        <v>41.1231269613</v>
      </c>
      <c r="L466" s="0" t="n">
        <v>4.90916638595</v>
      </c>
      <c r="M466" s="0" t="n">
        <v>9.98234014936</v>
      </c>
      <c r="N466" s="0" t="n">
        <v>41.5932659014</v>
      </c>
      <c r="O466" s="0" t="n">
        <v>2.39210060198</v>
      </c>
      <c r="P466" s="0" t="n">
        <f aca="false">INDEX($F466:$J466,IF(1&lt;$E466,1,1+1))</f>
        <v>19.2</v>
      </c>
      <c r="Q466" s="0" t="n">
        <f aca="false">INDEX($F466:$J466,IF(2&lt;$E466,2,2+1))</f>
        <v>24.8</v>
      </c>
      <c r="R466" s="0" t="n">
        <f aca="false">INDEX($F466:$J466,IF(3&lt;$E466,3,3+1))</f>
        <v>11.7</v>
      </c>
      <c r="S466" s="0" t="n">
        <f aca="false">INDEX($F466:$J466,IF(4&lt;$E466,4,4+1))</f>
        <v>9.4</v>
      </c>
      <c r="T466" s="0" t="n">
        <f aca="false">INDEX($K466:$O466,IF(1&lt;$E466,1,1+1))</f>
        <v>41.1231269613</v>
      </c>
      <c r="U466" s="0" t="n">
        <f aca="false">INDEX($K466:$O466,IF(2&lt;$E466,2,2+1))</f>
        <v>9.98234014936</v>
      </c>
      <c r="V466" s="0" t="n">
        <f aca="false">INDEX($K466:$O466,IF(3&lt;$E466,3,3+1))</f>
        <v>41.5932659014</v>
      </c>
      <c r="W466" s="0" t="n">
        <f aca="false">INDEX($K466:$O466,IF(4&lt;$E466,4,4+1))</f>
        <v>2.39210060198</v>
      </c>
      <c r="X466" s="0" t="n">
        <f aca="false">1+COUNTIF($P466:$S466,"&gt;"&amp;$P466)+(COUNTIF($P466:$S466,$P466)-1)/2</f>
        <v>2</v>
      </c>
      <c r="Y466" s="0" t="n">
        <f aca="false">1+COUNTIF($P466:$S466,"&gt;"&amp;$Q466)+(COUNTIF($P466:$S466,$Q466)-1)/2</f>
        <v>1</v>
      </c>
      <c r="Z466" s="0" t="n">
        <f aca="false">1+COUNTIF($P466:$S466,"&gt;"&amp;$R466)+(COUNTIF($P466:$S466,$R466)-1)/2</f>
        <v>3</v>
      </c>
      <c r="AA466" s="0" t="n">
        <f aca="false">1+COUNTIF($P466:$S466,"&gt;"&amp;$S466)+(COUNTIF($P466:$S466,$S466)-1)/2</f>
        <v>4</v>
      </c>
      <c r="AB466" s="0" t="n">
        <f aca="false">1+COUNTIF($T466:$W466,"&gt;"&amp;$T466)+(COUNTIF($T466:$W466,$T466)-1)/2</f>
        <v>2</v>
      </c>
      <c r="AC466" s="0" t="n">
        <f aca="false">1+COUNTIF($T466:$W466,"&gt;"&amp;$U466)+(COUNTIF($T466:$W466,$U466)-1)/2</f>
        <v>3</v>
      </c>
      <c r="AD466" s="0" t="n">
        <f aca="false">1+COUNTIF($T466:$W466,"&gt;"&amp;$V466)+(COUNTIF($T466:$W466,$V466)-1)/2</f>
        <v>1</v>
      </c>
      <c r="AE466" s="0" t="n">
        <f aca="false">1+COUNTIF($T466:$W466,"&gt;"&amp;$W466)+(COUNTIF($T466:$W466,$W466)-1)/2</f>
        <v>4</v>
      </c>
      <c r="AF466" s="0" t="n">
        <f aca="false">IFERROR(CORREL($P466:$S466,$T466:$W466),"")</f>
        <v>-0.00310462200109788</v>
      </c>
      <c r="AG466" s="0" t="n">
        <f aca="false">IFERROR(CORREL($X466:$AA466,$AB466:$AE466),"")</f>
        <v>0.2</v>
      </c>
      <c r="AH466" s="0" t="n">
        <f aca="false">IFERROR((SIGN($P466-$Q466)*SIGN($T466-$U466)+SIGN($P466-$R466)*SIGN($T466-$V466)+SIGN($P466-$S466)*SIGN($T466-$W466)+SIGN($Q466-$R466)*SIGN($U466-$V466)+SIGN($Q466-$S466)*SIGN($U466-$W466)+SIGN($R466-$S466)*SIGN($V466-$W466))/SQRT((6-(($P466=$Q466)*1+($P466=$R466)*1+($P466=$S466)*1+($Q466=$R466)*1+($Q466=$S466)*1+($R466=$S466)*1))*(6-(($T466=$U466)*1+($T466=$V466)*1+($T466=$W466)*1+($U466=$V466)*1+($U466=$W466)*1+($V466=$W466)*1))),"")</f>
        <v>0</v>
      </c>
      <c r="AI466" s="0" t="n">
        <f aca="false">MATCH(MAX($K466:$O466),$K466:$O466,0)</f>
        <v>4</v>
      </c>
      <c r="AJ466" s="0" t="n">
        <f aca="false">IF(AI466&lt;&gt;$E466,1,0)</f>
        <v>1</v>
      </c>
      <c r="AK466" s="0" t="n">
        <f aca="false">IF(AJ466=1,INDEX($F466:$J466,AI466)/MAX($P466:$S466),"")</f>
        <v>0.471774193548387</v>
      </c>
      <c r="AL466" s="0" t="n">
        <f aca="false">IF(AJ466=1,1+COUNTIF($P466:$S466,"&gt;"&amp;INDEX($F466:$J466,AI466)),"")</f>
        <v>3</v>
      </c>
      <c r="AM466" s="0" t="n">
        <f aca="false">AVERAGE($P466:$S466)/MAX($P466:$S466)</f>
        <v>0.65625</v>
      </c>
      <c r="AN466" s="0" t="n">
        <f aca="false">100-INDEX($F466:$J466,$E466)</f>
        <v>82.2</v>
      </c>
    </row>
    <row r="467" customFormat="false" ht="15" hidden="false" customHeight="false" outlineLevel="0" collapsed="false">
      <c r="A467" s="0" t="s">
        <v>57</v>
      </c>
      <c r="B467" s="0" t="n">
        <v>2018</v>
      </c>
      <c r="C467" s="0" t="s">
        <v>46</v>
      </c>
      <c r="D467" s="0" t="s">
        <v>43</v>
      </c>
      <c r="E467" s="0" t="n">
        <v>3</v>
      </c>
      <c r="F467" s="0" t="n">
        <v>5.5</v>
      </c>
      <c r="G467" s="0" t="n">
        <v>14.3</v>
      </c>
      <c r="H467" s="0" t="n">
        <v>41.2</v>
      </c>
      <c r="I467" s="0" t="n">
        <v>11.4</v>
      </c>
      <c r="J467" s="0" t="n">
        <v>10.1</v>
      </c>
      <c r="K467" s="0" t="n">
        <v>11.5724967316</v>
      </c>
      <c r="L467" s="0" t="n">
        <v>18.4958314403</v>
      </c>
      <c r="M467" s="0" t="n">
        <v>38.9925945758</v>
      </c>
      <c r="N467" s="0" t="n">
        <v>24.8974873856</v>
      </c>
      <c r="O467" s="0" t="n">
        <v>6.04158986677</v>
      </c>
      <c r="P467" s="0" t="n">
        <f aca="false">INDEX($F467:$J467,IF(1&lt;$E467,1,1+1))</f>
        <v>5.5</v>
      </c>
      <c r="Q467" s="0" t="n">
        <f aca="false">INDEX($F467:$J467,IF(2&lt;$E467,2,2+1))</f>
        <v>14.3</v>
      </c>
      <c r="R467" s="0" t="n">
        <f aca="false">INDEX($F467:$J467,IF(3&lt;$E467,3,3+1))</f>
        <v>11.4</v>
      </c>
      <c r="S467" s="0" t="n">
        <f aca="false">INDEX($F467:$J467,IF(4&lt;$E467,4,4+1))</f>
        <v>10.1</v>
      </c>
      <c r="T467" s="0" t="n">
        <f aca="false">INDEX($K467:$O467,IF(1&lt;$E467,1,1+1))</f>
        <v>11.5724967316</v>
      </c>
      <c r="U467" s="0" t="n">
        <f aca="false">INDEX($K467:$O467,IF(2&lt;$E467,2,2+1))</f>
        <v>18.4958314403</v>
      </c>
      <c r="V467" s="0" t="n">
        <f aca="false">INDEX($K467:$O467,IF(3&lt;$E467,3,3+1))</f>
        <v>24.8974873856</v>
      </c>
      <c r="W467" s="0" t="n">
        <f aca="false">INDEX($K467:$O467,IF(4&lt;$E467,4,4+1))</f>
        <v>6.04158986677</v>
      </c>
      <c r="X467" s="0" t="n">
        <f aca="false">1+COUNTIF($P467:$S467,"&gt;"&amp;$P467)+(COUNTIF($P467:$S467,$P467)-1)/2</f>
        <v>4</v>
      </c>
      <c r="Y467" s="0" t="n">
        <f aca="false">1+COUNTIF($P467:$S467,"&gt;"&amp;$Q467)+(COUNTIF($P467:$S467,$Q467)-1)/2</f>
        <v>1</v>
      </c>
      <c r="Z467" s="0" t="n">
        <f aca="false">1+COUNTIF($P467:$S467,"&gt;"&amp;$R467)+(COUNTIF($P467:$S467,$R467)-1)/2</f>
        <v>2</v>
      </c>
      <c r="AA467" s="0" t="n">
        <f aca="false">1+COUNTIF($P467:$S467,"&gt;"&amp;$S467)+(COUNTIF($P467:$S467,$S467)-1)/2</f>
        <v>3</v>
      </c>
      <c r="AB467" s="0" t="n">
        <f aca="false">1+COUNTIF($T467:$W467,"&gt;"&amp;$T467)+(COUNTIF($T467:$W467,$T467)-1)/2</f>
        <v>3</v>
      </c>
      <c r="AC467" s="0" t="n">
        <f aca="false">1+COUNTIF($T467:$W467,"&gt;"&amp;$U467)+(COUNTIF($T467:$W467,$U467)-1)/2</f>
        <v>2</v>
      </c>
      <c r="AD467" s="0" t="n">
        <f aca="false">1+COUNTIF($T467:$W467,"&gt;"&amp;$V467)+(COUNTIF($T467:$W467,$V467)-1)/2</f>
        <v>1</v>
      </c>
      <c r="AE467" s="0" t="n">
        <f aca="false">1+COUNTIF($T467:$W467,"&gt;"&amp;$W467)+(COUNTIF($T467:$W467,$W467)-1)/2</f>
        <v>4</v>
      </c>
      <c r="AF467" s="0" t="n">
        <f aca="false">IFERROR(CORREL($P467:$S467,$T467:$W467),"")</f>
        <v>0.477731024613636</v>
      </c>
      <c r="AG467" s="0" t="n">
        <f aca="false">IFERROR(CORREL($X467:$AA467,$AB467:$AE467),"")</f>
        <v>0.6</v>
      </c>
      <c r="AH467" s="0" t="n">
        <f aca="false">IFERROR((SIGN($P467-$Q467)*SIGN($T467-$U467)+SIGN($P467-$R467)*SIGN($T467-$V467)+SIGN($P467-$S467)*SIGN($T467-$W467)+SIGN($Q467-$R467)*SIGN($U467-$V467)+SIGN($Q467-$S467)*SIGN($U467-$W467)+SIGN($R467-$S467)*SIGN($V467-$W467))/SQRT((6-(($P467=$Q467)*1+($P467=$R467)*1+($P467=$S467)*1+($Q467=$R467)*1+($Q467=$S467)*1+($R467=$S467)*1))*(6-(($T467=$U467)*1+($T467=$V467)*1+($T467=$W467)*1+($U467=$V467)*1+($U467=$W467)*1+($V467=$W467)*1))),"")</f>
        <v>0.333333333333333</v>
      </c>
      <c r="AI467" s="0" t="n">
        <f aca="false">MATCH(MAX($K467:$O467),$K467:$O467,0)</f>
        <v>3</v>
      </c>
      <c r="AJ467" s="0" t="n">
        <f aca="false">IF(AI467&lt;&gt;$E467,1,0)</f>
        <v>0</v>
      </c>
      <c r="AK467" s="0" t="str">
        <f aca="false">IF(AJ467=1,INDEX($F467:$J467,AI467)/MAX($P467:$S467),"")</f>
        <v/>
      </c>
      <c r="AL467" s="0" t="str">
        <f aca="false">IF(AJ467=1,1+COUNTIF($P467:$S467,"&gt;"&amp;INDEX($F467:$J467,AI467)),"")</f>
        <v/>
      </c>
      <c r="AM467" s="0" t="n">
        <f aca="false">AVERAGE($P467:$S467)/MAX($P467:$S467)</f>
        <v>0.722027972027972</v>
      </c>
      <c r="AN467" s="0" t="n">
        <f aca="false">100-INDEX($F467:$J467,$E467)</f>
        <v>58.8</v>
      </c>
    </row>
    <row r="468" customFormat="false" ht="15" hidden="false" customHeight="false" outlineLevel="0" collapsed="false">
      <c r="A468" s="0" t="s">
        <v>57</v>
      </c>
      <c r="B468" s="0" t="n">
        <v>2018</v>
      </c>
      <c r="C468" s="0" t="s">
        <v>46</v>
      </c>
      <c r="D468" s="0" t="s">
        <v>44</v>
      </c>
      <c r="E468" s="0" t="n">
        <v>2</v>
      </c>
      <c r="F468" s="0" t="n">
        <v>8.4</v>
      </c>
      <c r="G468" s="0" t="n">
        <v>33.7</v>
      </c>
      <c r="H468" s="0" t="n">
        <v>10.5</v>
      </c>
      <c r="I468" s="0" t="n">
        <v>11.8</v>
      </c>
      <c r="J468" s="0" t="n">
        <v>17.3</v>
      </c>
      <c r="K468" s="0" t="n">
        <v>11.7663311785</v>
      </c>
      <c r="L468" s="0" t="n">
        <v>6.49213339423</v>
      </c>
      <c r="M468" s="0" t="n">
        <v>6.32950484851</v>
      </c>
      <c r="N468" s="0" t="n">
        <v>71.4416077817</v>
      </c>
      <c r="O468" s="0" t="n">
        <v>3.97042279707</v>
      </c>
      <c r="P468" s="0" t="n">
        <f aca="false">INDEX($F468:$J468,IF(1&lt;$E468,1,1+1))</f>
        <v>8.4</v>
      </c>
      <c r="Q468" s="0" t="n">
        <f aca="false">INDEX($F468:$J468,IF(2&lt;$E468,2,2+1))</f>
        <v>10.5</v>
      </c>
      <c r="R468" s="0" t="n">
        <f aca="false">INDEX($F468:$J468,IF(3&lt;$E468,3,3+1))</f>
        <v>11.8</v>
      </c>
      <c r="S468" s="0" t="n">
        <f aca="false">INDEX($F468:$J468,IF(4&lt;$E468,4,4+1))</f>
        <v>17.3</v>
      </c>
      <c r="T468" s="0" t="n">
        <f aca="false">INDEX($K468:$O468,IF(1&lt;$E468,1,1+1))</f>
        <v>11.7663311785</v>
      </c>
      <c r="U468" s="0" t="n">
        <f aca="false">INDEX($K468:$O468,IF(2&lt;$E468,2,2+1))</f>
        <v>6.32950484851</v>
      </c>
      <c r="V468" s="0" t="n">
        <f aca="false">INDEX($K468:$O468,IF(3&lt;$E468,3,3+1))</f>
        <v>71.4416077817</v>
      </c>
      <c r="W468" s="0" t="n">
        <f aca="false">INDEX($K468:$O468,IF(4&lt;$E468,4,4+1))</f>
        <v>3.97042279707</v>
      </c>
      <c r="X468" s="0" t="n">
        <f aca="false">1+COUNTIF($P468:$S468,"&gt;"&amp;$P468)+(COUNTIF($P468:$S468,$P468)-1)/2</f>
        <v>4</v>
      </c>
      <c r="Y468" s="0" t="n">
        <f aca="false">1+COUNTIF($P468:$S468,"&gt;"&amp;$Q468)+(COUNTIF($P468:$S468,$Q468)-1)/2</f>
        <v>3</v>
      </c>
      <c r="Z468" s="0" t="n">
        <f aca="false">1+COUNTIF($P468:$S468,"&gt;"&amp;$R468)+(COUNTIF($P468:$S468,$R468)-1)/2</f>
        <v>2</v>
      </c>
      <c r="AA468" s="0" t="n">
        <f aca="false">1+COUNTIF($P468:$S468,"&gt;"&amp;$S468)+(COUNTIF($P468:$S468,$S468)-1)/2</f>
        <v>1</v>
      </c>
      <c r="AB468" s="0" t="n">
        <f aca="false">1+COUNTIF($T468:$W468,"&gt;"&amp;$T468)+(COUNTIF($T468:$W468,$T468)-1)/2</f>
        <v>2</v>
      </c>
      <c r="AC468" s="0" t="n">
        <f aca="false">1+COUNTIF($T468:$W468,"&gt;"&amp;$U468)+(COUNTIF($T468:$W468,$U468)-1)/2</f>
        <v>3</v>
      </c>
      <c r="AD468" s="0" t="n">
        <f aca="false">1+COUNTIF($T468:$W468,"&gt;"&amp;$V468)+(COUNTIF($T468:$W468,$V468)-1)/2</f>
        <v>1</v>
      </c>
      <c r="AE468" s="0" t="n">
        <f aca="false">1+COUNTIF($T468:$W468,"&gt;"&amp;$W468)+(COUNTIF($T468:$W468,$W468)-1)/2</f>
        <v>4</v>
      </c>
      <c r="AF468" s="0" t="n">
        <f aca="false">IFERROR(CORREL($P468:$S468,$T468:$W468),"")</f>
        <v>-0.122793984186364</v>
      </c>
      <c r="AG468" s="0" t="n">
        <f aca="false">IFERROR(CORREL($X468:$AA468,$AB468:$AE468),"")</f>
        <v>-0.4</v>
      </c>
      <c r="AH468" s="0" t="n">
        <f aca="false">IFERROR((SIGN($P468-$Q468)*SIGN($T468-$U468)+SIGN($P468-$R468)*SIGN($T468-$V468)+SIGN($P468-$S468)*SIGN($T468-$W468)+SIGN($Q468-$R468)*SIGN($U468-$V468)+SIGN($Q468-$S468)*SIGN($U468-$W468)+SIGN($R468-$S468)*SIGN($V468-$W468))/SQRT((6-(($P468=$Q468)*1+($P468=$R468)*1+($P468=$S468)*1+($Q468=$R468)*1+($Q468=$S468)*1+($R468=$S468)*1))*(6-(($T468=$U468)*1+($T468=$V468)*1+($T468=$W468)*1+($U468=$V468)*1+($U468=$W468)*1+($V468=$W468)*1))),"")</f>
        <v>-0.333333333333333</v>
      </c>
      <c r="AI468" s="0" t="n">
        <f aca="false">MATCH(MAX($K468:$O468),$K468:$O468,0)</f>
        <v>4</v>
      </c>
      <c r="AJ468" s="0" t="n">
        <f aca="false">IF(AI468&lt;&gt;$E468,1,0)</f>
        <v>1</v>
      </c>
      <c r="AK468" s="0" t="n">
        <f aca="false">IF(AJ468=1,INDEX($F468:$J468,AI468)/MAX($P468:$S468),"")</f>
        <v>0.682080924855491</v>
      </c>
      <c r="AL468" s="0" t="n">
        <f aca="false">IF(AJ468=1,1+COUNTIF($P468:$S468,"&gt;"&amp;INDEX($F468:$J468,AI468)),"")</f>
        <v>2</v>
      </c>
      <c r="AM468" s="0" t="n">
        <f aca="false">AVERAGE($P468:$S468)/MAX($P468:$S468)</f>
        <v>0.69364161849711</v>
      </c>
      <c r="AN468" s="0" t="n">
        <f aca="false">100-INDEX($F468:$J468,$E468)</f>
        <v>66.3</v>
      </c>
    </row>
    <row r="469" customFormat="false" ht="15" hidden="false" customHeight="false" outlineLevel="0" collapsed="false">
      <c r="A469" s="0" t="s">
        <v>57</v>
      </c>
      <c r="B469" s="0" t="n">
        <v>2018</v>
      </c>
      <c r="C469" s="0" t="s">
        <v>46</v>
      </c>
      <c r="D469" s="0" t="s">
        <v>45</v>
      </c>
      <c r="E469" s="0" t="n">
        <v>1</v>
      </c>
      <c r="F469" s="0" t="n">
        <v>24.6</v>
      </c>
      <c r="G469" s="0" t="n">
        <v>18.6</v>
      </c>
      <c r="H469" s="0" t="n">
        <v>11.6</v>
      </c>
      <c r="I469" s="0" t="n">
        <v>12.3</v>
      </c>
      <c r="J469" s="0" t="n">
        <v>13.9</v>
      </c>
      <c r="K469" s="0" t="n">
        <v>2.94260029477</v>
      </c>
      <c r="L469" s="0" t="n">
        <v>11.7418806174</v>
      </c>
      <c r="M469" s="0" t="n">
        <v>41.0096517824</v>
      </c>
      <c r="N469" s="0" t="n">
        <v>31.0579690903</v>
      </c>
      <c r="O469" s="0" t="n">
        <v>13.2478982151</v>
      </c>
      <c r="P469" s="0" t="n">
        <f aca="false">INDEX($F469:$J469,IF(1&lt;$E469,1,1+1))</f>
        <v>18.6</v>
      </c>
      <c r="Q469" s="0" t="n">
        <f aca="false">INDEX($F469:$J469,IF(2&lt;$E469,2,2+1))</f>
        <v>11.6</v>
      </c>
      <c r="R469" s="0" t="n">
        <f aca="false">INDEX($F469:$J469,IF(3&lt;$E469,3,3+1))</f>
        <v>12.3</v>
      </c>
      <c r="S469" s="0" t="n">
        <f aca="false">INDEX($F469:$J469,IF(4&lt;$E469,4,4+1))</f>
        <v>13.9</v>
      </c>
      <c r="T469" s="0" t="n">
        <f aca="false">INDEX($K469:$O469,IF(1&lt;$E469,1,1+1))</f>
        <v>11.7418806174</v>
      </c>
      <c r="U469" s="0" t="n">
        <f aca="false">INDEX($K469:$O469,IF(2&lt;$E469,2,2+1))</f>
        <v>41.0096517824</v>
      </c>
      <c r="V469" s="0" t="n">
        <f aca="false">INDEX($K469:$O469,IF(3&lt;$E469,3,3+1))</f>
        <v>31.0579690903</v>
      </c>
      <c r="W469" s="0" t="n">
        <f aca="false">INDEX($K469:$O469,IF(4&lt;$E469,4,4+1))</f>
        <v>13.2478982151</v>
      </c>
      <c r="X469" s="0" t="n">
        <f aca="false">1+COUNTIF($P469:$S469,"&gt;"&amp;$P469)+(COUNTIF($P469:$S469,$P469)-1)/2</f>
        <v>1</v>
      </c>
      <c r="Y469" s="0" t="n">
        <f aca="false">1+COUNTIF($P469:$S469,"&gt;"&amp;$Q469)+(COUNTIF($P469:$S469,$Q469)-1)/2</f>
        <v>4</v>
      </c>
      <c r="Z469" s="0" t="n">
        <f aca="false">1+COUNTIF($P469:$S469,"&gt;"&amp;$R469)+(COUNTIF($P469:$S469,$R469)-1)/2</f>
        <v>3</v>
      </c>
      <c r="AA469" s="0" t="n">
        <f aca="false">1+COUNTIF($P469:$S469,"&gt;"&amp;$S469)+(COUNTIF($P469:$S469,$S469)-1)/2</f>
        <v>2</v>
      </c>
      <c r="AB469" s="0" t="n">
        <f aca="false">1+COUNTIF($T469:$W469,"&gt;"&amp;$T469)+(COUNTIF($T469:$W469,$T469)-1)/2</f>
        <v>4</v>
      </c>
      <c r="AC469" s="0" t="n">
        <f aca="false">1+COUNTIF($T469:$W469,"&gt;"&amp;$U469)+(COUNTIF($T469:$W469,$U469)-1)/2</f>
        <v>1</v>
      </c>
      <c r="AD469" s="0" t="n">
        <f aca="false">1+COUNTIF($T469:$W469,"&gt;"&amp;$V469)+(COUNTIF($T469:$W469,$V469)-1)/2</f>
        <v>2</v>
      </c>
      <c r="AE469" s="0" t="n">
        <f aca="false">1+COUNTIF($T469:$W469,"&gt;"&amp;$W469)+(COUNTIF($T469:$W469,$W469)-1)/2</f>
        <v>3</v>
      </c>
      <c r="AF469" s="0" t="n">
        <f aca="false">IFERROR(CORREL($P469:$S469,$T469:$W469),"")</f>
        <v>-0.806569912046126</v>
      </c>
      <c r="AG469" s="0" t="n">
        <f aca="false">IFERROR(CORREL($X469:$AA469,$AB469:$AE469),"")</f>
        <v>-1</v>
      </c>
      <c r="AH469" s="0" t="n">
        <f aca="false">IFERROR((SIGN($P469-$Q469)*SIGN($T469-$U469)+SIGN($P469-$R469)*SIGN($T469-$V469)+SIGN($P469-$S469)*SIGN($T469-$W469)+SIGN($Q469-$R469)*SIGN($U469-$V469)+SIGN($Q469-$S469)*SIGN($U469-$W469)+SIGN($R469-$S469)*SIGN($V469-$W469))/SQRT((6-(($P469=$Q469)*1+($P469=$R469)*1+($P469=$S469)*1+($Q469=$R469)*1+($Q469=$S469)*1+($R469=$S469)*1))*(6-(($T469=$U469)*1+($T469=$V469)*1+($T469=$W469)*1+($U469=$V469)*1+($U469=$W469)*1+($V469=$W469)*1))),"")</f>
        <v>-1</v>
      </c>
      <c r="AI469" s="0" t="n">
        <f aca="false">MATCH(MAX($K469:$O469),$K469:$O469,0)</f>
        <v>3</v>
      </c>
      <c r="AJ469" s="0" t="n">
        <f aca="false">IF(AI469&lt;&gt;$E469,1,0)</f>
        <v>1</v>
      </c>
      <c r="AK469" s="0" t="n">
        <f aca="false">IF(AJ469=1,INDEX($F469:$J469,AI469)/MAX($P469:$S469),"")</f>
        <v>0.623655913978495</v>
      </c>
      <c r="AL469" s="0" t="n">
        <f aca="false">IF(AJ469=1,1+COUNTIF($P469:$S469,"&gt;"&amp;INDEX($F469:$J469,AI469)),"")</f>
        <v>4</v>
      </c>
      <c r="AM469" s="0" t="n">
        <f aca="false">AVERAGE($P469:$S469)/MAX($P469:$S469)</f>
        <v>0.758064516129032</v>
      </c>
      <c r="AN469" s="0" t="n">
        <f aca="false">100-INDEX($F469:$J469,$E469)</f>
        <v>75.4</v>
      </c>
    </row>
    <row r="470" customFormat="false" ht="15" hidden="false" customHeight="false" outlineLevel="0" collapsed="false">
      <c r="A470" s="0" t="s">
        <v>57</v>
      </c>
      <c r="B470" s="0" t="n">
        <v>2017</v>
      </c>
      <c r="C470" s="0" t="s">
        <v>58</v>
      </c>
      <c r="D470" s="0" t="s">
        <v>43</v>
      </c>
      <c r="E470" s="0" t="n">
        <v>1</v>
      </c>
      <c r="F470" s="0" t="n">
        <v>36.8</v>
      </c>
      <c r="G470" s="0" t="n">
        <v>6.1</v>
      </c>
      <c r="H470" s="0" t="n">
        <v>8.9</v>
      </c>
      <c r="I470" s="0" t="n">
        <v>6.9</v>
      </c>
      <c r="J470" s="0" t="n">
        <v>27.4</v>
      </c>
      <c r="K470" s="0" t="n">
        <v>32.5839557989</v>
      </c>
      <c r="L470" s="0" t="n">
        <v>28.3031330422</v>
      </c>
      <c r="M470" s="0" t="n">
        <v>5.11200716115</v>
      </c>
      <c r="N470" s="0" t="n">
        <v>28.4447374034</v>
      </c>
      <c r="O470" s="0" t="n">
        <v>5.55616659436</v>
      </c>
      <c r="P470" s="0" t="n">
        <f aca="false">INDEX($F470:$J470,IF(1&lt;$E470,1,1+1))</f>
        <v>6.1</v>
      </c>
      <c r="Q470" s="0" t="n">
        <f aca="false">INDEX($F470:$J470,IF(2&lt;$E470,2,2+1))</f>
        <v>8.9</v>
      </c>
      <c r="R470" s="0" t="n">
        <f aca="false">INDEX($F470:$J470,IF(3&lt;$E470,3,3+1))</f>
        <v>6.9</v>
      </c>
      <c r="S470" s="0" t="n">
        <f aca="false">INDEX($F470:$J470,IF(4&lt;$E470,4,4+1))</f>
        <v>27.4</v>
      </c>
      <c r="T470" s="0" t="n">
        <f aca="false">INDEX($K470:$O470,IF(1&lt;$E470,1,1+1))</f>
        <v>28.3031330422</v>
      </c>
      <c r="U470" s="0" t="n">
        <f aca="false">INDEX($K470:$O470,IF(2&lt;$E470,2,2+1))</f>
        <v>5.11200716115</v>
      </c>
      <c r="V470" s="0" t="n">
        <f aca="false">INDEX($K470:$O470,IF(3&lt;$E470,3,3+1))</f>
        <v>28.4447374034</v>
      </c>
      <c r="W470" s="0" t="n">
        <f aca="false">INDEX($K470:$O470,IF(4&lt;$E470,4,4+1))</f>
        <v>5.55616659436</v>
      </c>
      <c r="X470" s="0" t="n">
        <f aca="false">1+COUNTIF($P470:$S470,"&gt;"&amp;$P470)+(COUNTIF($P470:$S470,$P470)-1)/2</f>
        <v>4</v>
      </c>
      <c r="Y470" s="0" t="n">
        <f aca="false">1+COUNTIF($P470:$S470,"&gt;"&amp;$Q470)+(COUNTIF($P470:$S470,$Q470)-1)/2</f>
        <v>2</v>
      </c>
      <c r="Z470" s="0" t="n">
        <f aca="false">1+COUNTIF($P470:$S470,"&gt;"&amp;$R470)+(COUNTIF($P470:$S470,$R470)-1)/2</f>
        <v>3</v>
      </c>
      <c r="AA470" s="0" t="n">
        <f aca="false">1+COUNTIF($P470:$S470,"&gt;"&amp;$S470)+(COUNTIF($P470:$S470,$S470)-1)/2</f>
        <v>1</v>
      </c>
      <c r="AB470" s="0" t="n">
        <f aca="false">1+COUNTIF($T470:$W470,"&gt;"&amp;$T470)+(COUNTIF($T470:$W470,$T470)-1)/2</f>
        <v>2</v>
      </c>
      <c r="AC470" s="0" t="n">
        <f aca="false">1+COUNTIF($T470:$W470,"&gt;"&amp;$U470)+(COUNTIF($T470:$W470,$U470)-1)/2</f>
        <v>4</v>
      </c>
      <c r="AD470" s="0" t="n">
        <f aca="false">1+COUNTIF($T470:$W470,"&gt;"&amp;$V470)+(COUNTIF($T470:$W470,$V470)-1)/2</f>
        <v>1</v>
      </c>
      <c r="AE470" s="0" t="n">
        <f aca="false">1+COUNTIF($T470:$W470,"&gt;"&amp;$W470)+(COUNTIF($T470:$W470,$W470)-1)/2</f>
        <v>3</v>
      </c>
      <c r="AF470" s="0" t="n">
        <f aca="false">IFERROR(CORREL($P470:$S470,$T470:$W470),"")</f>
        <v>-0.654337559714239</v>
      </c>
      <c r="AG470" s="0" t="n">
        <f aca="false">IFERROR(CORREL($X470:$AA470,$AB470:$AE470),"")</f>
        <v>-0.6</v>
      </c>
      <c r="AH470" s="0" t="n">
        <f aca="false">IFERROR((SIGN($P470-$Q470)*SIGN($T470-$U470)+SIGN($P470-$R470)*SIGN($T470-$V470)+SIGN($P470-$S470)*SIGN($T470-$W470)+SIGN($Q470-$R470)*SIGN($U470-$V470)+SIGN($Q470-$S470)*SIGN($U470-$W470)+SIGN($R470-$S470)*SIGN($V470-$W470))/SQRT((6-(($P470=$Q470)*1+($P470=$R470)*1+($P470=$S470)*1+($Q470=$R470)*1+($Q470=$S470)*1+($R470=$S470)*1))*(6-(($T470=$U470)*1+($T470=$V470)*1+($T470=$W470)*1+($U470=$V470)*1+($U470=$W470)*1+($V470=$W470)*1))),"")</f>
        <v>-0.333333333333333</v>
      </c>
      <c r="AI470" s="0" t="n">
        <f aca="false">MATCH(MAX($K470:$O470),$K470:$O470,0)</f>
        <v>1</v>
      </c>
      <c r="AJ470" s="0" t="n">
        <f aca="false">IF(AI470&lt;&gt;$E470,1,0)</f>
        <v>0</v>
      </c>
      <c r="AK470" s="0" t="str">
        <f aca="false">IF(AJ470=1,INDEX($F470:$J470,AI470)/MAX($P470:$S470),"")</f>
        <v/>
      </c>
      <c r="AL470" s="0" t="str">
        <f aca="false">IF(AJ470=1,1+COUNTIF($P470:$S470,"&gt;"&amp;INDEX($F470:$J470,AI470)),"")</f>
        <v/>
      </c>
      <c r="AM470" s="0" t="n">
        <f aca="false">AVERAGE($P470:$S470)/MAX($P470:$S470)</f>
        <v>0.449817518248175</v>
      </c>
      <c r="AN470" s="0" t="n">
        <f aca="false">100-INDEX($F470:$J470,$E470)</f>
        <v>63.2</v>
      </c>
    </row>
    <row r="471" customFormat="false" ht="15" hidden="false" customHeight="false" outlineLevel="0" collapsed="false">
      <c r="A471" s="0" t="s">
        <v>57</v>
      </c>
      <c r="B471" s="0" t="n">
        <v>2017</v>
      </c>
      <c r="C471" s="0" t="s">
        <v>58</v>
      </c>
      <c r="D471" s="0" t="s">
        <v>44</v>
      </c>
      <c r="E471" s="0" t="n">
        <v>5</v>
      </c>
      <c r="F471" s="0" t="n">
        <v>5.7</v>
      </c>
      <c r="G471" s="0" t="n">
        <v>8.5</v>
      </c>
      <c r="H471" s="0" t="n">
        <v>13.8</v>
      </c>
      <c r="I471" s="0" t="n">
        <v>25.5</v>
      </c>
      <c r="J471" s="0" t="n">
        <v>32.4</v>
      </c>
      <c r="K471" s="0" t="n">
        <v>9.89097580982</v>
      </c>
      <c r="L471" s="0" t="n">
        <v>6.90294916211</v>
      </c>
      <c r="M471" s="0" t="n">
        <v>43.3425719175</v>
      </c>
      <c r="N471" s="0" t="n">
        <v>15.0283306622</v>
      </c>
      <c r="O471" s="0" t="n">
        <v>24.8351724484</v>
      </c>
      <c r="P471" s="0" t="n">
        <f aca="false">INDEX($F471:$J471,IF(1&lt;$E471,1,1+1))</f>
        <v>5.7</v>
      </c>
      <c r="Q471" s="0" t="n">
        <f aca="false">INDEX($F471:$J471,IF(2&lt;$E471,2,2+1))</f>
        <v>8.5</v>
      </c>
      <c r="R471" s="0" t="n">
        <f aca="false">INDEX($F471:$J471,IF(3&lt;$E471,3,3+1))</f>
        <v>13.8</v>
      </c>
      <c r="S471" s="0" t="n">
        <f aca="false">INDEX($F471:$J471,IF(4&lt;$E471,4,4+1))</f>
        <v>25.5</v>
      </c>
      <c r="T471" s="0" t="n">
        <f aca="false">INDEX($K471:$O471,IF(1&lt;$E471,1,1+1))</f>
        <v>9.89097580982</v>
      </c>
      <c r="U471" s="0" t="n">
        <f aca="false">INDEX($K471:$O471,IF(2&lt;$E471,2,2+1))</f>
        <v>6.90294916211</v>
      </c>
      <c r="V471" s="0" t="n">
        <f aca="false">INDEX($K471:$O471,IF(3&lt;$E471,3,3+1))</f>
        <v>43.3425719175</v>
      </c>
      <c r="W471" s="0" t="n">
        <f aca="false">INDEX($K471:$O471,IF(4&lt;$E471,4,4+1))</f>
        <v>15.0283306622</v>
      </c>
      <c r="X471" s="0" t="n">
        <f aca="false">1+COUNTIF($P471:$S471,"&gt;"&amp;$P471)+(COUNTIF($P471:$S471,$P471)-1)/2</f>
        <v>4</v>
      </c>
      <c r="Y471" s="0" t="n">
        <f aca="false">1+COUNTIF($P471:$S471,"&gt;"&amp;$Q471)+(COUNTIF($P471:$S471,$Q471)-1)/2</f>
        <v>3</v>
      </c>
      <c r="Z471" s="0" t="n">
        <f aca="false">1+COUNTIF($P471:$S471,"&gt;"&amp;$R471)+(COUNTIF($P471:$S471,$R471)-1)/2</f>
        <v>2</v>
      </c>
      <c r="AA471" s="0" t="n">
        <f aca="false">1+COUNTIF($P471:$S471,"&gt;"&amp;$S471)+(COUNTIF($P471:$S471,$S471)-1)/2</f>
        <v>1</v>
      </c>
      <c r="AB471" s="0" t="n">
        <f aca="false">1+COUNTIF($T471:$W471,"&gt;"&amp;$T471)+(COUNTIF($T471:$W471,$T471)-1)/2</f>
        <v>3</v>
      </c>
      <c r="AC471" s="0" t="n">
        <f aca="false">1+COUNTIF($T471:$W471,"&gt;"&amp;$U471)+(COUNTIF($T471:$W471,$U471)-1)/2</f>
        <v>4</v>
      </c>
      <c r="AD471" s="0" t="n">
        <f aca="false">1+COUNTIF($T471:$W471,"&gt;"&amp;$V471)+(COUNTIF($T471:$W471,$V471)-1)/2</f>
        <v>1</v>
      </c>
      <c r="AE471" s="0" t="n">
        <f aca="false">1+COUNTIF($T471:$W471,"&gt;"&amp;$W471)+(COUNTIF($T471:$W471,$W471)-1)/2</f>
        <v>2</v>
      </c>
      <c r="AF471" s="0" t="n">
        <f aca="false">IFERROR(CORREL($P471:$S471,$T471:$W471),"")</f>
        <v>0.207572591995188</v>
      </c>
      <c r="AG471" s="0" t="n">
        <f aca="false">IFERROR(CORREL($X471:$AA471,$AB471:$AE471),"")</f>
        <v>0.6</v>
      </c>
      <c r="AH471" s="0" t="n">
        <f aca="false">IFERROR((SIGN($P471-$Q471)*SIGN($T471-$U471)+SIGN($P471-$R471)*SIGN($T471-$V471)+SIGN($P471-$S471)*SIGN($T471-$W471)+SIGN($Q471-$R471)*SIGN($U471-$V471)+SIGN($Q471-$S471)*SIGN($U471-$W471)+SIGN($R471-$S471)*SIGN($V471-$W471))/SQRT((6-(($P471=$Q471)*1+($P471=$R471)*1+($P471=$S471)*1+($Q471=$R471)*1+($Q471=$S471)*1+($R471=$S471)*1))*(6-(($T471=$U471)*1+($T471=$V471)*1+($T471=$W471)*1+($U471=$V471)*1+($U471=$W471)*1+($V471=$W471)*1))),"")</f>
        <v>0.333333333333333</v>
      </c>
      <c r="AI471" s="0" t="n">
        <f aca="false">MATCH(MAX($K471:$O471),$K471:$O471,0)</f>
        <v>3</v>
      </c>
      <c r="AJ471" s="0" t="n">
        <f aca="false">IF(AI471&lt;&gt;$E471,1,0)</f>
        <v>1</v>
      </c>
      <c r="AK471" s="0" t="n">
        <f aca="false">IF(AJ471=1,INDEX($F471:$J471,AI471)/MAX($P471:$S471),"")</f>
        <v>0.541176470588235</v>
      </c>
      <c r="AL471" s="0" t="n">
        <f aca="false">IF(AJ471=1,1+COUNTIF($P471:$S471,"&gt;"&amp;INDEX($F471:$J471,AI471)),"")</f>
        <v>2</v>
      </c>
      <c r="AM471" s="0" t="n">
        <f aca="false">AVERAGE($P471:$S471)/MAX($P471:$S471)</f>
        <v>0.524509803921569</v>
      </c>
      <c r="AN471" s="0" t="n">
        <f aca="false">100-INDEX($F471:$J471,$E471)</f>
        <v>67.6</v>
      </c>
    </row>
    <row r="472" customFormat="false" ht="15" hidden="false" customHeight="false" outlineLevel="0" collapsed="false">
      <c r="A472" s="0" t="s">
        <v>57</v>
      </c>
      <c r="B472" s="0" t="n">
        <v>2017</v>
      </c>
      <c r="C472" s="0" t="s">
        <v>49</v>
      </c>
      <c r="D472" s="0" t="s">
        <v>42</v>
      </c>
      <c r="E472" s="0" t="n">
        <v>2</v>
      </c>
      <c r="F472" s="0" t="n">
        <v>10.8</v>
      </c>
      <c r="G472" s="0" t="n">
        <v>42.1</v>
      </c>
      <c r="H472" s="0" t="n">
        <v>10.9</v>
      </c>
      <c r="I472" s="0" t="n">
        <v>5.7</v>
      </c>
      <c r="J472" s="0" t="n">
        <v>11.1</v>
      </c>
      <c r="K472" s="0" t="n">
        <v>1.96154445136</v>
      </c>
      <c r="L472" s="0" t="n">
        <v>89.9648809036</v>
      </c>
      <c r="M472" s="0" t="n">
        <v>1.53867659178</v>
      </c>
      <c r="N472" s="0" t="n">
        <v>1.60112953435</v>
      </c>
      <c r="O472" s="0" t="n">
        <v>4.9337685189</v>
      </c>
      <c r="P472" s="0" t="n">
        <f aca="false">INDEX($F472:$J472,IF(1&lt;$E472,1,1+1))</f>
        <v>10.8</v>
      </c>
      <c r="Q472" s="0" t="n">
        <f aca="false">INDEX($F472:$J472,IF(2&lt;$E472,2,2+1))</f>
        <v>10.9</v>
      </c>
      <c r="R472" s="0" t="n">
        <f aca="false">INDEX($F472:$J472,IF(3&lt;$E472,3,3+1))</f>
        <v>5.7</v>
      </c>
      <c r="S472" s="0" t="n">
        <f aca="false">INDEX($F472:$J472,IF(4&lt;$E472,4,4+1))</f>
        <v>11.1</v>
      </c>
      <c r="T472" s="0" t="n">
        <f aca="false">INDEX($K472:$O472,IF(1&lt;$E472,1,1+1))</f>
        <v>1.96154445136</v>
      </c>
      <c r="U472" s="0" t="n">
        <f aca="false">INDEX($K472:$O472,IF(2&lt;$E472,2,2+1))</f>
        <v>1.53867659178</v>
      </c>
      <c r="V472" s="0" t="n">
        <f aca="false">INDEX($K472:$O472,IF(3&lt;$E472,3,3+1))</f>
        <v>1.60112953435</v>
      </c>
      <c r="W472" s="0" t="n">
        <f aca="false">INDEX($K472:$O472,IF(4&lt;$E472,4,4+1))</f>
        <v>4.9337685189</v>
      </c>
      <c r="X472" s="0" t="n">
        <f aca="false">1+COUNTIF($P472:$S472,"&gt;"&amp;$P472)+(COUNTIF($P472:$S472,$P472)-1)/2</f>
        <v>3</v>
      </c>
      <c r="Y472" s="0" t="n">
        <f aca="false">1+COUNTIF($P472:$S472,"&gt;"&amp;$Q472)+(COUNTIF($P472:$S472,$Q472)-1)/2</f>
        <v>2</v>
      </c>
      <c r="Z472" s="0" t="n">
        <f aca="false">1+COUNTIF($P472:$S472,"&gt;"&amp;$R472)+(COUNTIF($P472:$S472,$R472)-1)/2</f>
        <v>4</v>
      </c>
      <c r="AA472" s="0" t="n">
        <f aca="false">1+COUNTIF($P472:$S472,"&gt;"&amp;$S472)+(COUNTIF($P472:$S472,$S472)-1)/2</f>
        <v>1</v>
      </c>
      <c r="AB472" s="0" t="n">
        <f aca="false">1+COUNTIF($T472:$W472,"&gt;"&amp;$T472)+(COUNTIF($T472:$W472,$T472)-1)/2</f>
        <v>2</v>
      </c>
      <c r="AC472" s="0" t="n">
        <f aca="false">1+COUNTIF($T472:$W472,"&gt;"&amp;$U472)+(COUNTIF($T472:$W472,$U472)-1)/2</f>
        <v>4</v>
      </c>
      <c r="AD472" s="0" t="n">
        <f aca="false">1+COUNTIF($T472:$W472,"&gt;"&amp;$V472)+(COUNTIF($T472:$W472,$V472)-1)/2</f>
        <v>3</v>
      </c>
      <c r="AE472" s="0" t="n">
        <f aca="false">1+COUNTIF($T472:$W472,"&gt;"&amp;$W472)+(COUNTIF($T472:$W472,$W472)-1)/2</f>
        <v>1</v>
      </c>
      <c r="AF472" s="0" t="n">
        <f aca="false">IFERROR(CORREL($P472:$S472,$T472:$W472),"")</f>
        <v>0.41124140964341</v>
      </c>
      <c r="AG472" s="0" t="n">
        <f aca="false">IFERROR(CORREL($X472:$AA472,$AB472:$AE472),"")</f>
        <v>0.4</v>
      </c>
      <c r="AH472" s="0" t="n">
        <f aca="false">IFERROR((SIGN($P472-$Q472)*SIGN($T472-$U472)+SIGN($P472-$R472)*SIGN($T472-$V472)+SIGN($P472-$S472)*SIGN($T472-$W472)+SIGN($Q472-$R472)*SIGN($U472-$V472)+SIGN($Q472-$S472)*SIGN($U472-$W472)+SIGN($R472-$S472)*SIGN($V472-$W472))/SQRT((6-(($P472=$Q472)*1+($P472=$R472)*1+($P472=$S472)*1+($Q472=$R472)*1+($Q472=$S472)*1+($R472=$S472)*1))*(6-(($T472=$U472)*1+($T472=$V472)*1+($T472=$W472)*1+($U472=$V472)*1+($U472=$W472)*1+($V472=$W472)*1))),"")</f>
        <v>0.333333333333333</v>
      </c>
      <c r="AI472" s="0" t="n">
        <f aca="false">MATCH(MAX($K472:$O472),$K472:$O472,0)</f>
        <v>2</v>
      </c>
      <c r="AJ472" s="0" t="n">
        <f aca="false">IF(AI472&lt;&gt;$E472,1,0)</f>
        <v>0</v>
      </c>
      <c r="AK472" s="0" t="str">
        <f aca="false">IF(AJ472=1,INDEX($F472:$J472,AI472)/MAX($P472:$S472),"")</f>
        <v/>
      </c>
      <c r="AL472" s="0" t="str">
        <f aca="false">IF(AJ472=1,1+COUNTIF($P472:$S472,"&gt;"&amp;INDEX($F472:$J472,AI472)),"")</f>
        <v/>
      </c>
      <c r="AM472" s="0" t="n">
        <f aca="false">AVERAGE($P472:$S472)/MAX($P472:$S472)</f>
        <v>0.867117117117117</v>
      </c>
      <c r="AN472" s="0" t="n">
        <f aca="false">100-INDEX($F472:$J472,$E472)</f>
        <v>57.9</v>
      </c>
    </row>
    <row r="473" customFormat="false" ht="15" hidden="false" customHeight="false" outlineLevel="0" collapsed="false">
      <c r="A473" s="0" t="s">
        <v>57</v>
      </c>
      <c r="B473" s="0" t="n">
        <v>2017</v>
      </c>
      <c r="C473" s="0" t="s">
        <v>49</v>
      </c>
      <c r="D473" s="0" t="s">
        <v>43</v>
      </c>
      <c r="E473" s="0" t="n">
        <v>3</v>
      </c>
      <c r="F473" s="0" t="n">
        <v>6</v>
      </c>
      <c r="G473" s="0" t="n">
        <v>10</v>
      </c>
      <c r="H473" s="0" t="n">
        <v>43.2</v>
      </c>
      <c r="I473" s="0" t="n">
        <v>14.1</v>
      </c>
      <c r="J473" s="0" t="n">
        <v>6.7</v>
      </c>
      <c r="K473" s="0" t="n">
        <v>1.23995733187</v>
      </c>
      <c r="L473" s="0" t="n">
        <v>12.2498355533</v>
      </c>
      <c r="M473" s="0" t="n">
        <v>57.8919351419</v>
      </c>
      <c r="N473" s="0" t="n">
        <v>16.2592688339</v>
      </c>
      <c r="O473" s="0" t="n">
        <v>12.359003139</v>
      </c>
      <c r="P473" s="0" t="n">
        <f aca="false">INDEX($F473:$J473,IF(1&lt;$E473,1,1+1))</f>
        <v>6</v>
      </c>
      <c r="Q473" s="0" t="n">
        <f aca="false">INDEX($F473:$J473,IF(2&lt;$E473,2,2+1))</f>
        <v>10</v>
      </c>
      <c r="R473" s="0" t="n">
        <f aca="false">INDEX($F473:$J473,IF(3&lt;$E473,3,3+1))</f>
        <v>14.1</v>
      </c>
      <c r="S473" s="0" t="n">
        <f aca="false">INDEX($F473:$J473,IF(4&lt;$E473,4,4+1))</f>
        <v>6.7</v>
      </c>
      <c r="T473" s="0" t="n">
        <f aca="false">INDEX($K473:$O473,IF(1&lt;$E473,1,1+1))</f>
        <v>1.23995733187</v>
      </c>
      <c r="U473" s="0" t="n">
        <f aca="false">INDEX($K473:$O473,IF(2&lt;$E473,2,2+1))</f>
        <v>12.2498355533</v>
      </c>
      <c r="V473" s="0" t="n">
        <f aca="false">INDEX($K473:$O473,IF(3&lt;$E473,3,3+1))</f>
        <v>16.2592688339</v>
      </c>
      <c r="W473" s="0" t="n">
        <f aca="false">INDEX($K473:$O473,IF(4&lt;$E473,4,4+1))</f>
        <v>12.359003139</v>
      </c>
      <c r="X473" s="0" t="n">
        <f aca="false">1+COUNTIF($P473:$S473,"&gt;"&amp;$P473)+(COUNTIF($P473:$S473,$P473)-1)/2</f>
        <v>4</v>
      </c>
      <c r="Y473" s="0" t="n">
        <f aca="false">1+COUNTIF($P473:$S473,"&gt;"&amp;$Q473)+(COUNTIF($P473:$S473,$Q473)-1)/2</f>
        <v>2</v>
      </c>
      <c r="Z473" s="0" t="n">
        <f aca="false">1+COUNTIF($P473:$S473,"&gt;"&amp;$R473)+(COUNTIF($P473:$S473,$R473)-1)/2</f>
        <v>1</v>
      </c>
      <c r="AA473" s="0" t="n">
        <f aca="false">1+COUNTIF($P473:$S473,"&gt;"&amp;$S473)+(COUNTIF($P473:$S473,$S473)-1)/2</f>
        <v>3</v>
      </c>
      <c r="AB473" s="0" t="n">
        <f aca="false">1+COUNTIF($T473:$W473,"&gt;"&amp;$T473)+(COUNTIF($T473:$W473,$T473)-1)/2</f>
        <v>4</v>
      </c>
      <c r="AC473" s="0" t="n">
        <f aca="false">1+COUNTIF($T473:$W473,"&gt;"&amp;$U473)+(COUNTIF($T473:$W473,$U473)-1)/2</f>
        <v>3</v>
      </c>
      <c r="AD473" s="0" t="n">
        <f aca="false">1+COUNTIF($T473:$W473,"&gt;"&amp;$V473)+(COUNTIF($T473:$W473,$V473)-1)/2</f>
        <v>1</v>
      </c>
      <c r="AE473" s="0" t="n">
        <f aca="false">1+COUNTIF($T473:$W473,"&gt;"&amp;$W473)+(COUNTIF($T473:$W473,$W473)-1)/2</f>
        <v>2</v>
      </c>
      <c r="AF473" s="0" t="n">
        <f aca="false">IFERROR(CORREL($P473:$S473,$T473:$W473),"")</f>
        <v>0.760141787776295</v>
      </c>
      <c r="AG473" s="0" t="n">
        <f aca="false">IFERROR(CORREL($X473:$AA473,$AB473:$AE473),"")</f>
        <v>0.8</v>
      </c>
      <c r="AH473" s="0" t="n">
        <f aca="false">IFERROR((SIGN($P473-$Q473)*SIGN($T473-$U473)+SIGN($P473-$R473)*SIGN($T473-$V473)+SIGN($P473-$S473)*SIGN($T473-$W473)+SIGN($Q473-$R473)*SIGN($U473-$V473)+SIGN($Q473-$S473)*SIGN($U473-$W473)+SIGN($R473-$S473)*SIGN($V473-$W473))/SQRT((6-(($P473=$Q473)*1+($P473=$R473)*1+($P473=$S473)*1+($Q473=$R473)*1+($Q473=$S473)*1+($R473=$S473)*1))*(6-(($T473=$U473)*1+($T473=$V473)*1+($T473=$W473)*1+($U473=$V473)*1+($U473=$W473)*1+($V473=$W473)*1))),"")</f>
        <v>0.666666666666667</v>
      </c>
      <c r="AI473" s="0" t="n">
        <f aca="false">MATCH(MAX($K473:$O473),$K473:$O473,0)</f>
        <v>3</v>
      </c>
      <c r="AJ473" s="0" t="n">
        <f aca="false">IF(AI473&lt;&gt;$E473,1,0)</f>
        <v>0</v>
      </c>
      <c r="AK473" s="0" t="str">
        <f aca="false">IF(AJ473=1,INDEX($F473:$J473,AI473)/MAX($P473:$S473),"")</f>
        <v/>
      </c>
      <c r="AL473" s="0" t="str">
        <f aca="false">IF(AJ473=1,1+COUNTIF($P473:$S473,"&gt;"&amp;INDEX($F473:$J473,AI473)),"")</f>
        <v/>
      </c>
      <c r="AM473" s="0" t="n">
        <f aca="false">AVERAGE($P473:$S473)/MAX($P473:$S473)</f>
        <v>0.652482269503546</v>
      </c>
      <c r="AN473" s="0" t="n">
        <f aca="false">100-INDEX($F473:$J473,$E473)</f>
        <v>56.8</v>
      </c>
    </row>
    <row r="474" customFormat="false" ht="15" hidden="false" customHeight="false" outlineLevel="0" collapsed="false">
      <c r="A474" s="0" t="s">
        <v>57</v>
      </c>
      <c r="B474" s="0" t="n">
        <v>2017</v>
      </c>
      <c r="C474" s="0" t="s">
        <v>49</v>
      </c>
      <c r="D474" s="0" t="s">
        <v>44</v>
      </c>
      <c r="E474" s="0" t="n">
        <v>2</v>
      </c>
      <c r="F474" s="0" t="n">
        <v>10.4</v>
      </c>
      <c r="G474" s="0" t="n">
        <v>28.9</v>
      </c>
      <c r="H474" s="0" t="n">
        <v>11.3</v>
      </c>
      <c r="I474" s="0" t="n">
        <v>19.3</v>
      </c>
      <c r="J474" s="0" t="n">
        <v>9.7</v>
      </c>
      <c r="K474" s="0" t="n">
        <v>6.41043954381</v>
      </c>
      <c r="L474" s="0" t="n">
        <v>3.89580989989</v>
      </c>
      <c r="M474" s="0" t="n">
        <v>29.7212581006</v>
      </c>
      <c r="N474" s="0" t="n">
        <v>46.3026635458</v>
      </c>
      <c r="O474" s="0" t="n">
        <v>13.6698289099</v>
      </c>
      <c r="P474" s="0" t="n">
        <f aca="false">INDEX($F474:$J474,IF(1&lt;$E474,1,1+1))</f>
        <v>10.4</v>
      </c>
      <c r="Q474" s="0" t="n">
        <f aca="false">INDEX($F474:$J474,IF(2&lt;$E474,2,2+1))</f>
        <v>11.3</v>
      </c>
      <c r="R474" s="0" t="n">
        <f aca="false">INDEX($F474:$J474,IF(3&lt;$E474,3,3+1))</f>
        <v>19.3</v>
      </c>
      <c r="S474" s="0" t="n">
        <f aca="false">INDEX($F474:$J474,IF(4&lt;$E474,4,4+1))</f>
        <v>9.7</v>
      </c>
      <c r="T474" s="0" t="n">
        <f aca="false">INDEX($K474:$O474,IF(1&lt;$E474,1,1+1))</f>
        <v>6.41043954381</v>
      </c>
      <c r="U474" s="0" t="n">
        <f aca="false">INDEX($K474:$O474,IF(2&lt;$E474,2,2+1))</f>
        <v>29.7212581006</v>
      </c>
      <c r="V474" s="0" t="n">
        <f aca="false">INDEX($K474:$O474,IF(3&lt;$E474,3,3+1))</f>
        <v>46.3026635458</v>
      </c>
      <c r="W474" s="0" t="n">
        <f aca="false">INDEX($K474:$O474,IF(4&lt;$E474,4,4+1))</f>
        <v>13.6698289099</v>
      </c>
      <c r="X474" s="0" t="n">
        <f aca="false">1+COUNTIF($P474:$S474,"&gt;"&amp;$P474)+(COUNTIF($P474:$S474,$P474)-1)/2</f>
        <v>3</v>
      </c>
      <c r="Y474" s="0" t="n">
        <f aca="false">1+COUNTIF($P474:$S474,"&gt;"&amp;$Q474)+(COUNTIF($P474:$S474,$Q474)-1)/2</f>
        <v>2</v>
      </c>
      <c r="Z474" s="0" t="n">
        <f aca="false">1+COUNTIF($P474:$S474,"&gt;"&amp;$R474)+(COUNTIF($P474:$S474,$R474)-1)/2</f>
        <v>1</v>
      </c>
      <c r="AA474" s="0" t="n">
        <f aca="false">1+COUNTIF($P474:$S474,"&gt;"&amp;$S474)+(COUNTIF($P474:$S474,$S474)-1)/2</f>
        <v>4</v>
      </c>
      <c r="AB474" s="0" t="n">
        <f aca="false">1+COUNTIF($T474:$W474,"&gt;"&amp;$T474)+(COUNTIF($T474:$W474,$T474)-1)/2</f>
        <v>4</v>
      </c>
      <c r="AC474" s="0" t="n">
        <f aca="false">1+COUNTIF($T474:$W474,"&gt;"&amp;$U474)+(COUNTIF($T474:$W474,$U474)-1)/2</f>
        <v>2</v>
      </c>
      <c r="AD474" s="0" t="n">
        <f aca="false">1+COUNTIF($T474:$W474,"&gt;"&amp;$V474)+(COUNTIF($T474:$W474,$V474)-1)/2</f>
        <v>1</v>
      </c>
      <c r="AE474" s="0" t="n">
        <f aca="false">1+COUNTIF($T474:$W474,"&gt;"&amp;$W474)+(COUNTIF($T474:$W474,$W474)-1)/2</f>
        <v>3</v>
      </c>
      <c r="AF474" s="0" t="n">
        <f aca="false">IFERROR(CORREL($P474:$S474,$T474:$W474),"")</f>
        <v>0.885431815764181</v>
      </c>
      <c r="AG474" s="0" t="n">
        <f aca="false">IFERROR(CORREL($X474:$AA474,$AB474:$AE474),"")</f>
        <v>0.8</v>
      </c>
      <c r="AH474" s="0" t="n">
        <f aca="false">IFERROR((SIGN($P474-$Q474)*SIGN($T474-$U474)+SIGN($P474-$R474)*SIGN($T474-$V474)+SIGN($P474-$S474)*SIGN($T474-$W474)+SIGN($Q474-$R474)*SIGN($U474-$V474)+SIGN($Q474-$S474)*SIGN($U474-$W474)+SIGN($R474-$S474)*SIGN($V474-$W474))/SQRT((6-(($P474=$Q474)*1+($P474=$R474)*1+($P474=$S474)*1+($Q474=$R474)*1+($Q474=$S474)*1+($R474=$S474)*1))*(6-(($T474=$U474)*1+($T474=$V474)*1+($T474=$W474)*1+($U474=$V474)*1+($U474=$W474)*1+($V474=$W474)*1))),"")</f>
        <v>0.666666666666667</v>
      </c>
      <c r="AI474" s="0" t="n">
        <f aca="false">MATCH(MAX($K474:$O474),$K474:$O474,0)</f>
        <v>4</v>
      </c>
      <c r="AJ474" s="0" t="n">
        <f aca="false">IF(AI474&lt;&gt;$E474,1,0)</f>
        <v>1</v>
      </c>
      <c r="AK474" s="0" t="n">
        <f aca="false">IF(AJ474=1,INDEX($F474:$J474,AI474)/MAX($P474:$S474),"")</f>
        <v>1</v>
      </c>
      <c r="AL474" s="0" t="n">
        <f aca="false">IF(AJ474=1,1+COUNTIF($P474:$S474,"&gt;"&amp;INDEX($F474:$J474,AI474)),"")</f>
        <v>1</v>
      </c>
      <c r="AM474" s="0" t="n">
        <f aca="false">AVERAGE($P474:$S474)/MAX($P474:$S474)</f>
        <v>0.656735751295337</v>
      </c>
      <c r="AN474" s="0" t="n">
        <f aca="false">100-INDEX($F474:$J474,$E474)</f>
        <v>71.1</v>
      </c>
    </row>
    <row r="475" customFormat="false" ht="15" hidden="false" customHeight="false" outlineLevel="0" collapsed="false">
      <c r="A475" s="0" t="s">
        <v>57</v>
      </c>
      <c r="B475" s="0" t="n">
        <v>2017</v>
      </c>
      <c r="C475" s="0" t="s">
        <v>49</v>
      </c>
      <c r="D475" s="0" t="s">
        <v>45</v>
      </c>
      <c r="E475" s="0" t="n">
        <v>4</v>
      </c>
      <c r="F475" s="0" t="n">
        <v>9.2</v>
      </c>
      <c r="G475" s="0" t="n">
        <v>8</v>
      </c>
      <c r="H475" s="0" t="n">
        <v>14.1</v>
      </c>
      <c r="I475" s="0" t="n">
        <v>43.8</v>
      </c>
      <c r="J475" s="0" t="n">
        <v>4.7</v>
      </c>
      <c r="K475" s="0" t="n">
        <v>25.8549504035</v>
      </c>
      <c r="L475" s="0" t="n">
        <v>23.4297333848</v>
      </c>
      <c r="M475" s="0" t="n">
        <v>25.5060684645</v>
      </c>
      <c r="N475" s="0" t="n">
        <v>19.405162809</v>
      </c>
      <c r="O475" s="0" t="n">
        <v>5.80408493815</v>
      </c>
      <c r="P475" s="0" t="n">
        <f aca="false">INDEX($F475:$J475,IF(1&lt;$E475,1,1+1))</f>
        <v>9.2</v>
      </c>
      <c r="Q475" s="0" t="n">
        <f aca="false">INDEX($F475:$J475,IF(2&lt;$E475,2,2+1))</f>
        <v>8</v>
      </c>
      <c r="R475" s="0" t="n">
        <f aca="false">INDEX($F475:$J475,IF(3&lt;$E475,3,3+1))</f>
        <v>14.1</v>
      </c>
      <c r="S475" s="0" t="n">
        <f aca="false">INDEX($F475:$J475,IF(4&lt;$E475,4,4+1))</f>
        <v>4.7</v>
      </c>
      <c r="T475" s="0" t="n">
        <f aca="false">INDEX($K475:$O475,IF(1&lt;$E475,1,1+1))</f>
        <v>25.8549504035</v>
      </c>
      <c r="U475" s="0" t="n">
        <f aca="false">INDEX($K475:$O475,IF(2&lt;$E475,2,2+1))</f>
        <v>23.4297333848</v>
      </c>
      <c r="V475" s="0" t="n">
        <f aca="false">INDEX($K475:$O475,IF(3&lt;$E475,3,3+1))</f>
        <v>25.5060684645</v>
      </c>
      <c r="W475" s="0" t="n">
        <f aca="false">INDEX($K475:$O475,IF(4&lt;$E475,4,4+1))</f>
        <v>5.80408493815</v>
      </c>
      <c r="X475" s="0" t="n">
        <f aca="false">1+COUNTIF($P475:$S475,"&gt;"&amp;$P475)+(COUNTIF($P475:$S475,$P475)-1)/2</f>
        <v>2</v>
      </c>
      <c r="Y475" s="0" t="n">
        <f aca="false">1+COUNTIF($P475:$S475,"&gt;"&amp;$Q475)+(COUNTIF($P475:$S475,$Q475)-1)/2</f>
        <v>3</v>
      </c>
      <c r="Z475" s="0" t="n">
        <f aca="false">1+COUNTIF($P475:$S475,"&gt;"&amp;$R475)+(COUNTIF($P475:$S475,$R475)-1)/2</f>
        <v>1</v>
      </c>
      <c r="AA475" s="0" t="n">
        <f aca="false">1+COUNTIF($P475:$S475,"&gt;"&amp;$S475)+(COUNTIF($P475:$S475,$S475)-1)/2</f>
        <v>4</v>
      </c>
      <c r="AB475" s="0" t="n">
        <f aca="false">1+COUNTIF($T475:$W475,"&gt;"&amp;$T475)+(COUNTIF($T475:$W475,$T475)-1)/2</f>
        <v>1</v>
      </c>
      <c r="AC475" s="0" t="n">
        <f aca="false">1+COUNTIF($T475:$W475,"&gt;"&amp;$U475)+(COUNTIF($T475:$W475,$U475)-1)/2</f>
        <v>3</v>
      </c>
      <c r="AD475" s="0" t="n">
        <f aca="false">1+COUNTIF($T475:$W475,"&gt;"&amp;$V475)+(COUNTIF($T475:$W475,$V475)-1)/2</f>
        <v>2</v>
      </c>
      <c r="AE475" s="0" t="n">
        <f aca="false">1+COUNTIF($T475:$W475,"&gt;"&amp;$W475)+(COUNTIF($T475:$W475,$W475)-1)/2</f>
        <v>4</v>
      </c>
      <c r="AF475" s="0" t="n">
        <f aca="false">IFERROR(CORREL($P475:$S475,$T475:$W475),"")</f>
        <v>0.772295734017578</v>
      </c>
      <c r="AG475" s="0" t="n">
        <f aca="false">IFERROR(CORREL($X475:$AA475,$AB475:$AE475),"")</f>
        <v>0.8</v>
      </c>
      <c r="AH475" s="0" t="n">
        <f aca="false">IFERROR((SIGN($P475-$Q475)*SIGN($T475-$U475)+SIGN($P475-$R475)*SIGN($T475-$V475)+SIGN($P475-$S475)*SIGN($T475-$W475)+SIGN($Q475-$R475)*SIGN($U475-$V475)+SIGN($Q475-$S475)*SIGN($U475-$W475)+SIGN($R475-$S475)*SIGN($V475-$W475))/SQRT((6-(($P475=$Q475)*1+($P475=$R475)*1+($P475=$S475)*1+($Q475=$R475)*1+($Q475=$S475)*1+($R475=$S475)*1))*(6-(($T475=$U475)*1+($T475=$V475)*1+($T475=$W475)*1+($U475=$V475)*1+($U475=$W475)*1+($V475=$W475)*1))),"")</f>
        <v>0.666666666666667</v>
      </c>
      <c r="AI475" s="0" t="n">
        <f aca="false">MATCH(MAX($K475:$O475),$K475:$O475,0)</f>
        <v>1</v>
      </c>
      <c r="AJ475" s="0" t="n">
        <f aca="false">IF(AI475&lt;&gt;$E475,1,0)</f>
        <v>1</v>
      </c>
      <c r="AK475" s="0" t="n">
        <f aca="false">IF(AJ475=1,INDEX($F475:$J475,AI475)/MAX($P475:$S475),"")</f>
        <v>0.652482269503546</v>
      </c>
      <c r="AL475" s="0" t="n">
        <f aca="false">IF(AJ475=1,1+COUNTIF($P475:$S475,"&gt;"&amp;INDEX($F475:$J475,AI475)),"")</f>
        <v>2</v>
      </c>
      <c r="AM475" s="0" t="n">
        <f aca="false">AVERAGE($P475:$S475)/MAX($P475:$S475)</f>
        <v>0.638297872340426</v>
      </c>
      <c r="AN475" s="0" t="n">
        <f aca="false">100-INDEX($F475:$J475,$E475)</f>
        <v>56.2</v>
      </c>
    </row>
    <row r="476" customFormat="false" ht="15" hidden="false" customHeight="false" outlineLevel="0" collapsed="false">
      <c r="A476" s="0" t="s">
        <v>57</v>
      </c>
      <c r="B476" s="0" t="n">
        <v>2017</v>
      </c>
      <c r="C476" s="0" t="s">
        <v>51</v>
      </c>
      <c r="D476" s="0" t="s">
        <v>42</v>
      </c>
      <c r="E476" s="0" t="n">
        <v>4</v>
      </c>
      <c r="F476" s="0" t="n">
        <v>18.3</v>
      </c>
      <c r="G476" s="0" t="n">
        <v>6</v>
      </c>
      <c r="H476" s="0" t="n">
        <v>11.5</v>
      </c>
      <c r="I476" s="0" t="n">
        <v>36.8</v>
      </c>
      <c r="J476" s="0" t="n">
        <v>11.2</v>
      </c>
      <c r="K476" s="0" t="n">
        <v>25.4371544438</v>
      </c>
      <c r="L476" s="0" t="n">
        <v>0.549261617923</v>
      </c>
      <c r="M476" s="0" t="n">
        <v>0.430673179278</v>
      </c>
      <c r="N476" s="0" t="n">
        <v>3.90809458907</v>
      </c>
      <c r="O476" s="0" t="n">
        <v>69.6748161699</v>
      </c>
      <c r="P476" s="0" t="n">
        <f aca="false">INDEX($F476:$J476,IF(1&lt;$E476,1,1+1))</f>
        <v>18.3</v>
      </c>
      <c r="Q476" s="0" t="n">
        <f aca="false">INDEX($F476:$J476,IF(2&lt;$E476,2,2+1))</f>
        <v>6</v>
      </c>
      <c r="R476" s="0" t="n">
        <f aca="false">INDEX($F476:$J476,IF(3&lt;$E476,3,3+1))</f>
        <v>11.5</v>
      </c>
      <c r="S476" s="0" t="n">
        <f aca="false">INDEX($F476:$J476,IF(4&lt;$E476,4,4+1))</f>
        <v>11.2</v>
      </c>
      <c r="T476" s="0" t="n">
        <f aca="false">INDEX($K476:$O476,IF(1&lt;$E476,1,1+1))</f>
        <v>25.4371544438</v>
      </c>
      <c r="U476" s="0" t="n">
        <f aca="false">INDEX($K476:$O476,IF(2&lt;$E476,2,2+1))</f>
        <v>0.549261617923</v>
      </c>
      <c r="V476" s="0" t="n">
        <f aca="false">INDEX($K476:$O476,IF(3&lt;$E476,3,3+1))</f>
        <v>0.430673179278</v>
      </c>
      <c r="W476" s="0" t="n">
        <f aca="false">INDEX($K476:$O476,IF(4&lt;$E476,4,4+1))</f>
        <v>69.6748161699</v>
      </c>
      <c r="X476" s="0" t="n">
        <f aca="false">1+COUNTIF($P476:$S476,"&gt;"&amp;$P476)+(COUNTIF($P476:$S476,$P476)-1)/2</f>
        <v>1</v>
      </c>
      <c r="Y476" s="0" t="n">
        <f aca="false">1+COUNTIF($P476:$S476,"&gt;"&amp;$Q476)+(COUNTIF($P476:$S476,$Q476)-1)/2</f>
        <v>4</v>
      </c>
      <c r="Z476" s="0" t="n">
        <f aca="false">1+COUNTIF($P476:$S476,"&gt;"&amp;$R476)+(COUNTIF($P476:$S476,$R476)-1)/2</f>
        <v>2</v>
      </c>
      <c r="AA476" s="0" t="n">
        <f aca="false">1+COUNTIF($P476:$S476,"&gt;"&amp;$S476)+(COUNTIF($P476:$S476,$S476)-1)/2</f>
        <v>3</v>
      </c>
      <c r="AB476" s="0" t="n">
        <f aca="false">1+COUNTIF($T476:$W476,"&gt;"&amp;$T476)+(COUNTIF($T476:$W476,$T476)-1)/2</f>
        <v>2</v>
      </c>
      <c r="AC476" s="0" t="n">
        <f aca="false">1+COUNTIF($T476:$W476,"&gt;"&amp;$U476)+(COUNTIF($T476:$W476,$U476)-1)/2</f>
        <v>3</v>
      </c>
      <c r="AD476" s="0" t="n">
        <f aca="false">1+COUNTIF($T476:$W476,"&gt;"&amp;$V476)+(COUNTIF($T476:$W476,$V476)-1)/2</f>
        <v>4</v>
      </c>
      <c r="AE476" s="0" t="n">
        <f aca="false">1+COUNTIF($T476:$W476,"&gt;"&amp;$W476)+(COUNTIF($T476:$W476,$W476)-1)/2</f>
        <v>1</v>
      </c>
      <c r="AF476" s="0" t="n">
        <f aca="false">IFERROR(CORREL($P476:$S476,$T476:$W476),"")</f>
        <v>0.253224947056198</v>
      </c>
      <c r="AG476" s="0" t="n">
        <f aca="false">IFERROR(CORREL($X476:$AA476,$AB476:$AE476),"")</f>
        <v>0</v>
      </c>
      <c r="AH476" s="0" t="n">
        <f aca="false">IFERROR((SIGN($P476-$Q476)*SIGN($T476-$U476)+SIGN($P476-$R476)*SIGN($T476-$V476)+SIGN($P476-$S476)*SIGN($T476-$W476)+SIGN($Q476-$R476)*SIGN($U476-$V476)+SIGN($Q476-$S476)*SIGN($U476-$W476)+SIGN($R476-$S476)*SIGN($V476-$W476))/SQRT((6-(($P476=$Q476)*1+($P476=$R476)*1+($P476=$S476)*1+($Q476=$R476)*1+($Q476=$S476)*1+($R476=$S476)*1))*(6-(($T476=$U476)*1+($T476=$V476)*1+($T476=$W476)*1+($U476=$V476)*1+($U476=$W476)*1+($V476=$W476)*1))),"")</f>
        <v>0</v>
      </c>
      <c r="AI476" s="0" t="n">
        <f aca="false">MATCH(MAX($K476:$O476),$K476:$O476,0)</f>
        <v>5</v>
      </c>
      <c r="AJ476" s="0" t="n">
        <f aca="false">IF(AI476&lt;&gt;$E476,1,0)</f>
        <v>1</v>
      </c>
      <c r="AK476" s="0" t="n">
        <f aca="false">IF(AJ476=1,INDEX($F476:$J476,AI476)/MAX($P476:$S476),"")</f>
        <v>0.612021857923497</v>
      </c>
      <c r="AL476" s="0" t="n">
        <f aca="false">IF(AJ476=1,1+COUNTIF($P476:$S476,"&gt;"&amp;INDEX($F476:$J476,AI476)),"")</f>
        <v>3</v>
      </c>
      <c r="AM476" s="0" t="n">
        <f aca="false">AVERAGE($P476:$S476)/MAX($P476:$S476)</f>
        <v>0.64207650273224</v>
      </c>
      <c r="AN476" s="0" t="n">
        <f aca="false">100-INDEX($F476:$J476,$E476)</f>
        <v>63.2</v>
      </c>
    </row>
    <row r="477" customFormat="false" ht="15" hidden="false" customHeight="false" outlineLevel="0" collapsed="false">
      <c r="A477" s="0" t="s">
        <v>57</v>
      </c>
      <c r="B477" s="0" t="n">
        <v>2017</v>
      </c>
      <c r="C477" s="0" t="s">
        <v>51</v>
      </c>
      <c r="D477" s="0" t="s">
        <v>43</v>
      </c>
      <c r="E477" s="0" t="n">
        <v>1</v>
      </c>
      <c r="F477" s="0" t="n">
        <v>36.8</v>
      </c>
      <c r="G477" s="0" t="n">
        <v>14.5</v>
      </c>
      <c r="H477" s="0" t="n">
        <v>10.3</v>
      </c>
      <c r="I477" s="0" t="n">
        <v>9.5</v>
      </c>
      <c r="J477" s="0" t="n">
        <v>12.4</v>
      </c>
      <c r="K477" s="0" t="n">
        <v>38.987316838</v>
      </c>
      <c r="L477" s="0" t="n">
        <v>32.695789718</v>
      </c>
      <c r="M477" s="0" t="n">
        <v>13.2703357257</v>
      </c>
      <c r="N477" s="0" t="n">
        <v>5.28620716437</v>
      </c>
      <c r="O477" s="0" t="n">
        <v>9.76035055399</v>
      </c>
      <c r="P477" s="0" t="n">
        <f aca="false">INDEX($F477:$J477,IF(1&lt;$E477,1,1+1))</f>
        <v>14.5</v>
      </c>
      <c r="Q477" s="0" t="n">
        <f aca="false">INDEX($F477:$J477,IF(2&lt;$E477,2,2+1))</f>
        <v>10.3</v>
      </c>
      <c r="R477" s="0" t="n">
        <f aca="false">INDEX($F477:$J477,IF(3&lt;$E477,3,3+1))</f>
        <v>9.5</v>
      </c>
      <c r="S477" s="0" t="n">
        <f aca="false">INDEX($F477:$J477,IF(4&lt;$E477,4,4+1))</f>
        <v>12.4</v>
      </c>
      <c r="T477" s="0" t="n">
        <f aca="false">INDEX($K477:$O477,IF(1&lt;$E477,1,1+1))</f>
        <v>32.695789718</v>
      </c>
      <c r="U477" s="0" t="n">
        <f aca="false">INDEX($K477:$O477,IF(2&lt;$E477,2,2+1))</f>
        <v>13.2703357257</v>
      </c>
      <c r="V477" s="0" t="n">
        <f aca="false">INDEX($K477:$O477,IF(3&lt;$E477,3,3+1))</f>
        <v>5.28620716437</v>
      </c>
      <c r="W477" s="0" t="n">
        <f aca="false">INDEX($K477:$O477,IF(4&lt;$E477,4,4+1))</f>
        <v>9.76035055399</v>
      </c>
      <c r="X477" s="0" t="n">
        <f aca="false">1+COUNTIF($P477:$S477,"&gt;"&amp;$P477)+(COUNTIF($P477:$S477,$P477)-1)/2</f>
        <v>1</v>
      </c>
      <c r="Y477" s="0" t="n">
        <f aca="false">1+COUNTIF($P477:$S477,"&gt;"&amp;$Q477)+(COUNTIF($P477:$S477,$Q477)-1)/2</f>
        <v>3</v>
      </c>
      <c r="Z477" s="0" t="n">
        <f aca="false">1+COUNTIF($P477:$S477,"&gt;"&amp;$R477)+(COUNTIF($P477:$S477,$R477)-1)/2</f>
        <v>4</v>
      </c>
      <c r="AA477" s="0" t="n">
        <f aca="false">1+COUNTIF($P477:$S477,"&gt;"&amp;$S477)+(COUNTIF($P477:$S477,$S477)-1)/2</f>
        <v>2</v>
      </c>
      <c r="AB477" s="0" t="n">
        <f aca="false">1+COUNTIF($T477:$W477,"&gt;"&amp;$T477)+(COUNTIF($T477:$W477,$T477)-1)/2</f>
        <v>1</v>
      </c>
      <c r="AC477" s="0" t="n">
        <f aca="false">1+COUNTIF($T477:$W477,"&gt;"&amp;$U477)+(COUNTIF($T477:$W477,$U477)-1)/2</f>
        <v>2</v>
      </c>
      <c r="AD477" s="0" t="n">
        <f aca="false">1+COUNTIF($T477:$W477,"&gt;"&amp;$V477)+(COUNTIF($T477:$W477,$V477)-1)/2</f>
        <v>4</v>
      </c>
      <c r="AE477" s="0" t="n">
        <f aca="false">1+COUNTIF($T477:$W477,"&gt;"&amp;$W477)+(COUNTIF($T477:$W477,$W477)-1)/2</f>
        <v>3</v>
      </c>
      <c r="AF477" s="0" t="n">
        <f aca="false">IFERROR(CORREL($P477:$S477,$T477:$W477),"")</f>
        <v>0.856548990373379</v>
      </c>
      <c r="AG477" s="0" t="n">
        <f aca="false">IFERROR(CORREL($X477:$AA477,$AB477:$AE477),"")</f>
        <v>0.8</v>
      </c>
      <c r="AH477" s="0" t="n">
        <f aca="false">IFERROR((SIGN($P477-$Q477)*SIGN($T477-$U477)+SIGN($P477-$R477)*SIGN($T477-$V477)+SIGN($P477-$S477)*SIGN($T477-$W477)+SIGN($Q477-$R477)*SIGN($U477-$V477)+SIGN($Q477-$S477)*SIGN($U477-$W477)+SIGN($R477-$S477)*SIGN($V477-$W477))/SQRT((6-(($P477=$Q477)*1+($P477=$R477)*1+($P477=$S477)*1+($Q477=$R477)*1+($Q477=$S477)*1+($R477=$S477)*1))*(6-(($T477=$U477)*1+($T477=$V477)*1+($T477=$W477)*1+($U477=$V477)*1+($U477=$W477)*1+($V477=$W477)*1))),"")</f>
        <v>0.666666666666667</v>
      </c>
      <c r="AI477" s="0" t="n">
        <f aca="false">MATCH(MAX($K477:$O477),$K477:$O477,0)</f>
        <v>1</v>
      </c>
      <c r="AJ477" s="0" t="n">
        <f aca="false">IF(AI477&lt;&gt;$E477,1,0)</f>
        <v>0</v>
      </c>
      <c r="AK477" s="0" t="str">
        <f aca="false">IF(AJ477=1,INDEX($F477:$J477,AI477)/MAX($P477:$S477),"")</f>
        <v/>
      </c>
      <c r="AL477" s="0" t="str">
        <f aca="false">IF(AJ477=1,1+COUNTIF($P477:$S477,"&gt;"&amp;INDEX($F477:$J477,AI477)),"")</f>
        <v/>
      </c>
      <c r="AM477" s="0" t="n">
        <f aca="false">AVERAGE($P477:$S477)/MAX($P477:$S477)</f>
        <v>0.805172413793103</v>
      </c>
      <c r="AN477" s="0" t="n">
        <f aca="false">100-INDEX($F477:$J477,$E477)</f>
        <v>63.2</v>
      </c>
    </row>
    <row r="478" customFormat="false" ht="15" hidden="false" customHeight="false" outlineLevel="0" collapsed="false">
      <c r="A478" s="0" t="s">
        <v>57</v>
      </c>
      <c r="B478" s="0" t="n">
        <v>2017</v>
      </c>
      <c r="C478" s="0" t="s">
        <v>51</v>
      </c>
      <c r="D478" s="0" t="s">
        <v>44</v>
      </c>
      <c r="E478" s="0" t="n">
        <v>5</v>
      </c>
      <c r="F478" s="0" t="n">
        <v>12.5</v>
      </c>
      <c r="G478" s="0" t="n">
        <v>19.9</v>
      </c>
      <c r="H478" s="0" t="n">
        <v>7.7</v>
      </c>
      <c r="I478" s="0" t="n">
        <v>8.7</v>
      </c>
      <c r="J478" s="0" t="n">
        <v>34.3</v>
      </c>
      <c r="K478" s="0" t="n">
        <v>2.72867258814</v>
      </c>
      <c r="L478" s="0" t="n">
        <v>22.3282657724</v>
      </c>
      <c r="M478" s="0" t="n">
        <v>1.37611333817</v>
      </c>
      <c r="N478" s="0" t="n">
        <v>1.03225492147</v>
      </c>
      <c r="O478" s="0" t="n">
        <v>72.5346933798</v>
      </c>
      <c r="P478" s="0" t="n">
        <f aca="false">INDEX($F478:$J478,IF(1&lt;$E478,1,1+1))</f>
        <v>12.5</v>
      </c>
      <c r="Q478" s="0" t="n">
        <f aca="false">INDEX($F478:$J478,IF(2&lt;$E478,2,2+1))</f>
        <v>19.9</v>
      </c>
      <c r="R478" s="0" t="n">
        <f aca="false">INDEX($F478:$J478,IF(3&lt;$E478,3,3+1))</f>
        <v>7.7</v>
      </c>
      <c r="S478" s="0" t="n">
        <f aca="false">INDEX($F478:$J478,IF(4&lt;$E478,4,4+1))</f>
        <v>8.7</v>
      </c>
      <c r="T478" s="0" t="n">
        <f aca="false">INDEX($K478:$O478,IF(1&lt;$E478,1,1+1))</f>
        <v>2.72867258814</v>
      </c>
      <c r="U478" s="0" t="n">
        <f aca="false">INDEX($K478:$O478,IF(2&lt;$E478,2,2+1))</f>
        <v>22.3282657724</v>
      </c>
      <c r="V478" s="0" t="n">
        <f aca="false">INDEX($K478:$O478,IF(3&lt;$E478,3,3+1))</f>
        <v>1.37611333817</v>
      </c>
      <c r="W478" s="0" t="n">
        <f aca="false">INDEX($K478:$O478,IF(4&lt;$E478,4,4+1))</f>
        <v>1.03225492147</v>
      </c>
      <c r="X478" s="0" t="n">
        <f aca="false">1+COUNTIF($P478:$S478,"&gt;"&amp;$P478)+(COUNTIF($P478:$S478,$P478)-1)/2</f>
        <v>2</v>
      </c>
      <c r="Y478" s="0" t="n">
        <f aca="false">1+COUNTIF($P478:$S478,"&gt;"&amp;$Q478)+(COUNTIF($P478:$S478,$Q478)-1)/2</f>
        <v>1</v>
      </c>
      <c r="Z478" s="0" t="n">
        <f aca="false">1+COUNTIF($P478:$S478,"&gt;"&amp;$R478)+(COUNTIF($P478:$S478,$R478)-1)/2</f>
        <v>4</v>
      </c>
      <c r="AA478" s="0" t="n">
        <f aca="false">1+COUNTIF($P478:$S478,"&gt;"&amp;$S478)+(COUNTIF($P478:$S478,$S478)-1)/2</f>
        <v>3</v>
      </c>
      <c r="AB478" s="0" t="n">
        <f aca="false">1+COUNTIF($T478:$W478,"&gt;"&amp;$T478)+(COUNTIF($T478:$W478,$T478)-1)/2</f>
        <v>2</v>
      </c>
      <c r="AC478" s="0" t="n">
        <f aca="false">1+COUNTIF($T478:$W478,"&gt;"&amp;$U478)+(COUNTIF($T478:$W478,$U478)-1)/2</f>
        <v>1</v>
      </c>
      <c r="AD478" s="0" t="n">
        <f aca="false">1+COUNTIF($T478:$W478,"&gt;"&amp;$V478)+(COUNTIF($T478:$W478,$V478)-1)/2</f>
        <v>3</v>
      </c>
      <c r="AE478" s="0" t="n">
        <f aca="false">1+COUNTIF($T478:$W478,"&gt;"&amp;$W478)+(COUNTIF($T478:$W478,$W478)-1)/2</f>
        <v>4</v>
      </c>
      <c r="AF478" s="0" t="n">
        <f aca="false">IFERROR(CORREL($P478:$S478,$T478:$W478),"")</f>
        <v>0.949714702516223</v>
      </c>
      <c r="AG478" s="0" t="n">
        <f aca="false">IFERROR(CORREL($X478:$AA478,$AB478:$AE478),"")</f>
        <v>0.8</v>
      </c>
      <c r="AH478" s="0" t="n">
        <f aca="false">IFERROR((SIGN($P478-$Q478)*SIGN($T478-$U478)+SIGN($P478-$R478)*SIGN($T478-$V478)+SIGN($P478-$S478)*SIGN($T478-$W478)+SIGN($Q478-$R478)*SIGN($U478-$V478)+SIGN($Q478-$S478)*SIGN($U478-$W478)+SIGN($R478-$S478)*SIGN($V478-$W478))/SQRT((6-(($P478=$Q478)*1+($P478=$R478)*1+($P478=$S478)*1+($Q478=$R478)*1+($Q478=$S478)*1+($R478=$S478)*1))*(6-(($T478=$U478)*1+($T478=$V478)*1+($T478=$W478)*1+($U478=$V478)*1+($U478=$W478)*1+($V478=$W478)*1))),"")</f>
        <v>0.666666666666667</v>
      </c>
      <c r="AI478" s="0" t="n">
        <f aca="false">MATCH(MAX($K478:$O478),$K478:$O478,0)</f>
        <v>5</v>
      </c>
      <c r="AJ478" s="0" t="n">
        <f aca="false">IF(AI478&lt;&gt;$E478,1,0)</f>
        <v>0</v>
      </c>
      <c r="AK478" s="0" t="str">
        <f aca="false">IF(AJ478=1,INDEX($F478:$J478,AI478)/MAX($P478:$S478),"")</f>
        <v/>
      </c>
      <c r="AL478" s="0" t="str">
        <f aca="false">IF(AJ478=1,1+COUNTIF($P478:$S478,"&gt;"&amp;INDEX($F478:$J478,AI478)),"")</f>
        <v/>
      </c>
      <c r="AM478" s="0" t="n">
        <f aca="false">AVERAGE($P478:$S478)/MAX($P478:$S478)</f>
        <v>0.613065326633166</v>
      </c>
      <c r="AN478" s="0" t="n">
        <f aca="false">100-INDEX($F478:$J478,$E478)</f>
        <v>65.7</v>
      </c>
    </row>
    <row r="479" customFormat="false" ht="15" hidden="false" customHeight="false" outlineLevel="0" collapsed="false">
      <c r="A479" s="0" t="s">
        <v>57</v>
      </c>
      <c r="B479" s="0" t="n">
        <v>2017</v>
      </c>
      <c r="C479" s="0" t="s">
        <v>51</v>
      </c>
      <c r="D479" s="0" t="s">
        <v>45</v>
      </c>
      <c r="E479" s="0" t="n">
        <v>1</v>
      </c>
      <c r="F479" s="0" t="n">
        <v>37.6</v>
      </c>
      <c r="G479" s="0" t="n">
        <v>9.7</v>
      </c>
      <c r="H479" s="0" t="n">
        <v>14.2</v>
      </c>
      <c r="I479" s="0" t="n">
        <v>15.5</v>
      </c>
      <c r="J479" s="0" t="n">
        <v>5.7</v>
      </c>
      <c r="K479" s="0" t="n">
        <v>50.9893650379</v>
      </c>
      <c r="L479" s="0" t="n">
        <v>1.26209846327</v>
      </c>
      <c r="M479" s="0" t="n">
        <v>24.5155371527</v>
      </c>
      <c r="N479" s="0" t="n">
        <v>18.3260565011</v>
      </c>
      <c r="O479" s="0" t="n">
        <v>4.90694284505</v>
      </c>
      <c r="P479" s="0" t="n">
        <f aca="false">INDEX($F479:$J479,IF(1&lt;$E479,1,1+1))</f>
        <v>9.7</v>
      </c>
      <c r="Q479" s="0" t="n">
        <f aca="false">INDEX($F479:$J479,IF(2&lt;$E479,2,2+1))</f>
        <v>14.2</v>
      </c>
      <c r="R479" s="0" t="n">
        <f aca="false">INDEX($F479:$J479,IF(3&lt;$E479,3,3+1))</f>
        <v>15.5</v>
      </c>
      <c r="S479" s="0" t="n">
        <f aca="false">INDEX($F479:$J479,IF(4&lt;$E479,4,4+1))</f>
        <v>5.7</v>
      </c>
      <c r="T479" s="0" t="n">
        <f aca="false">INDEX($K479:$O479,IF(1&lt;$E479,1,1+1))</f>
        <v>1.26209846327</v>
      </c>
      <c r="U479" s="0" t="n">
        <f aca="false">INDEX($K479:$O479,IF(2&lt;$E479,2,2+1))</f>
        <v>24.5155371527</v>
      </c>
      <c r="V479" s="0" t="n">
        <f aca="false">INDEX($K479:$O479,IF(3&lt;$E479,3,3+1))</f>
        <v>18.3260565011</v>
      </c>
      <c r="W479" s="0" t="n">
        <f aca="false">INDEX($K479:$O479,IF(4&lt;$E479,4,4+1))</f>
        <v>4.90694284505</v>
      </c>
      <c r="X479" s="0" t="n">
        <f aca="false">1+COUNTIF($P479:$S479,"&gt;"&amp;$P479)+(COUNTIF($P479:$S479,$P479)-1)/2</f>
        <v>3</v>
      </c>
      <c r="Y479" s="0" t="n">
        <f aca="false">1+COUNTIF($P479:$S479,"&gt;"&amp;$Q479)+(COUNTIF($P479:$S479,$Q479)-1)/2</f>
        <v>2</v>
      </c>
      <c r="Z479" s="0" t="n">
        <f aca="false">1+COUNTIF($P479:$S479,"&gt;"&amp;$R479)+(COUNTIF($P479:$S479,$R479)-1)/2</f>
        <v>1</v>
      </c>
      <c r="AA479" s="0" t="n">
        <f aca="false">1+COUNTIF($P479:$S479,"&gt;"&amp;$S479)+(COUNTIF($P479:$S479,$S479)-1)/2</f>
        <v>4</v>
      </c>
      <c r="AB479" s="0" t="n">
        <f aca="false">1+COUNTIF($T479:$W479,"&gt;"&amp;$T479)+(COUNTIF($T479:$W479,$T479)-1)/2</f>
        <v>4</v>
      </c>
      <c r="AC479" s="0" t="n">
        <f aca="false">1+COUNTIF($T479:$W479,"&gt;"&amp;$U479)+(COUNTIF($T479:$W479,$U479)-1)/2</f>
        <v>1</v>
      </c>
      <c r="AD479" s="0" t="n">
        <f aca="false">1+COUNTIF($T479:$W479,"&gt;"&amp;$V479)+(COUNTIF($T479:$W479,$V479)-1)/2</f>
        <v>2</v>
      </c>
      <c r="AE479" s="0" t="n">
        <f aca="false">1+COUNTIF($T479:$W479,"&gt;"&amp;$W479)+(COUNTIF($T479:$W479,$W479)-1)/2</f>
        <v>3</v>
      </c>
      <c r="AF479" s="0" t="n">
        <f aca="false">IFERROR(CORREL($P479:$S479,$T479:$W479),"")</f>
        <v>0.813025282148686</v>
      </c>
      <c r="AG479" s="0" t="n">
        <f aca="false">IFERROR(CORREL($X479:$AA479,$AB479:$AE479),"")</f>
        <v>0.6</v>
      </c>
      <c r="AH479" s="0" t="n">
        <f aca="false">IFERROR((SIGN($P479-$Q479)*SIGN($T479-$U479)+SIGN($P479-$R479)*SIGN($T479-$V479)+SIGN($P479-$S479)*SIGN($T479-$W479)+SIGN($Q479-$R479)*SIGN($U479-$V479)+SIGN($Q479-$S479)*SIGN($U479-$W479)+SIGN($R479-$S479)*SIGN($V479-$W479))/SQRT((6-(($P479=$Q479)*1+($P479=$R479)*1+($P479=$S479)*1+($Q479=$R479)*1+($Q479=$S479)*1+($R479=$S479)*1))*(6-(($T479=$U479)*1+($T479=$V479)*1+($T479=$W479)*1+($U479=$V479)*1+($U479=$W479)*1+($V479=$W479)*1))),"")</f>
        <v>0.333333333333333</v>
      </c>
      <c r="AI479" s="0" t="n">
        <f aca="false">MATCH(MAX($K479:$O479),$K479:$O479,0)</f>
        <v>1</v>
      </c>
      <c r="AJ479" s="0" t="n">
        <f aca="false">IF(AI479&lt;&gt;$E479,1,0)</f>
        <v>0</v>
      </c>
      <c r="AK479" s="0" t="str">
        <f aca="false">IF(AJ479=1,INDEX($F479:$J479,AI479)/MAX($P479:$S479),"")</f>
        <v/>
      </c>
      <c r="AL479" s="0" t="str">
        <f aca="false">IF(AJ479=1,1+COUNTIF($P479:$S479,"&gt;"&amp;INDEX($F479:$J479,AI479)),"")</f>
        <v/>
      </c>
      <c r="AM479" s="0" t="n">
        <f aca="false">AVERAGE($P479:$S479)/MAX($P479:$S479)</f>
        <v>0.72741935483871</v>
      </c>
      <c r="AN479" s="0" t="n">
        <f aca="false">100-INDEX($F479:$J479,$E479)</f>
        <v>62.4</v>
      </c>
    </row>
    <row r="480" customFormat="false" ht="15" hidden="false" customHeight="false" outlineLevel="0" collapsed="false">
      <c r="A480" s="0" t="s">
        <v>57</v>
      </c>
      <c r="B480" s="0" t="n">
        <v>2017</v>
      </c>
      <c r="C480" s="0" t="s">
        <v>46</v>
      </c>
      <c r="D480" s="0" t="s">
        <v>42</v>
      </c>
      <c r="E480" s="0" t="n">
        <v>1</v>
      </c>
      <c r="F480" s="0" t="n">
        <v>43</v>
      </c>
      <c r="G480" s="0" t="n">
        <v>10.2</v>
      </c>
      <c r="H480" s="0" t="n">
        <v>8.8</v>
      </c>
      <c r="I480" s="0" t="n">
        <v>10.6</v>
      </c>
      <c r="J480" s="0" t="n">
        <v>5.7</v>
      </c>
      <c r="K480" s="0" t="n">
        <v>99.339369801</v>
      </c>
      <c r="L480" s="0" t="n">
        <v>0.0184031136566</v>
      </c>
      <c r="M480" s="0" t="n">
        <v>0.00989828082793</v>
      </c>
      <c r="N480" s="0" t="n">
        <v>0.198140223456</v>
      </c>
      <c r="O480" s="0" t="n">
        <v>0.434188581049</v>
      </c>
      <c r="P480" s="0" t="n">
        <f aca="false">INDEX($F480:$J480,IF(1&lt;$E480,1,1+1))</f>
        <v>10.2</v>
      </c>
      <c r="Q480" s="0" t="n">
        <f aca="false">INDEX($F480:$J480,IF(2&lt;$E480,2,2+1))</f>
        <v>8.8</v>
      </c>
      <c r="R480" s="0" t="n">
        <f aca="false">INDEX($F480:$J480,IF(3&lt;$E480,3,3+1))</f>
        <v>10.6</v>
      </c>
      <c r="S480" s="0" t="n">
        <f aca="false">INDEX($F480:$J480,IF(4&lt;$E480,4,4+1))</f>
        <v>5.7</v>
      </c>
      <c r="T480" s="0" t="n">
        <f aca="false">INDEX($K480:$O480,IF(1&lt;$E480,1,1+1))</f>
        <v>0.0184031136566</v>
      </c>
      <c r="U480" s="0" t="n">
        <f aca="false">INDEX($K480:$O480,IF(2&lt;$E480,2,2+1))</f>
        <v>0.00989828082793</v>
      </c>
      <c r="V480" s="0" t="n">
        <f aca="false">INDEX($K480:$O480,IF(3&lt;$E480,3,3+1))</f>
        <v>0.198140223456</v>
      </c>
      <c r="W480" s="0" t="n">
        <f aca="false">INDEX($K480:$O480,IF(4&lt;$E480,4,4+1))</f>
        <v>0.434188581049</v>
      </c>
      <c r="X480" s="0" t="n">
        <f aca="false">1+COUNTIF($P480:$S480,"&gt;"&amp;$P480)+(COUNTIF($P480:$S480,$P480)-1)/2</f>
        <v>2</v>
      </c>
      <c r="Y480" s="0" t="n">
        <f aca="false">1+COUNTIF($P480:$S480,"&gt;"&amp;$Q480)+(COUNTIF($P480:$S480,$Q480)-1)/2</f>
        <v>3</v>
      </c>
      <c r="Z480" s="0" t="n">
        <f aca="false">1+COUNTIF($P480:$S480,"&gt;"&amp;$R480)+(COUNTIF($P480:$S480,$R480)-1)/2</f>
        <v>1</v>
      </c>
      <c r="AA480" s="0" t="n">
        <f aca="false">1+COUNTIF($P480:$S480,"&gt;"&amp;$S480)+(COUNTIF($P480:$S480,$S480)-1)/2</f>
        <v>4</v>
      </c>
      <c r="AB480" s="0" t="n">
        <f aca="false">1+COUNTIF($T480:$W480,"&gt;"&amp;$T480)+(COUNTIF($T480:$W480,$T480)-1)/2</f>
        <v>3</v>
      </c>
      <c r="AC480" s="0" t="n">
        <f aca="false">1+COUNTIF($T480:$W480,"&gt;"&amp;$U480)+(COUNTIF($T480:$W480,$U480)-1)/2</f>
        <v>4</v>
      </c>
      <c r="AD480" s="0" t="n">
        <f aca="false">1+COUNTIF($T480:$W480,"&gt;"&amp;$V480)+(COUNTIF($T480:$W480,$V480)-1)/2</f>
        <v>2</v>
      </c>
      <c r="AE480" s="0" t="n">
        <f aca="false">1+COUNTIF($T480:$W480,"&gt;"&amp;$W480)+(COUNTIF($T480:$W480,$W480)-1)/2</f>
        <v>1</v>
      </c>
      <c r="AF480" s="0" t="n">
        <f aca="false">IFERROR(CORREL($P480:$S480,$T480:$W480),"")</f>
        <v>-0.737992660230031</v>
      </c>
      <c r="AG480" s="0" t="n">
        <f aca="false">IFERROR(CORREL($X480:$AA480,$AB480:$AE480),"")</f>
        <v>-0.2</v>
      </c>
      <c r="AH480" s="0" t="n">
        <f aca="false">IFERROR((SIGN($P480-$Q480)*SIGN($T480-$U480)+SIGN($P480-$R480)*SIGN($T480-$V480)+SIGN($P480-$S480)*SIGN($T480-$W480)+SIGN($Q480-$R480)*SIGN($U480-$V480)+SIGN($Q480-$S480)*SIGN($U480-$W480)+SIGN($R480-$S480)*SIGN($V480-$W480))/SQRT((6-(($P480=$Q480)*1+($P480=$R480)*1+($P480=$S480)*1+($Q480=$R480)*1+($Q480=$S480)*1+($R480=$S480)*1))*(6-(($T480=$U480)*1+($T480=$V480)*1+($T480=$W480)*1+($U480=$V480)*1+($U480=$W480)*1+($V480=$W480)*1))),"")</f>
        <v>0</v>
      </c>
      <c r="AI480" s="0" t="n">
        <f aca="false">MATCH(MAX($K480:$O480),$K480:$O480,0)</f>
        <v>1</v>
      </c>
      <c r="AJ480" s="0" t="n">
        <f aca="false">IF(AI480&lt;&gt;$E480,1,0)</f>
        <v>0</v>
      </c>
      <c r="AK480" s="0" t="str">
        <f aca="false">IF(AJ480=1,INDEX($F480:$J480,AI480)/MAX($P480:$S480),"")</f>
        <v/>
      </c>
      <c r="AL480" s="0" t="str">
        <f aca="false">IF(AJ480=1,1+COUNTIF($P480:$S480,"&gt;"&amp;INDEX($F480:$J480,AI480)),"")</f>
        <v/>
      </c>
      <c r="AM480" s="0" t="n">
        <f aca="false">AVERAGE($P480:$S480)/MAX($P480:$S480)</f>
        <v>0.832547169811321</v>
      </c>
      <c r="AN480" s="0" t="n">
        <f aca="false">100-INDEX($F480:$J480,$E480)</f>
        <v>57</v>
      </c>
    </row>
    <row r="481" customFormat="false" ht="15" hidden="false" customHeight="false" outlineLevel="0" collapsed="false">
      <c r="A481" s="0" t="s">
        <v>57</v>
      </c>
      <c r="B481" s="0" t="n">
        <v>2017</v>
      </c>
      <c r="C481" s="0" t="s">
        <v>46</v>
      </c>
      <c r="D481" s="0" t="s">
        <v>43</v>
      </c>
      <c r="E481" s="0" t="n">
        <v>3</v>
      </c>
      <c r="F481" s="0" t="n">
        <v>5.4</v>
      </c>
      <c r="G481" s="0" t="n">
        <v>10</v>
      </c>
      <c r="H481" s="0" t="n">
        <v>47.7</v>
      </c>
      <c r="I481" s="0" t="n">
        <v>8.6</v>
      </c>
      <c r="J481" s="0" t="n">
        <v>6.3</v>
      </c>
      <c r="K481" s="0" t="n">
        <v>21.84617831</v>
      </c>
      <c r="L481" s="0" t="n">
        <v>56.5090103008</v>
      </c>
      <c r="M481" s="0" t="n">
        <v>7.62855081803</v>
      </c>
      <c r="N481" s="0" t="n">
        <v>4.09853698546</v>
      </c>
      <c r="O481" s="0" t="n">
        <v>9.91772358566</v>
      </c>
      <c r="P481" s="0" t="n">
        <f aca="false">INDEX($F481:$J481,IF(1&lt;$E481,1,1+1))</f>
        <v>5.4</v>
      </c>
      <c r="Q481" s="0" t="n">
        <f aca="false">INDEX($F481:$J481,IF(2&lt;$E481,2,2+1))</f>
        <v>10</v>
      </c>
      <c r="R481" s="0" t="n">
        <f aca="false">INDEX($F481:$J481,IF(3&lt;$E481,3,3+1))</f>
        <v>8.6</v>
      </c>
      <c r="S481" s="0" t="n">
        <f aca="false">INDEX($F481:$J481,IF(4&lt;$E481,4,4+1))</f>
        <v>6.3</v>
      </c>
      <c r="T481" s="0" t="n">
        <f aca="false">INDEX($K481:$O481,IF(1&lt;$E481,1,1+1))</f>
        <v>21.84617831</v>
      </c>
      <c r="U481" s="0" t="n">
        <f aca="false">INDEX($K481:$O481,IF(2&lt;$E481,2,2+1))</f>
        <v>56.5090103008</v>
      </c>
      <c r="V481" s="0" t="n">
        <f aca="false">INDEX($K481:$O481,IF(3&lt;$E481,3,3+1))</f>
        <v>4.09853698546</v>
      </c>
      <c r="W481" s="0" t="n">
        <f aca="false">INDEX($K481:$O481,IF(4&lt;$E481,4,4+1))</f>
        <v>9.91772358566</v>
      </c>
      <c r="X481" s="0" t="n">
        <f aca="false">1+COUNTIF($P481:$S481,"&gt;"&amp;$P481)+(COUNTIF($P481:$S481,$P481)-1)/2</f>
        <v>4</v>
      </c>
      <c r="Y481" s="0" t="n">
        <f aca="false">1+COUNTIF($P481:$S481,"&gt;"&amp;$Q481)+(COUNTIF($P481:$S481,$Q481)-1)/2</f>
        <v>1</v>
      </c>
      <c r="Z481" s="0" t="n">
        <f aca="false">1+COUNTIF($P481:$S481,"&gt;"&amp;$R481)+(COUNTIF($P481:$S481,$R481)-1)/2</f>
        <v>2</v>
      </c>
      <c r="AA481" s="0" t="n">
        <f aca="false">1+COUNTIF($P481:$S481,"&gt;"&amp;$S481)+(COUNTIF($P481:$S481,$S481)-1)/2</f>
        <v>3</v>
      </c>
      <c r="AB481" s="0" t="n">
        <f aca="false">1+COUNTIF($T481:$W481,"&gt;"&amp;$T481)+(COUNTIF($T481:$W481,$T481)-1)/2</f>
        <v>2</v>
      </c>
      <c r="AC481" s="0" t="n">
        <f aca="false">1+COUNTIF($T481:$W481,"&gt;"&amp;$U481)+(COUNTIF($T481:$W481,$U481)-1)/2</f>
        <v>1</v>
      </c>
      <c r="AD481" s="0" t="n">
        <f aca="false">1+COUNTIF($T481:$W481,"&gt;"&amp;$V481)+(COUNTIF($T481:$W481,$V481)-1)/2</f>
        <v>4</v>
      </c>
      <c r="AE481" s="0" t="n">
        <f aca="false">1+COUNTIF($T481:$W481,"&gt;"&amp;$W481)+(COUNTIF($T481:$W481,$W481)-1)/2</f>
        <v>3</v>
      </c>
      <c r="AF481" s="0" t="n">
        <f aca="false">IFERROR(CORREL($P481:$S481,$T481:$W481),"")</f>
        <v>0.547123623765679</v>
      </c>
      <c r="AG481" s="0" t="n">
        <f aca="false">IFERROR(CORREL($X481:$AA481,$AB481:$AE481),"")</f>
        <v>0.2</v>
      </c>
      <c r="AH481" s="0" t="n">
        <f aca="false">IFERROR((SIGN($P481-$Q481)*SIGN($T481-$U481)+SIGN($P481-$R481)*SIGN($T481-$V481)+SIGN($P481-$S481)*SIGN($T481-$W481)+SIGN($Q481-$R481)*SIGN($U481-$V481)+SIGN($Q481-$S481)*SIGN($U481-$W481)+SIGN($R481-$S481)*SIGN($V481-$W481))/SQRT((6-(($P481=$Q481)*1+($P481=$R481)*1+($P481=$S481)*1+($Q481=$R481)*1+($Q481=$S481)*1+($R481=$S481)*1))*(6-(($T481=$U481)*1+($T481=$V481)*1+($T481=$W481)*1+($U481=$V481)*1+($U481=$W481)*1+($V481=$W481)*1))),"")</f>
        <v>0</v>
      </c>
      <c r="AI481" s="0" t="n">
        <f aca="false">MATCH(MAX($K481:$O481),$K481:$O481,0)</f>
        <v>2</v>
      </c>
      <c r="AJ481" s="0" t="n">
        <f aca="false">IF(AI481&lt;&gt;$E481,1,0)</f>
        <v>1</v>
      </c>
      <c r="AK481" s="0" t="n">
        <f aca="false">IF(AJ481=1,INDEX($F481:$J481,AI481)/MAX($P481:$S481),"")</f>
        <v>1</v>
      </c>
      <c r="AL481" s="0" t="n">
        <f aca="false">IF(AJ481=1,1+COUNTIF($P481:$S481,"&gt;"&amp;INDEX($F481:$J481,AI481)),"")</f>
        <v>1</v>
      </c>
      <c r="AM481" s="0" t="n">
        <f aca="false">AVERAGE($P481:$S481)/MAX($P481:$S481)</f>
        <v>0.7575</v>
      </c>
      <c r="AN481" s="0" t="n">
        <f aca="false">100-INDEX($F481:$J481,$E481)</f>
        <v>52.3</v>
      </c>
    </row>
    <row r="482" customFormat="false" ht="15" hidden="false" customHeight="false" outlineLevel="0" collapsed="false">
      <c r="A482" s="0" t="s">
        <v>57</v>
      </c>
      <c r="B482" s="0" t="n">
        <v>2017</v>
      </c>
      <c r="C482" s="0" t="s">
        <v>46</v>
      </c>
      <c r="D482" s="0" t="s">
        <v>44</v>
      </c>
      <c r="E482" s="0" t="n">
        <v>1</v>
      </c>
      <c r="F482" s="0" t="n">
        <v>41.1</v>
      </c>
      <c r="G482" s="0" t="n">
        <v>16.7</v>
      </c>
      <c r="H482" s="0" t="n">
        <v>6.5</v>
      </c>
      <c r="I482" s="0" t="n">
        <v>6.4</v>
      </c>
      <c r="J482" s="0" t="n">
        <v>7</v>
      </c>
      <c r="K482" s="0" t="n">
        <v>20.6248029697</v>
      </c>
      <c r="L482" s="0" t="n">
        <v>3.25782347164</v>
      </c>
      <c r="M482" s="0" t="n">
        <v>31.4134051618</v>
      </c>
      <c r="N482" s="0" t="n">
        <v>14.4551175129</v>
      </c>
      <c r="O482" s="0" t="n">
        <v>30.248850884</v>
      </c>
      <c r="P482" s="0" t="n">
        <f aca="false">INDEX($F482:$J482,IF(1&lt;$E482,1,1+1))</f>
        <v>16.7</v>
      </c>
      <c r="Q482" s="0" t="n">
        <f aca="false">INDEX($F482:$J482,IF(2&lt;$E482,2,2+1))</f>
        <v>6.5</v>
      </c>
      <c r="R482" s="0" t="n">
        <f aca="false">INDEX($F482:$J482,IF(3&lt;$E482,3,3+1))</f>
        <v>6.4</v>
      </c>
      <c r="S482" s="0" t="n">
        <f aca="false">INDEX($F482:$J482,IF(4&lt;$E482,4,4+1))</f>
        <v>7</v>
      </c>
      <c r="T482" s="0" t="n">
        <f aca="false">INDEX($K482:$O482,IF(1&lt;$E482,1,1+1))</f>
        <v>3.25782347164</v>
      </c>
      <c r="U482" s="0" t="n">
        <f aca="false">INDEX($K482:$O482,IF(2&lt;$E482,2,2+1))</f>
        <v>31.4134051618</v>
      </c>
      <c r="V482" s="0" t="n">
        <f aca="false">INDEX($K482:$O482,IF(3&lt;$E482,3,3+1))</f>
        <v>14.4551175129</v>
      </c>
      <c r="W482" s="0" t="n">
        <f aca="false">INDEX($K482:$O482,IF(4&lt;$E482,4,4+1))</f>
        <v>30.248850884</v>
      </c>
      <c r="X482" s="0" t="n">
        <f aca="false">1+COUNTIF($P482:$S482,"&gt;"&amp;$P482)+(COUNTIF($P482:$S482,$P482)-1)/2</f>
        <v>1</v>
      </c>
      <c r="Y482" s="0" t="n">
        <f aca="false">1+COUNTIF($P482:$S482,"&gt;"&amp;$Q482)+(COUNTIF($P482:$S482,$Q482)-1)/2</f>
        <v>3</v>
      </c>
      <c r="Z482" s="0" t="n">
        <f aca="false">1+COUNTIF($P482:$S482,"&gt;"&amp;$R482)+(COUNTIF($P482:$S482,$R482)-1)/2</f>
        <v>4</v>
      </c>
      <c r="AA482" s="0" t="n">
        <f aca="false">1+COUNTIF($P482:$S482,"&gt;"&amp;$S482)+(COUNTIF($P482:$S482,$S482)-1)/2</f>
        <v>2</v>
      </c>
      <c r="AB482" s="0" t="n">
        <f aca="false">1+COUNTIF($T482:$W482,"&gt;"&amp;$T482)+(COUNTIF($T482:$W482,$T482)-1)/2</f>
        <v>4</v>
      </c>
      <c r="AC482" s="0" t="n">
        <f aca="false">1+COUNTIF($T482:$W482,"&gt;"&amp;$U482)+(COUNTIF($T482:$W482,$U482)-1)/2</f>
        <v>1</v>
      </c>
      <c r="AD482" s="0" t="n">
        <f aca="false">1+COUNTIF($T482:$W482,"&gt;"&amp;$V482)+(COUNTIF($T482:$W482,$V482)-1)/2</f>
        <v>3</v>
      </c>
      <c r="AE482" s="0" t="n">
        <f aca="false">1+COUNTIF($T482:$W482,"&gt;"&amp;$W482)+(COUNTIF($T482:$W482,$W482)-1)/2</f>
        <v>2</v>
      </c>
      <c r="AF482" s="0" t="n">
        <f aca="false">IFERROR(CORREL($P482:$S482,$T482:$W482),"")</f>
        <v>-0.801020276860225</v>
      </c>
      <c r="AG482" s="0" t="n">
        <f aca="false">IFERROR(CORREL($X482:$AA482,$AB482:$AE482),"")</f>
        <v>-0.4</v>
      </c>
      <c r="AH482" s="0" t="n">
        <f aca="false">IFERROR((SIGN($P482-$Q482)*SIGN($T482-$U482)+SIGN($P482-$R482)*SIGN($T482-$V482)+SIGN($P482-$S482)*SIGN($T482-$W482)+SIGN($Q482-$R482)*SIGN($U482-$V482)+SIGN($Q482-$S482)*SIGN($U482-$W482)+SIGN($R482-$S482)*SIGN($V482-$W482))/SQRT((6-(($P482=$Q482)*1+($P482=$R482)*1+($P482=$S482)*1+($Q482=$R482)*1+($Q482=$S482)*1+($R482=$S482)*1))*(6-(($T482=$U482)*1+($T482=$V482)*1+($T482=$W482)*1+($U482=$V482)*1+($U482=$W482)*1+($V482=$W482)*1))),"")</f>
        <v>-0.333333333333333</v>
      </c>
      <c r="AI482" s="0" t="n">
        <f aca="false">MATCH(MAX($K482:$O482),$K482:$O482,0)</f>
        <v>3</v>
      </c>
      <c r="AJ482" s="0" t="n">
        <f aca="false">IF(AI482&lt;&gt;$E482,1,0)</f>
        <v>1</v>
      </c>
      <c r="AK482" s="0" t="n">
        <f aca="false">IF(AJ482=1,INDEX($F482:$J482,AI482)/MAX($P482:$S482),"")</f>
        <v>0.389221556886228</v>
      </c>
      <c r="AL482" s="0" t="n">
        <f aca="false">IF(AJ482=1,1+COUNTIF($P482:$S482,"&gt;"&amp;INDEX($F482:$J482,AI482)),"")</f>
        <v>3</v>
      </c>
      <c r="AM482" s="0" t="n">
        <f aca="false">AVERAGE($P482:$S482)/MAX($P482:$S482)</f>
        <v>0.547904191616767</v>
      </c>
      <c r="AN482" s="0" t="n">
        <f aca="false">100-INDEX($F482:$J482,$E482)</f>
        <v>58.9</v>
      </c>
    </row>
    <row r="483" customFormat="false" ht="15" hidden="false" customHeight="false" outlineLevel="0" collapsed="false">
      <c r="A483" s="0" t="s">
        <v>57</v>
      </c>
      <c r="B483" s="0" t="n">
        <v>2017</v>
      </c>
      <c r="C483" s="0" t="s">
        <v>46</v>
      </c>
      <c r="D483" s="0" t="s">
        <v>45</v>
      </c>
      <c r="E483" s="0" t="n">
        <v>2</v>
      </c>
      <c r="F483" s="0" t="n">
        <v>7.4</v>
      </c>
      <c r="G483" s="0" t="n">
        <v>34.5</v>
      </c>
      <c r="H483" s="0" t="n">
        <v>11.6</v>
      </c>
      <c r="I483" s="0" t="n">
        <v>8.8</v>
      </c>
      <c r="J483" s="0" t="n">
        <v>15.1</v>
      </c>
      <c r="K483" s="0" t="n">
        <v>16.5615943798</v>
      </c>
      <c r="L483" s="0" t="n">
        <v>17.2445629747</v>
      </c>
      <c r="M483" s="0" t="n">
        <v>36.2038109128</v>
      </c>
      <c r="N483" s="0" t="n">
        <v>19.7498482379</v>
      </c>
      <c r="O483" s="0" t="n">
        <v>10.2401834948</v>
      </c>
      <c r="P483" s="0" t="n">
        <f aca="false">INDEX($F483:$J483,IF(1&lt;$E483,1,1+1))</f>
        <v>7.4</v>
      </c>
      <c r="Q483" s="0" t="n">
        <f aca="false">INDEX($F483:$J483,IF(2&lt;$E483,2,2+1))</f>
        <v>11.6</v>
      </c>
      <c r="R483" s="0" t="n">
        <f aca="false">INDEX($F483:$J483,IF(3&lt;$E483,3,3+1))</f>
        <v>8.8</v>
      </c>
      <c r="S483" s="0" t="n">
        <f aca="false">INDEX($F483:$J483,IF(4&lt;$E483,4,4+1))</f>
        <v>15.1</v>
      </c>
      <c r="T483" s="0" t="n">
        <f aca="false">INDEX($K483:$O483,IF(1&lt;$E483,1,1+1))</f>
        <v>16.5615943798</v>
      </c>
      <c r="U483" s="0" t="n">
        <f aca="false">INDEX($K483:$O483,IF(2&lt;$E483,2,2+1))</f>
        <v>36.2038109128</v>
      </c>
      <c r="V483" s="0" t="n">
        <f aca="false">INDEX($K483:$O483,IF(3&lt;$E483,3,3+1))</f>
        <v>19.7498482379</v>
      </c>
      <c r="W483" s="0" t="n">
        <f aca="false">INDEX($K483:$O483,IF(4&lt;$E483,4,4+1))</f>
        <v>10.2401834948</v>
      </c>
      <c r="X483" s="0" t="n">
        <f aca="false">1+COUNTIF($P483:$S483,"&gt;"&amp;$P483)+(COUNTIF($P483:$S483,$P483)-1)/2</f>
        <v>4</v>
      </c>
      <c r="Y483" s="0" t="n">
        <f aca="false">1+COUNTIF($P483:$S483,"&gt;"&amp;$Q483)+(COUNTIF($P483:$S483,$Q483)-1)/2</f>
        <v>2</v>
      </c>
      <c r="Z483" s="0" t="n">
        <f aca="false">1+COUNTIF($P483:$S483,"&gt;"&amp;$R483)+(COUNTIF($P483:$S483,$R483)-1)/2</f>
        <v>3</v>
      </c>
      <c r="AA483" s="0" t="n">
        <f aca="false">1+COUNTIF($P483:$S483,"&gt;"&amp;$S483)+(COUNTIF($P483:$S483,$S483)-1)/2</f>
        <v>1</v>
      </c>
      <c r="AB483" s="0" t="n">
        <f aca="false">1+COUNTIF($T483:$W483,"&gt;"&amp;$T483)+(COUNTIF($T483:$W483,$T483)-1)/2</f>
        <v>3</v>
      </c>
      <c r="AC483" s="0" t="n">
        <f aca="false">1+COUNTIF($T483:$W483,"&gt;"&amp;$U483)+(COUNTIF($T483:$W483,$U483)-1)/2</f>
        <v>1</v>
      </c>
      <c r="AD483" s="0" t="n">
        <f aca="false">1+COUNTIF($T483:$W483,"&gt;"&amp;$V483)+(COUNTIF($T483:$W483,$V483)-1)/2</f>
        <v>2</v>
      </c>
      <c r="AE483" s="0" t="n">
        <f aca="false">1+COUNTIF($T483:$W483,"&gt;"&amp;$W483)+(COUNTIF($T483:$W483,$W483)-1)/2</f>
        <v>4</v>
      </c>
      <c r="AF483" s="0" t="n">
        <f aca="false">IFERROR(CORREL($P483:$S483,$T483:$W483),"")</f>
        <v>-0.147065719295642</v>
      </c>
      <c r="AG483" s="0" t="n">
        <f aca="false">IFERROR(CORREL($X483:$AA483,$AB483:$AE483),"")</f>
        <v>-0.2</v>
      </c>
      <c r="AH483" s="0" t="n">
        <f aca="false">IFERROR((SIGN($P483-$Q483)*SIGN($T483-$U483)+SIGN($P483-$R483)*SIGN($T483-$V483)+SIGN($P483-$S483)*SIGN($T483-$W483)+SIGN($Q483-$R483)*SIGN($U483-$V483)+SIGN($Q483-$S483)*SIGN($U483-$W483)+SIGN($R483-$S483)*SIGN($V483-$W483))/SQRT((6-(($P483=$Q483)*1+($P483=$R483)*1+($P483=$S483)*1+($Q483=$R483)*1+($Q483=$S483)*1+($R483=$S483)*1))*(6-(($T483=$U483)*1+($T483=$V483)*1+($T483=$W483)*1+($U483=$V483)*1+($U483=$W483)*1+($V483=$W483)*1))),"")</f>
        <v>0</v>
      </c>
      <c r="AI483" s="0" t="n">
        <f aca="false">MATCH(MAX($K483:$O483),$K483:$O483,0)</f>
        <v>3</v>
      </c>
      <c r="AJ483" s="0" t="n">
        <f aca="false">IF(AI483&lt;&gt;$E483,1,0)</f>
        <v>1</v>
      </c>
      <c r="AK483" s="0" t="n">
        <f aca="false">IF(AJ483=1,INDEX($F483:$J483,AI483)/MAX($P483:$S483),"")</f>
        <v>0.768211920529801</v>
      </c>
      <c r="AL483" s="0" t="n">
        <f aca="false">IF(AJ483=1,1+COUNTIF($P483:$S483,"&gt;"&amp;INDEX($F483:$J483,AI483)),"")</f>
        <v>2</v>
      </c>
      <c r="AM483" s="0" t="n">
        <f aca="false">AVERAGE($P483:$S483)/MAX($P483:$S483)</f>
        <v>0.710264900662252</v>
      </c>
      <c r="AN483" s="0" t="n">
        <f aca="false">100-INDEX($F483:$J483,$E483)</f>
        <v>65.5</v>
      </c>
    </row>
    <row r="484" customFormat="false" ht="15" hidden="false" customHeight="false" outlineLevel="0" collapsed="false">
      <c r="A484" s="0" t="s">
        <v>57</v>
      </c>
      <c r="B484" s="0" t="n">
        <v>2016</v>
      </c>
      <c r="C484" s="0" t="s">
        <v>58</v>
      </c>
      <c r="D484" s="0" t="s">
        <v>42</v>
      </c>
      <c r="E484" s="0" t="n">
        <v>5</v>
      </c>
      <c r="F484" s="0" t="n">
        <v>10.9</v>
      </c>
      <c r="G484" s="0" t="n">
        <v>13.3</v>
      </c>
      <c r="H484" s="0" t="n">
        <v>15.2</v>
      </c>
      <c r="I484" s="0" t="n">
        <v>6.6</v>
      </c>
      <c r="J484" s="0" t="n">
        <v>36.6</v>
      </c>
      <c r="K484" s="0" t="n">
        <v>0.120246675041</v>
      </c>
      <c r="L484" s="0" t="n">
        <v>3.15593809697</v>
      </c>
      <c r="M484" s="0" t="n">
        <v>1.6733844193</v>
      </c>
      <c r="N484" s="0" t="n">
        <v>0.220609818679</v>
      </c>
      <c r="O484" s="0" t="n">
        <v>94.82982099</v>
      </c>
      <c r="P484" s="0" t="n">
        <f aca="false">INDEX($F484:$J484,IF(1&lt;$E484,1,1+1))</f>
        <v>10.9</v>
      </c>
      <c r="Q484" s="0" t="n">
        <f aca="false">INDEX($F484:$J484,IF(2&lt;$E484,2,2+1))</f>
        <v>13.3</v>
      </c>
      <c r="R484" s="0" t="n">
        <f aca="false">INDEX($F484:$J484,IF(3&lt;$E484,3,3+1))</f>
        <v>15.2</v>
      </c>
      <c r="S484" s="0" t="n">
        <f aca="false">INDEX($F484:$J484,IF(4&lt;$E484,4,4+1))</f>
        <v>6.6</v>
      </c>
      <c r="T484" s="0" t="n">
        <f aca="false">INDEX($K484:$O484,IF(1&lt;$E484,1,1+1))</f>
        <v>0.120246675041</v>
      </c>
      <c r="U484" s="0" t="n">
        <f aca="false">INDEX($K484:$O484,IF(2&lt;$E484,2,2+1))</f>
        <v>3.15593809697</v>
      </c>
      <c r="V484" s="0" t="n">
        <f aca="false">INDEX($K484:$O484,IF(3&lt;$E484,3,3+1))</f>
        <v>1.6733844193</v>
      </c>
      <c r="W484" s="0" t="n">
        <f aca="false">INDEX($K484:$O484,IF(4&lt;$E484,4,4+1))</f>
        <v>0.220609818679</v>
      </c>
      <c r="X484" s="0" t="n">
        <f aca="false">1+COUNTIF($P484:$S484,"&gt;"&amp;$P484)+(COUNTIF($P484:$S484,$P484)-1)/2</f>
        <v>3</v>
      </c>
      <c r="Y484" s="0" t="n">
        <f aca="false">1+COUNTIF($P484:$S484,"&gt;"&amp;$Q484)+(COUNTIF($P484:$S484,$Q484)-1)/2</f>
        <v>2</v>
      </c>
      <c r="Z484" s="0" t="n">
        <f aca="false">1+COUNTIF($P484:$S484,"&gt;"&amp;$R484)+(COUNTIF($P484:$S484,$R484)-1)/2</f>
        <v>1</v>
      </c>
      <c r="AA484" s="0" t="n">
        <f aca="false">1+COUNTIF($P484:$S484,"&gt;"&amp;$S484)+(COUNTIF($P484:$S484,$S484)-1)/2</f>
        <v>4</v>
      </c>
      <c r="AB484" s="0" t="n">
        <f aca="false">1+COUNTIF($T484:$W484,"&gt;"&amp;$T484)+(COUNTIF($T484:$W484,$T484)-1)/2</f>
        <v>4</v>
      </c>
      <c r="AC484" s="0" t="n">
        <f aca="false">1+COUNTIF($T484:$W484,"&gt;"&amp;$U484)+(COUNTIF($T484:$W484,$U484)-1)/2</f>
        <v>1</v>
      </c>
      <c r="AD484" s="0" t="n">
        <f aca="false">1+COUNTIF($T484:$W484,"&gt;"&amp;$V484)+(COUNTIF($T484:$W484,$V484)-1)/2</f>
        <v>2</v>
      </c>
      <c r="AE484" s="0" t="n">
        <f aca="false">1+COUNTIF($T484:$W484,"&gt;"&amp;$W484)+(COUNTIF($T484:$W484,$W484)-1)/2</f>
        <v>3</v>
      </c>
      <c r="AF484" s="0" t="n">
        <f aca="false">IFERROR(CORREL($P484:$S484,$T484:$W484),"")</f>
        <v>0.673095737597578</v>
      </c>
      <c r="AG484" s="0" t="n">
        <f aca="false">IFERROR(CORREL($X484:$AA484,$AB484:$AE484),"")</f>
        <v>0.6</v>
      </c>
      <c r="AH484" s="0" t="n">
        <f aca="false">IFERROR((SIGN($P484-$Q484)*SIGN($T484-$U484)+SIGN($P484-$R484)*SIGN($T484-$V484)+SIGN($P484-$S484)*SIGN($T484-$W484)+SIGN($Q484-$R484)*SIGN($U484-$V484)+SIGN($Q484-$S484)*SIGN($U484-$W484)+SIGN($R484-$S484)*SIGN($V484-$W484))/SQRT((6-(($P484=$Q484)*1+($P484=$R484)*1+($P484=$S484)*1+($Q484=$R484)*1+($Q484=$S484)*1+($R484=$S484)*1))*(6-(($T484=$U484)*1+($T484=$V484)*1+($T484=$W484)*1+($U484=$V484)*1+($U484=$W484)*1+($V484=$W484)*1))),"")</f>
        <v>0.333333333333333</v>
      </c>
      <c r="AI484" s="0" t="n">
        <f aca="false">MATCH(MAX($K484:$O484),$K484:$O484,0)</f>
        <v>5</v>
      </c>
      <c r="AJ484" s="0" t="n">
        <f aca="false">IF(AI484&lt;&gt;$E484,1,0)</f>
        <v>0</v>
      </c>
      <c r="AK484" s="0" t="str">
        <f aca="false">IF(AJ484=1,INDEX($F484:$J484,AI484)/MAX($P484:$S484),"")</f>
        <v/>
      </c>
      <c r="AL484" s="0" t="str">
        <f aca="false">IF(AJ484=1,1+COUNTIF($P484:$S484,"&gt;"&amp;INDEX($F484:$J484,AI484)),"")</f>
        <v/>
      </c>
      <c r="AM484" s="0" t="n">
        <f aca="false">AVERAGE($P484:$S484)/MAX($P484:$S484)</f>
        <v>0.756578947368421</v>
      </c>
      <c r="AN484" s="0" t="n">
        <f aca="false">100-INDEX($F484:$J484,$E484)</f>
        <v>63.4</v>
      </c>
    </row>
    <row r="485" customFormat="false" ht="15" hidden="false" customHeight="false" outlineLevel="0" collapsed="false">
      <c r="A485" s="0" t="s">
        <v>57</v>
      </c>
      <c r="B485" s="0" t="n">
        <v>2016</v>
      </c>
      <c r="C485" s="0" t="s">
        <v>58</v>
      </c>
      <c r="D485" s="0" t="s">
        <v>43</v>
      </c>
      <c r="E485" s="0" t="n">
        <v>3</v>
      </c>
      <c r="F485" s="0" t="n">
        <v>6</v>
      </c>
      <c r="G485" s="0" t="n">
        <v>10.5</v>
      </c>
      <c r="H485" s="0" t="n">
        <v>42.6</v>
      </c>
      <c r="I485" s="0" t="n">
        <v>14</v>
      </c>
      <c r="J485" s="0" t="n">
        <v>8.5</v>
      </c>
      <c r="K485" s="0" t="n">
        <v>8.81998892312</v>
      </c>
      <c r="L485" s="0" t="n">
        <v>17.0946957856</v>
      </c>
      <c r="M485" s="0" t="n">
        <v>42.8189301275</v>
      </c>
      <c r="N485" s="0" t="n">
        <v>4.7818764119</v>
      </c>
      <c r="O485" s="0" t="n">
        <v>26.4845087518</v>
      </c>
      <c r="P485" s="0" t="n">
        <f aca="false">INDEX($F485:$J485,IF(1&lt;$E485,1,1+1))</f>
        <v>6</v>
      </c>
      <c r="Q485" s="0" t="n">
        <f aca="false">INDEX($F485:$J485,IF(2&lt;$E485,2,2+1))</f>
        <v>10.5</v>
      </c>
      <c r="R485" s="0" t="n">
        <f aca="false">INDEX($F485:$J485,IF(3&lt;$E485,3,3+1))</f>
        <v>14</v>
      </c>
      <c r="S485" s="0" t="n">
        <f aca="false">INDEX($F485:$J485,IF(4&lt;$E485,4,4+1))</f>
        <v>8.5</v>
      </c>
      <c r="T485" s="0" t="n">
        <f aca="false">INDEX($K485:$O485,IF(1&lt;$E485,1,1+1))</f>
        <v>8.81998892312</v>
      </c>
      <c r="U485" s="0" t="n">
        <f aca="false">INDEX($K485:$O485,IF(2&lt;$E485,2,2+1))</f>
        <v>17.0946957856</v>
      </c>
      <c r="V485" s="0" t="n">
        <f aca="false">INDEX($K485:$O485,IF(3&lt;$E485,3,3+1))</f>
        <v>4.7818764119</v>
      </c>
      <c r="W485" s="0" t="n">
        <f aca="false">INDEX($K485:$O485,IF(4&lt;$E485,4,4+1))</f>
        <v>26.4845087518</v>
      </c>
      <c r="X485" s="0" t="n">
        <f aca="false">1+COUNTIF($P485:$S485,"&gt;"&amp;$P485)+(COUNTIF($P485:$S485,$P485)-1)/2</f>
        <v>4</v>
      </c>
      <c r="Y485" s="0" t="n">
        <f aca="false">1+COUNTIF($P485:$S485,"&gt;"&amp;$Q485)+(COUNTIF($P485:$S485,$Q485)-1)/2</f>
        <v>2</v>
      </c>
      <c r="Z485" s="0" t="n">
        <f aca="false">1+COUNTIF($P485:$S485,"&gt;"&amp;$R485)+(COUNTIF($P485:$S485,$R485)-1)/2</f>
        <v>1</v>
      </c>
      <c r="AA485" s="0" t="n">
        <f aca="false">1+COUNTIF($P485:$S485,"&gt;"&amp;$S485)+(COUNTIF($P485:$S485,$S485)-1)/2</f>
        <v>3</v>
      </c>
      <c r="AB485" s="0" t="n">
        <f aca="false">1+COUNTIF($T485:$W485,"&gt;"&amp;$T485)+(COUNTIF($T485:$W485,$T485)-1)/2</f>
        <v>3</v>
      </c>
      <c r="AC485" s="0" t="n">
        <f aca="false">1+COUNTIF($T485:$W485,"&gt;"&amp;$U485)+(COUNTIF($T485:$W485,$U485)-1)/2</f>
        <v>2</v>
      </c>
      <c r="AD485" s="0" t="n">
        <f aca="false">1+COUNTIF($T485:$W485,"&gt;"&amp;$V485)+(COUNTIF($T485:$W485,$V485)-1)/2</f>
        <v>4</v>
      </c>
      <c r="AE485" s="0" t="n">
        <f aca="false">1+COUNTIF($T485:$W485,"&gt;"&amp;$W485)+(COUNTIF($T485:$W485,$W485)-1)/2</f>
        <v>1</v>
      </c>
      <c r="AF485" s="0" t="n">
        <f aca="false">IFERROR(CORREL($P485:$S485,$T485:$W485),"")</f>
        <v>-0.339238680051916</v>
      </c>
      <c r="AG485" s="0" t="n">
        <f aca="false">IFERROR(CORREL($X485:$AA485,$AB485:$AE485),"")</f>
        <v>-0.4</v>
      </c>
      <c r="AH485" s="0" t="n">
        <f aca="false">IFERROR((SIGN($P485-$Q485)*SIGN($T485-$U485)+SIGN($P485-$R485)*SIGN($T485-$V485)+SIGN($P485-$S485)*SIGN($T485-$W485)+SIGN($Q485-$R485)*SIGN($U485-$V485)+SIGN($Q485-$S485)*SIGN($U485-$W485)+SIGN($R485-$S485)*SIGN($V485-$W485))/SQRT((6-(($P485=$Q485)*1+($P485=$R485)*1+($P485=$S485)*1+($Q485=$R485)*1+($Q485=$S485)*1+($R485=$S485)*1))*(6-(($T485=$U485)*1+($T485=$V485)*1+($T485=$W485)*1+($U485=$V485)*1+($U485=$W485)*1+($V485=$W485)*1))),"")</f>
        <v>-0.333333333333333</v>
      </c>
      <c r="AI485" s="0" t="n">
        <f aca="false">MATCH(MAX($K485:$O485),$K485:$O485,0)</f>
        <v>3</v>
      </c>
      <c r="AJ485" s="0" t="n">
        <f aca="false">IF(AI485&lt;&gt;$E485,1,0)</f>
        <v>0</v>
      </c>
      <c r="AK485" s="0" t="str">
        <f aca="false">IF(AJ485=1,INDEX($F485:$J485,AI485)/MAX($P485:$S485),"")</f>
        <v/>
      </c>
      <c r="AL485" s="0" t="str">
        <f aca="false">IF(AJ485=1,1+COUNTIF($P485:$S485,"&gt;"&amp;INDEX($F485:$J485,AI485)),"")</f>
        <v/>
      </c>
      <c r="AM485" s="0" t="n">
        <f aca="false">AVERAGE($P485:$S485)/MAX($P485:$S485)</f>
        <v>0.696428571428571</v>
      </c>
      <c r="AN485" s="0" t="n">
        <f aca="false">100-INDEX($F485:$J485,$E485)</f>
        <v>57.4</v>
      </c>
    </row>
    <row r="486" customFormat="false" ht="15" hidden="false" customHeight="false" outlineLevel="0" collapsed="false">
      <c r="A486" s="0" t="s">
        <v>57</v>
      </c>
      <c r="B486" s="0" t="n">
        <v>2016</v>
      </c>
      <c r="C486" s="0" t="s">
        <v>58</v>
      </c>
      <c r="D486" s="0" t="s">
        <v>44</v>
      </c>
      <c r="E486" s="0" t="n">
        <v>2</v>
      </c>
      <c r="F486" s="0" t="n">
        <v>18.1</v>
      </c>
      <c r="G486" s="0" t="n">
        <v>21.9</v>
      </c>
      <c r="H486" s="0" t="n">
        <v>22.7</v>
      </c>
      <c r="I486" s="0" t="n">
        <v>13.2</v>
      </c>
      <c r="J486" s="0" t="n">
        <v>5.4</v>
      </c>
      <c r="K486" s="0" t="n">
        <v>12.4194855028</v>
      </c>
      <c r="L486" s="0" t="n">
        <v>50.4867709805</v>
      </c>
      <c r="M486" s="0" t="n">
        <v>13.1722829622</v>
      </c>
      <c r="N486" s="0" t="n">
        <v>10.26195361</v>
      </c>
      <c r="O486" s="0" t="n">
        <v>13.6595069444</v>
      </c>
      <c r="P486" s="0" t="n">
        <f aca="false">INDEX($F486:$J486,IF(1&lt;$E486,1,1+1))</f>
        <v>18.1</v>
      </c>
      <c r="Q486" s="0" t="n">
        <f aca="false">INDEX($F486:$J486,IF(2&lt;$E486,2,2+1))</f>
        <v>22.7</v>
      </c>
      <c r="R486" s="0" t="n">
        <f aca="false">INDEX($F486:$J486,IF(3&lt;$E486,3,3+1))</f>
        <v>13.2</v>
      </c>
      <c r="S486" s="0" t="n">
        <f aca="false">INDEX($F486:$J486,IF(4&lt;$E486,4,4+1))</f>
        <v>5.4</v>
      </c>
      <c r="T486" s="0" t="n">
        <f aca="false">INDEX($K486:$O486,IF(1&lt;$E486,1,1+1))</f>
        <v>12.4194855028</v>
      </c>
      <c r="U486" s="0" t="n">
        <f aca="false">INDEX($K486:$O486,IF(2&lt;$E486,2,2+1))</f>
        <v>13.1722829622</v>
      </c>
      <c r="V486" s="0" t="n">
        <f aca="false">INDEX($K486:$O486,IF(3&lt;$E486,3,3+1))</f>
        <v>10.26195361</v>
      </c>
      <c r="W486" s="0" t="n">
        <f aca="false">INDEX($K486:$O486,IF(4&lt;$E486,4,4+1))</f>
        <v>13.6595069444</v>
      </c>
      <c r="X486" s="0" t="n">
        <f aca="false">1+COUNTIF($P486:$S486,"&gt;"&amp;$P486)+(COUNTIF($P486:$S486,$P486)-1)/2</f>
        <v>2</v>
      </c>
      <c r="Y486" s="0" t="n">
        <f aca="false">1+COUNTIF($P486:$S486,"&gt;"&amp;$Q486)+(COUNTIF($P486:$S486,$Q486)-1)/2</f>
        <v>1</v>
      </c>
      <c r="Z486" s="0" t="n">
        <f aca="false">1+COUNTIF($P486:$S486,"&gt;"&amp;$R486)+(COUNTIF($P486:$S486,$R486)-1)/2</f>
        <v>3</v>
      </c>
      <c r="AA486" s="0" t="n">
        <f aca="false">1+COUNTIF($P486:$S486,"&gt;"&amp;$S486)+(COUNTIF($P486:$S486,$S486)-1)/2</f>
        <v>4</v>
      </c>
      <c r="AB486" s="0" t="n">
        <f aca="false">1+COUNTIF($T486:$W486,"&gt;"&amp;$T486)+(COUNTIF($T486:$W486,$T486)-1)/2</f>
        <v>3</v>
      </c>
      <c r="AC486" s="0" t="n">
        <f aca="false">1+COUNTIF($T486:$W486,"&gt;"&amp;$U486)+(COUNTIF($T486:$W486,$U486)-1)/2</f>
        <v>2</v>
      </c>
      <c r="AD486" s="0" t="n">
        <f aca="false">1+COUNTIF($T486:$W486,"&gt;"&amp;$V486)+(COUNTIF($T486:$W486,$V486)-1)/2</f>
        <v>4</v>
      </c>
      <c r="AE486" s="0" t="n">
        <f aca="false">1+COUNTIF($T486:$W486,"&gt;"&amp;$W486)+(COUNTIF($T486:$W486,$W486)-1)/2</f>
        <v>1</v>
      </c>
      <c r="AF486" s="0" t="n">
        <f aca="false">IFERROR(CORREL($P486:$S486,$T486:$W486),"")</f>
        <v>-0.0675337751810058</v>
      </c>
      <c r="AG486" s="0" t="n">
        <f aca="false">IFERROR(CORREL($X486:$AA486,$AB486:$AE486),"")</f>
        <v>-0.2</v>
      </c>
      <c r="AH486" s="0" t="n">
        <f aca="false">IFERROR((SIGN($P486-$Q486)*SIGN($T486-$U486)+SIGN($P486-$R486)*SIGN($T486-$V486)+SIGN($P486-$S486)*SIGN($T486-$W486)+SIGN($Q486-$R486)*SIGN($U486-$V486)+SIGN($Q486-$S486)*SIGN($U486-$W486)+SIGN($R486-$S486)*SIGN($V486-$W486))/SQRT((6-(($P486=$Q486)*1+($P486=$R486)*1+($P486=$S486)*1+($Q486=$R486)*1+($Q486=$S486)*1+($R486=$S486)*1))*(6-(($T486=$U486)*1+($T486=$V486)*1+($T486=$W486)*1+($U486=$V486)*1+($U486=$W486)*1+($V486=$W486)*1))),"")</f>
        <v>0</v>
      </c>
      <c r="AI486" s="0" t="n">
        <f aca="false">MATCH(MAX($K486:$O486),$K486:$O486,0)</f>
        <v>2</v>
      </c>
      <c r="AJ486" s="0" t="n">
        <f aca="false">IF(AI486&lt;&gt;$E486,1,0)</f>
        <v>0</v>
      </c>
      <c r="AK486" s="0" t="str">
        <f aca="false">IF(AJ486=1,INDEX($F486:$J486,AI486)/MAX($P486:$S486),"")</f>
        <v/>
      </c>
      <c r="AL486" s="0" t="str">
        <f aca="false">IF(AJ486=1,1+COUNTIF($P486:$S486,"&gt;"&amp;INDEX($F486:$J486,AI486)),"")</f>
        <v/>
      </c>
      <c r="AM486" s="0" t="n">
        <f aca="false">AVERAGE($P486:$S486)/MAX($P486:$S486)</f>
        <v>0.654185022026432</v>
      </c>
      <c r="AN486" s="0" t="n">
        <f aca="false">100-INDEX($F486:$J486,$E486)</f>
        <v>78.1</v>
      </c>
    </row>
    <row r="487" customFormat="false" ht="15" hidden="false" customHeight="false" outlineLevel="0" collapsed="false">
      <c r="A487" s="0" t="s">
        <v>57</v>
      </c>
      <c r="B487" s="0" t="n">
        <v>2016</v>
      </c>
      <c r="C487" s="0" t="s">
        <v>49</v>
      </c>
      <c r="D487" s="0" t="s">
        <v>42</v>
      </c>
      <c r="E487" s="0" t="n">
        <v>2</v>
      </c>
      <c r="F487" s="0" t="n">
        <v>7.8</v>
      </c>
      <c r="G487" s="0" t="n">
        <v>36.5</v>
      </c>
      <c r="H487" s="0" t="n">
        <v>19.2</v>
      </c>
      <c r="I487" s="0" t="n">
        <v>5.3</v>
      </c>
      <c r="J487" s="0" t="n">
        <v>9.3</v>
      </c>
      <c r="K487" s="0" t="n">
        <v>3.23080713394</v>
      </c>
      <c r="L487" s="0" t="n">
        <v>26.2945997249</v>
      </c>
      <c r="M487" s="0" t="n">
        <v>37.8073448647</v>
      </c>
      <c r="N487" s="0" t="n">
        <v>23.7654634395</v>
      </c>
      <c r="O487" s="0" t="n">
        <v>8.90178483689</v>
      </c>
      <c r="P487" s="0" t="n">
        <f aca="false">INDEX($F487:$J487,IF(1&lt;$E487,1,1+1))</f>
        <v>7.8</v>
      </c>
      <c r="Q487" s="0" t="n">
        <f aca="false">INDEX($F487:$J487,IF(2&lt;$E487,2,2+1))</f>
        <v>19.2</v>
      </c>
      <c r="R487" s="0" t="n">
        <f aca="false">INDEX($F487:$J487,IF(3&lt;$E487,3,3+1))</f>
        <v>5.3</v>
      </c>
      <c r="S487" s="0" t="n">
        <f aca="false">INDEX($F487:$J487,IF(4&lt;$E487,4,4+1))</f>
        <v>9.3</v>
      </c>
      <c r="T487" s="0" t="n">
        <f aca="false">INDEX($K487:$O487,IF(1&lt;$E487,1,1+1))</f>
        <v>3.23080713394</v>
      </c>
      <c r="U487" s="0" t="n">
        <f aca="false">INDEX($K487:$O487,IF(2&lt;$E487,2,2+1))</f>
        <v>37.8073448647</v>
      </c>
      <c r="V487" s="0" t="n">
        <f aca="false">INDEX($K487:$O487,IF(3&lt;$E487,3,3+1))</f>
        <v>23.7654634395</v>
      </c>
      <c r="W487" s="0" t="n">
        <f aca="false">INDEX($K487:$O487,IF(4&lt;$E487,4,4+1))</f>
        <v>8.90178483689</v>
      </c>
      <c r="X487" s="0" t="n">
        <f aca="false">1+COUNTIF($P487:$S487,"&gt;"&amp;$P487)+(COUNTIF($P487:$S487,$P487)-1)/2</f>
        <v>3</v>
      </c>
      <c r="Y487" s="0" t="n">
        <f aca="false">1+COUNTIF($P487:$S487,"&gt;"&amp;$Q487)+(COUNTIF($P487:$S487,$Q487)-1)/2</f>
        <v>1</v>
      </c>
      <c r="Z487" s="0" t="n">
        <f aca="false">1+COUNTIF($P487:$S487,"&gt;"&amp;$R487)+(COUNTIF($P487:$S487,$R487)-1)/2</f>
        <v>4</v>
      </c>
      <c r="AA487" s="0" t="n">
        <f aca="false">1+COUNTIF($P487:$S487,"&gt;"&amp;$S487)+(COUNTIF($P487:$S487,$S487)-1)/2</f>
        <v>2</v>
      </c>
      <c r="AB487" s="0" t="n">
        <f aca="false">1+COUNTIF($T487:$W487,"&gt;"&amp;$T487)+(COUNTIF($T487:$W487,$T487)-1)/2</f>
        <v>4</v>
      </c>
      <c r="AC487" s="0" t="n">
        <f aca="false">1+COUNTIF($T487:$W487,"&gt;"&amp;$U487)+(COUNTIF($T487:$W487,$U487)-1)/2</f>
        <v>1</v>
      </c>
      <c r="AD487" s="0" t="n">
        <f aca="false">1+COUNTIF($T487:$W487,"&gt;"&amp;$V487)+(COUNTIF($T487:$W487,$V487)-1)/2</f>
        <v>2</v>
      </c>
      <c r="AE487" s="0" t="n">
        <f aca="false">1+COUNTIF($T487:$W487,"&gt;"&amp;$W487)+(COUNTIF($T487:$W487,$W487)-1)/2</f>
        <v>3</v>
      </c>
      <c r="AF487" s="0" t="n">
        <f aca="false">IFERROR(CORREL($P487:$S487,$T487:$W487),"")</f>
        <v>0.679791977722968</v>
      </c>
      <c r="AG487" s="0" t="n">
        <f aca="false">IFERROR(CORREL($X487:$AA487,$AB487:$AE487),"")</f>
        <v>0.4</v>
      </c>
      <c r="AH487" s="0" t="n">
        <f aca="false">IFERROR((SIGN($P487-$Q487)*SIGN($T487-$U487)+SIGN($P487-$R487)*SIGN($T487-$V487)+SIGN($P487-$S487)*SIGN($T487-$W487)+SIGN($Q487-$R487)*SIGN($U487-$V487)+SIGN($Q487-$S487)*SIGN($U487-$W487)+SIGN($R487-$S487)*SIGN($V487-$W487))/SQRT((6-(($P487=$Q487)*1+($P487=$R487)*1+($P487=$S487)*1+($Q487=$R487)*1+($Q487=$S487)*1+($R487=$S487)*1))*(6-(($T487=$U487)*1+($T487=$V487)*1+($T487=$W487)*1+($U487=$V487)*1+($U487=$W487)*1+($V487=$W487)*1))),"")</f>
        <v>0.333333333333333</v>
      </c>
      <c r="AI487" s="0" t="n">
        <f aca="false">MATCH(MAX($K487:$O487),$K487:$O487,0)</f>
        <v>3</v>
      </c>
      <c r="AJ487" s="0" t="n">
        <f aca="false">IF(AI487&lt;&gt;$E487,1,0)</f>
        <v>1</v>
      </c>
      <c r="AK487" s="0" t="n">
        <f aca="false">IF(AJ487=1,INDEX($F487:$J487,AI487)/MAX($P487:$S487),"")</f>
        <v>1</v>
      </c>
      <c r="AL487" s="0" t="n">
        <f aca="false">IF(AJ487=1,1+COUNTIF($P487:$S487,"&gt;"&amp;INDEX($F487:$J487,AI487)),"")</f>
        <v>1</v>
      </c>
      <c r="AM487" s="0" t="n">
        <f aca="false">AVERAGE($P487:$S487)/MAX($P487:$S487)</f>
        <v>0.541666666666667</v>
      </c>
      <c r="AN487" s="0" t="n">
        <f aca="false">100-INDEX($F487:$J487,$E487)</f>
        <v>63.5</v>
      </c>
    </row>
    <row r="488" customFormat="false" ht="15" hidden="false" customHeight="false" outlineLevel="0" collapsed="false">
      <c r="A488" s="0" t="s">
        <v>57</v>
      </c>
      <c r="B488" s="0" t="n">
        <v>2016</v>
      </c>
      <c r="C488" s="0" t="s">
        <v>49</v>
      </c>
      <c r="D488" s="0" t="s">
        <v>43</v>
      </c>
      <c r="E488" s="0" t="n">
        <v>1</v>
      </c>
      <c r="F488" s="0" t="n">
        <v>22.2</v>
      </c>
      <c r="G488" s="0" t="n">
        <v>11.3</v>
      </c>
      <c r="H488" s="0" t="n">
        <v>15.1</v>
      </c>
      <c r="I488" s="0" t="n">
        <v>21.3</v>
      </c>
      <c r="J488" s="0" t="n">
        <v>7.8</v>
      </c>
      <c r="K488" s="0" t="n">
        <v>16.7899370501</v>
      </c>
      <c r="L488" s="0" t="n">
        <v>0.402043891687</v>
      </c>
      <c r="M488" s="0" t="n">
        <v>62.5711153705</v>
      </c>
      <c r="N488" s="0" t="n">
        <v>17.7953069898</v>
      </c>
      <c r="O488" s="0" t="n">
        <v>2.44159669788</v>
      </c>
      <c r="P488" s="0" t="n">
        <f aca="false">INDEX($F488:$J488,IF(1&lt;$E488,1,1+1))</f>
        <v>11.3</v>
      </c>
      <c r="Q488" s="0" t="n">
        <f aca="false">INDEX($F488:$J488,IF(2&lt;$E488,2,2+1))</f>
        <v>15.1</v>
      </c>
      <c r="R488" s="0" t="n">
        <f aca="false">INDEX($F488:$J488,IF(3&lt;$E488,3,3+1))</f>
        <v>21.3</v>
      </c>
      <c r="S488" s="0" t="n">
        <f aca="false">INDEX($F488:$J488,IF(4&lt;$E488,4,4+1))</f>
        <v>7.8</v>
      </c>
      <c r="T488" s="0" t="n">
        <f aca="false">INDEX($K488:$O488,IF(1&lt;$E488,1,1+1))</f>
        <v>0.402043891687</v>
      </c>
      <c r="U488" s="0" t="n">
        <f aca="false">INDEX($K488:$O488,IF(2&lt;$E488,2,2+1))</f>
        <v>62.5711153705</v>
      </c>
      <c r="V488" s="0" t="n">
        <f aca="false">INDEX($K488:$O488,IF(3&lt;$E488,3,3+1))</f>
        <v>17.7953069898</v>
      </c>
      <c r="W488" s="0" t="n">
        <f aca="false">INDEX($K488:$O488,IF(4&lt;$E488,4,4+1))</f>
        <v>2.44159669788</v>
      </c>
      <c r="X488" s="0" t="n">
        <f aca="false">1+COUNTIF($P488:$S488,"&gt;"&amp;$P488)+(COUNTIF($P488:$S488,$P488)-1)/2</f>
        <v>3</v>
      </c>
      <c r="Y488" s="0" t="n">
        <f aca="false">1+COUNTIF($P488:$S488,"&gt;"&amp;$Q488)+(COUNTIF($P488:$S488,$Q488)-1)/2</f>
        <v>2</v>
      </c>
      <c r="Z488" s="0" t="n">
        <f aca="false">1+COUNTIF($P488:$S488,"&gt;"&amp;$R488)+(COUNTIF($P488:$S488,$R488)-1)/2</f>
        <v>1</v>
      </c>
      <c r="AA488" s="0" t="n">
        <f aca="false">1+COUNTIF($P488:$S488,"&gt;"&amp;$S488)+(COUNTIF($P488:$S488,$S488)-1)/2</f>
        <v>4</v>
      </c>
      <c r="AB488" s="0" t="n">
        <f aca="false">1+COUNTIF($T488:$W488,"&gt;"&amp;$T488)+(COUNTIF($T488:$W488,$T488)-1)/2</f>
        <v>4</v>
      </c>
      <c r="AC488" s="0" t="n">
        <f aca="false">1+COUNTIF($T488:$W488,"&gt;"&amp;$U488)+(COUNTIF($T488:$W488,$U488)-1)/2</f>
        <v>1</v>
      </c>
      <c r="AD488" s="0" t="n">
        <f aca="false">1+COUNTIF($T488:$W488,"&gt;"&amp;$V488)+(COUNTIF($T488:$W488,$V488)-1)/2</f>
        <v>2</v>
      </c>
      <c r="AE488" s="0" t="n">
        <f aca="false">1+COUNTIF($T488:$W488,"&gt;"&amp;$W488)+(COUNTIF($T488:$W488,$W488)-1)/2</f>
        <v>3</v>
      </c>
      <c r="AF488" s="0" t="n">
        <f aca="false">IFERROR(CORREL($P488:$S488,$T488:$W488),"")</f>
        <v>0.384965254557529</v>
      </c>
      <c r="AG488" s="0" t="n">
        <f aca="false">IFERROR(CORREL($X488:$AA488,$AB488:$AE488),"")</f>
        <v>0.6</v>
      </c>
      <c r="AH488" s="0" t="n">
        <f aca="false">IFERROR((SIGN($P488-$Q488)*SIGN($T488-$U488)+SIGN($P488-$R488)*SIGN($T488-$V488)+SIGN($P488-$S488)*SIGN($T488-$W488)+SIGN($Q488-$R488)*SIGN($U488-$V488)+SIGN($Q488-$S488)*SIGN($U488-$W488)+SIGN($R488-$S488)*SIGN($V488-$W488))/SQRT((6-(($P488=$Q488)*1+($P488=$R488)*1+($P488=$S488)*1+($Q488=$R488)*1+($Q488=$S488)*1+($R488=$S488)*1))*(6-(($T488=$U488)*1+($T488=$V488)*1+($T488=$W488)*1+($U488=$V488)*1+($U488=$W488)*1+($V488=$W488)*1))),"")</f>
        <v>0.333333333333333</v>
      </c>
      <c r="AI488" s="0" t="n">
        <f aca="false">MATCH(MAX($K488:$O488),$K488:$O488,0)</f>
        <v>3</v>
      </c>
      <c r="AJ488" s="0" t="n">
        <f aca="false">IF(AI488&lt;&gt;$E488,1,0)</f>
        <v>1</v>
      </c>
      <c r="AK488" s="0" t="n">
        <f aca="false">IF(AJ488=1,INDEX($F488:$J488,AI488)/MAX($P488:$S488),"")</f>
        <v>0.708920187793427</v>
      </c>
      <c r="AL488" s="0" t="n">
        <f aca="false">IF(AJ488=1,1+COUNTIF($P488:$S488,"&gt;"&amp;INDEX($F488:$J488,AI488)),"")</f>
        <v>2</v>
      </c>
      <c r="AM488" s="0" t="n">
        <f aca="false">AVERAGE($P488:$S488)/MAX($P488:$S488)</f>
        <v>0.651408450704225</v>
      </c>
      <c r="AN488" s="0" t="n">
        <f aca="false">100-INDEX($F488:$J488,$E488)</f>
        <v>77.8</v>
      </c>
    </row>
    <row r="489" customFormat="false" ht="15" hidden="false" customHeight="false" outlineLevel="0" collapsed="false">
      <c r="A489" s="0" t="s">
        <v>57</v>
      </c>
      <c r="B489" s="0" t="n">
        <v>2016</v>
      </c>
      <c r="C489" s="0" t="s">
        <v>49</v>
      </c>
      <c r="D489" s="0" t="s">
        <v>44</v>
      </c>
      <c r="E489" s="0" t="n">
        <v>2</v>
      </c>
      <c r="F489" s="0" t="n">
        <v>15.4</v>
      </c>
      <c r="G489" s="0" t="n">
        <v>29.9</v>
      </c>
      <c r="H489" s="0" t="n">
        <v>7.4</v>
      </c>
      <c r="I489" s="0" t="n">
        <v>15.5</v>
      </c>
      <c r="J489" s="0" t="n">
        <v>8.8</v>
      </c>
      <c r="K489" s="0" t="n">
        <v>5.86343750409</v>
      </c>
      <c r="L489" s="0" t="n">
        <v>52.7590509643</v>
      </c>
      <c r="M489" s="0" t="n">
        <v>4.07315497908</v>
      </c>
      <c r="N489" s="0" t="n">
        <v>25.3716722979</v>
      </c>
      <c r="O489" s="0" t="n">
        <v>11.9326842546</v>
      </c>
      <c r="P489" s="0" t="n">
        <f aca="false">INDEX($F489:$J489,IF(1&lt;$E489,1,1+1))</f>
        <v>15.4</v>
      </c>
      <c r="Q489" s="0" t="n">
        <f aca="false">INDEX($F489:$J489,IF(2&lt;$E489,2,2+1))</f>
        <v>7.4</v>
      </c>
      <c r="R489" s="0" t="n">
        <f aca="false">INDEX($F489:$J489,IF(3&lt;$E489,3,3+1))</f>
        <v>15.5</v>
      </c>
      <c r="S489" s="0" t="n">
        <f aca="false">INDEX($F489:$J489,IF(4&lt;$E489,4,4+1))</f>
        <v>8.8</v>
      </c>
      <c r="T489" s="0" t="n">
        <f aca="false">INDEX($K489:$O489,IF(1&lt;$E489,1,1+1))</f>
        <v>5.86343750409</v>
      </c>
      <c r="U489" s="0" t="n">
        <f aca="false">INDEX($K489:$O489,IF(2&lt;$E489,2,2+1))</f>
        <v>4.07315497908</v>
      </c>
      <c r="V489" s="0" t="n">
        <f aca="false">INDEX($K489:$O489,IF(3&lt;$E489,3,3+1))</f>
        <v>25.3716722979</v>
      </c>
      <c r="W489" s="0" t="n">
        <f aca="false">INDEX($K489:$O489,IF(4&lt;$E489,4,4+1))</f>
        <v>11.9326842546</v>
      </c>
      <c r="X489" s="0" t="n">
        <f aca="false">1+COUNTIF($P489:$S489,"&gt;"&amp;$P489)+(COUNTIF($P489:$S489,$P489)-1)/2</f>
        <v>2</v>
      </c>
      <c r="Y489" s="0" t="n">
        <f aca="false">1+COUNTIF($P489:$S489,"&gt;"&amp;$Q489)+(COUNTIF($P489:$S489,$Q489)-1)/2</f>
        <v>4</v>
      </c>
      <c r="Z489" s="0" t="n">
        <f aca="false">1+COUNTIF($P489:$S489,"&gt;"&amp;$R489)+(COUNTIF($P489:$S489,$R489)-1)/2</f>
        <v>1</v>
      </c>
      <c r="AA489" s="0" t="n">
        <f aca="false">1+COUNTIF($P489:$S489,"&gt;"&amp;$S489)+(COUNTIF($P489:$S489,$S489)-1)/2</f>
        <v>3</v>
      </c>
      <c r="AB489" s="0" t="n">
        <f aca="false">1+COUNTIF($T489:$W489,"&gt;"&amp;$T489)+(COUNTIF($T489:$W489,$T489)-1)/2</f>
        <v>3</v>
      </c>
      <c r="AC489" s="0" t="n">
        <f aca="false">1+COUNTIF($T489:$W489,"&gt;"&amp;$U489)+(COUNTIF($T489:$W489,$U489)-1)/2</f>
        <v>4</v>
      </c>
      <c r="AD489" s="0" t="n">
        <f aca="false">1+COUNTIF($T489:$W489,"&gt;"&amp;$V489)+(COUNTIF($T489:$W489,$V489)-1)/2</f>
        <v>1</v>
      </c>
      <c r="AE489" s="0" t="n">
        <f aca="false">1+COUNTIF($T489:$W489,"&gt;"&amp;$W489)+(COUNTIF($T489:$W489,$W489)-1)/2</f>
        <v>2</v>
      </c>
      <c r="AF489" s="0" t="n">
        <f aca="false">IFERROR(CORREL($P489:$S489,$T489:$W489),"")</f>
        <v>0.503920547647224</v>
      </c>
      <c r="AG489" s="0" t="n">
        <f aca="false">IFERROR(CORREL($X489:$AA489,$AB489:$AE489),"")</f>
        <v>0.8</v>
      </c>
      <c r="AH489" s="0" t="n">
        <f aca="false">IFERROR((SIGN($P489-$Q489)*SIGN($T489-$U489)+SIGN($P489-$R489)*SIGN($T489-$V489)+SIGN($P489-$S489)*SIGN($T489-$W489)+SIGN($Q489-$R489)*SIGN($U489-$V489)+SIGN($Q489-$S489)*SIGN($U489-$W489)+SIGN($R489-$S489)*SIGN($V489-$W489))/SQRT((6-(($P489=$Q489)*1+($P489=$R489)*1+($P489=$S489)*1+($Q489=$R489)*1+($Q489=$S489)*1+($R489=$S489)*1))*(6-(($T489=$U489)*1+($T489=$V489)*1+($T489=$W489)*1+($U489=$V489)*1+($U489=$W489)*1+($V489=$W489)*1))),"")</f>
        <v>0.666666666666667</v>
      </c>
      <c r="AI489" s="0" t="n">
        <f aca="false">MATCH(MAX($K489:$O489),$K489:$O489,0)</f>
        <v>2</v>
      </c>
      <c r="AJ489" s="0" t="n">
        <f aca="false">IF(AI489&lt;&gt;$E489,1,0)</f>
        <v>0</v>
      </c>
      <c r="AK489" s="0" t="str">
        <f aca="false">IF(AJ489=1,INDEX($F489:$J489,AI489)/MAX($P489:$S489),"")</f>
        <v/>
      </c>
      <c r="AL489" s="0" t="str">
        <f aca="false">IF(AJ489=1,1+COUNTIF($P489:$S489,"&gt;"&amp;INDEX($F489:$J489,AI489)),"")</f>
        <v/>
      </c>
      <c r="AM489" s="0" t="n">
        <f aca="false">AVERAGE($P489:$S489)/MAX($P489:$S489)</f>
        <v>0.759677419354839</v>
      </c>
      <c r="AN489" s="0" t="n">
        <f aca="false">100-INDEX($F489:$J489,$E489)</f>
        <v>70.1</v>
      </c>
    </row>
    <row r="490" customFormat="false" ht="15" hidden="false" customHeight="false" outlineLevel="0" collapsed="false">
      <c r="A490" s="0" t="s">
        <v>57</v>
      </c>
      <c r="B490" s="0" t="n">
        <v>2016</v>
      </c>
      <c r="C490" s="0" t="s">
        <v>51</v>
      </c>
      <c r="D490" s="0" t="s">
        <v>42</v>
      </c>
      <c r="E490" s="0" t="n">
        <v>1</v>
      </c>
      <c r="F490" s="0" t="n">
        <v>30.8</v>
      </c>
      <c r="G490" s="0" t="n">
        <v>8.9</v>
      </c>
      <c r="H490" s="0" t="n">
        <v>24.5</v>
      </c>
      <c r="I490" s="0" t="n">
        <v>8.8</v>
      </c>
      <c r="J490" s="0" t="n">
        <v>9.4</v>
      </c>
      <c r="K490" s="0" t="n">
        <v>72.5741912323</v>
      </c>
      <c r="L490" s="0" t="n">
        <v>0.702117642228</v>
      </c>
      <c r="M490" s="0" t="n">
        <v>0.602104032342</v>
      </c>
      <c r="N490" s="0" t="n">
        <v>11.0424216007</v>
      </c>
      <c r="O490" s="0" t="n">
        <v>15.0791654924</v>
      </c>
      <c r="P490" s="0" t="n">
        <f aca="false">INDEX($F490:$J490,IF(1&lt;$E490,1,1+1))</f>
        <v>8.9</v>
      </c>
      <c r="Q490" s="0" t="n">
        <f aca="false">INDEX($F490:$J490,IF(2&lt;$E490,2,2+1))</f>
        <v>24.5</v>
      </c>
      <c r="R490" s="0" t="n">
        <f aca="false">INDEX($F490:$J490,IF(3&lt;$E490,3,3+1))</f>
        <v>8.8</v>
      </c>
      <c r="S490" s="0" t="n">
        <f aca="false">INDEX($F490:$J490,IF(4&lt;$E490,4,4+1))</f>
        <v>9.4</v>
      </c>
      <c r="T490" s="0" t="n">
        <f aca="false">INDEX($K490:$O490,IF(1&lt;$E490,1,1+1))</f>
        <v>0.702117642228</v>
      </c>
      <c r="U490" s="0" t="n">
        <f aca="false">INDEX($K490:$O490,IF(2&lt;$E490,2,2+1))</f>
        <v>0.602104032342</v>
      </c>
      <c r="V490" s="0" t="n">
        <f aca="false">INDEX($K490:$O490,IF(3&lt;$E490,3,3+1))</f>
        <v>11.0424216007</v>
      </c>
      <c r="W490" s="0" t="n">
        <f aca="false">INDEX($K490:$O490,IF(4&lt;$E490,4,4+1))</f>
        <v>15.0791654924</v>
      </c>
      <c r="X490" s="0" t="n">
        <f aca="false">1+COUNTIF($P490:$S490,"&gt;"&amp;$P490)+(COUNTIF($P490:$S490,$P490)-1)/2</f>
        <v>3</v>
      </c>
      <c r="Y490" s="0" t="n">
        <f aca="false">1+COUNTIF($P490:$S490,"&gt;"&amp;$Q490)+(COUNTIF($P490:$S490,$Q490)-1)/2</f>
        <v>1</v>
      </c>
      <c r="Z490" s="0" t="n">
        <f aca="false">1+COUNTIF($P490:$S490,"&gt;"&amp;$R490)+(COUNTIF($P490:$S490,$R490)-1)/2</f>
        <v>4</v>
      </c>
      <c r="AA490" s="0" t="n">
        <f aca="false">1+COUNTIF($P490:$S490,"&gt;"&amp;$S490)+(COUNTIF($P490:$S490,$S490)-1)/2</f>
        <v>2</v>
      </c>
      <c r="AB490" s="0" t="n">
        <f aca="false">1+COUNTIF($T490:$W490,"&gt;"&amp;$T490)+(COUNTIF($T490:$W490,$T490)-1)/2</f>
        <v>3</v>
      </c>
      <c r="AC490" s="0" t="n">
        <f aca="false">1+COUNTIF($T490:$W490,"&gt;"&amp;$U490)+(COUNTIF($T490:$W490,$U490)-1)/2</f>
        <v>4</v>
      </c>
      <c r="AD490" s="0" t="n">
        <f aca="false">1+COUNTIF($T490:$W490,"&gt;"&amp;$V490)+(COUNTIF($T490:$W490,$V490)-1)/2</f>
        <v>2</v>
      </c>
      <c r="AE490" s="0" t="n">
        <f aca="false">1+COUNTIF($T490:$W490,"&gt;"&amp;$W490)+(COUNTIF($T490:$W490,$W490)-1)/2</f>
        <v>1</v>
      </c>
      <c r="AF490" s="0" t="n">
        <f aca="false">IFERROR(CORREL($P490:$S490,$T490:$W490),"")</f>
        <v>-0.550102785495531</v>
      </c>
      <c r="AG490" s="0" t="n">
        <f aca="false">IFERROR(CORREL($X490:$AA490,$AB490:$AE490),"")</f>
        <v>-0.4</v>
      </c>
      <c r="AH490" s="0" t="n">
        <f aca="false">IFERROR((SIGN($P490-$Q490)*SIGN($T490-$U490)+SIGN($P490-$R490)*SIGN($T490-$V490)+SIGN($P490-$S490)*SIGN($T490-$W490)+SIGN($Q490-$R490)*SIGN($U490-$V490)+SIGN($Q490-$S490)*SIGN($U490-$W490)+SIGN($R490-$S490)*SIGN($V490-$W490))/SQRT((6-(($P490=$Q490)*1+($P490=$R490)*1+($P490=$S490)*1+($Q490=$R490)*1+($Q490=$S490)*1+($R490=$S490)*1))*(6-(($T490=$U490)*1+($T490=$V490)*1+($T490=$W490)*1+($U490=$V490)*1+($U490=$W490)*1+($V490=$W490)*1))),"")</f>
        <v>-0.333333333333333</v>
      </c>
      <c r="AI490" s="0" t="n">
        <f aca="false">MATCH(MAX($K490:$O490),$K490:$O490,0)</f>
        <v>1</v>
      </c>
      <c r="AJ490" s="0" t="n">
        <f aca="false">IF(AI490&lt;&gt;$E490,1,0)</f>
        <v>0</v>
      </c>
      <c r="AK490" s="0" t="str">
        <f aca="false">IF(AJ490=1,INDEX($F490:$J490,AI490)/MAX($P490:$S490),"")</f>
        <v/>
      </c>
      <c r="AL490" s="0" t="str">
        <f aca="false">IF(AJ490=1,1+COUNTIF($P490:$S490,"&gt;"&amp;INDEX($F490:$J490,AI490)),"")</f>
        <v/>
      </c>
      <c r="AM490" s="0" t="n">
        <f aca="false">AVERAGE($P490:$S490)/MAX($P490:$S490)</f>
        <v>0.526530612244898</v>
      </c>
      <c r="AN490" s="0" t="n">
        <f aca="false">100-INDEX($F490:$J490,$E490)</f>
        <v>69.2</v>
      </c>
    </row>
    <row r="491" customFormat="false" ht="15" hidden="false" customHeight="false" outlineLevel="0" collapsed="false">
      <c r="A491" s="0" t="s">
        <v>57</v>
      </c>
      <c r="B491" s="0" t="n">
        <v>2016</v>
      </c>
      <c r="C491" s="0" t="s">
        <v>51</v>
      </c>
      <c r="D491" s="0" t="s">
        <v>43</v>
      </c>
      <c r="E491" s="0" t="n">
        <v>2</v>
      </c>
      <c r="F491" s="0" t="n">
        <v>15.7</v>
      </c>
      <c r="G491" s="0" t="n">
        <v>43.8</v>
      </c>
      <c r="H491" s="0" t="n">
        <v>6.7</v>
      </c>
      <c r="I491" s="0" t="n">
        <v>7.2</v>
      </c>
      <c r="J491" s="0" t="n">
        <v>8.5</v>
      </c>
      <c r="K491" s="0" t="n">
        <v>23.6320335029</v>
      </c>
      <c r="L491" s="0" t="n">
        <v>24.6629226808</v>
      </c>
      <c r="M491" s="0" t="n">
        <v>17.7011584025</v>
      </c>
      <c r="N491" s="0" t="n">
        <v>13.3824640448</v>
      </c>
      <c r="O491" s="0" t="n">
        <v>20.621421369</v>
      </c>
      <c r="P491" s="0" t="n">
        <f aca="false">INDEX($F491:$J491,IF(1&lt;$E491,1,1+1))</f>
        <v>15.7</v>
      </c>
      <c r="Q491" s="0" t="n">
        <f aca="false">INDEX($F491:$J491,IF(2&lt;$E491,2,2+1))</f>
        <v>6.7</v>
      </c>
      <c r="R491" s="0" t="n">
        <f aca="false">INDEX($F491:$J491,IF(3&lt;$E491,3,3+1))</f>
        <v>7.2</v>
      </c>
      <c r="S491" s="0" t="n">
        <f aca="false">INDEX($F491:$J491,IF(4&lt;$E491,4,4+1))</f>
        <v>8.5</v>
      </c>
      <c r="T491" s="0" t="n">
        <f aca="false">INDEX($K491:$O491,IF(1&lt;$E491,1,1+1))</f>
        <v>23.6320335029</v>
      </c>
      <c r="U491" s="0" t="n">
        <f aca="false">INDEX($K491:$O491,IF(2&lt;$E491,2,2+1))</f>
        <v>17.7011584025</v>
      </c>
      <c r="V491" s="0" t="n">
        <f aca="false">INDEX($K491:$O491,IF(3&lt;$E491,3,3+1))</f>
        <v>13.3824640448</v>
      </c>
      <c r="W491" s="0" t="n">
        <f aca="false">INDEX($K491:$O491,IF(4&lt;$E491,4,4+1))</f>
        <v>20.621421369</v>
      </c>
      <c r="X491" s="0" t="n">
        <f aca="false">1+COUNTIF($P491:$S491,"&gt;"&amp;$P491)+(COUNTIF($P491:$S491,$P491)-1)/2</f>
        <v>1</v>
      </c>
      <c r="Y491" s="0" t="n">
        <f aca="false">1+COUNTIF($P491:$S491,"&gt;"&amp;$Q491)+(COUNTIF($P491:$S491,$Q491)-1)/2</f>
        <v>4</v>
      </c>
      <c r="Z491" s="0" t="n">
        <f aca="false">1+COUNTIF($P491:$S491,"&gt;"&amp;$R491)+(COUNTIF($P491:$S491,$R491)-1)/2</f>
        <v>3</v>
      </c>
      <c r="AA491" s="0" t="n">
        <f aca="false">1+COUNTIF($P491:$S491,"&gt;"&amp;$S491)+(COUNTIF($P491:$S491,$S491)-1)/2</f>
        <v>2</v>
      </c>
      <c r="AB491" s="0" t="n">
        <f aca="false">1+COUNTIF($T491:$W491,"&gt;"&amp;$T491)+(COUNTIF($T491:$W491,$T491)-1)/2</f>
        <v>1</v>
      </c>
      <c r="AC491" s="0" t="n">
        <f aca="false">1+COUNTIF($T491:$W491,"&gt;"&amp;$U491)+(COUNTIF($T491:$W491,$U491)-1)/2</f>
        <v>3</v>
      </c>
      <c r="AD491" s="0" t="n">
        <f aca="false">1+COUNTIF($T491:$W491,"&gt;"&amp;$V491)+(COUNTIF($T491:$W491,$V491)-1)/2</f>
        <v>4</v>
      </c>
      <c r="AE491" s="0" t="n">
        <f aca="false">1+COUNTIF($T491:$W491,"&gt;"&amp;$W491)+(COUNTIF($T491:$W491,$W491)-1)/2</f>
        <v>2</v>
      </c>
      <c r="AF491" s="0" t="n">
        <f aca="false">IFERROR(CORREL($P491:$S491,$T491:$W491),"")</f>
        <v>0.796277513274761</v>
      </c>
      <c r="AG491" s="0" t="n">
        <f aca="false">IFERROR(CORREL($X491:$AA491,$AB491:$AE491),"")</f>
        <v>0.8</v>
      </c>
      <c r="AH491" s="0" t="n">
        <f aca="false">IFERROR((SIGN($P491-$Q491)*SIGN($T491-$U491)+SIGN($P491-$R491)*SIGN($T491-$V491)+SIGN($P491-$S491)*SIGN($T491-$W491)+SIGN($Q491-$R491)*SIGN($U491-$V491)+SIGN($Q491-$S491)*SIGN($U491-$W491)+SIGN($R491-$S491)*SIGN($V491-$W491))/SQRT((6-(($P491=$Q491)*1+($P491=$R491)*1+($P491=$S491)*1+($Q491=$R491)*1+($Q491=$S491)*1+($R491=$S491)*1))*(6-(($T491=$U491)*1+($T491=$V491)*1+($T491=$W491)*1+($U491=$V491)*1+($U491=$W491)*1+($V491=$W491)*1))),"")</f>
        <v>0.666666666666667</v>
      </c>
      <c r="AI491" s="0" t="n">
        <f aca="false">MATCH(MAX($K491:$O491),$K491:$O491,0)</f>
        <v>2</v>
      </c>
      <c r="AJ491" s="0" t="n">
        <f aca="false">IF(AI491&lt;&gt;$E491,1,0)</f>
        <v>0</v>
      </c>
      <c r="AK491" s="0" t="str">
        <f aca="false">IF(AJ491=1,INDEX($F491:$J491,AI491)/MAX($P491:$S491),"")</f>
        <v/>
      </c>
      <c r="AL491" s="0" t="str">
        <f aca="false">IF(AJ491=1,1+COUNTIF($P491:$S491,"&gt;"&amp;INDEX($F491:$J491,AI491)),"")</f>
        <v/>
      </c>
      <c r="AM491" s="0" t="n">
        <f aca="false">AVERAGE($P491:$S491)/MAX($P491:$S491)</f>
        <v>0.606687898089172</v>
      </c>
      <c r="AN491" s="0" t="n">
        <f aca="false">100-INDEX($F491:$J491,$E491)</f>
        <v>56.2</v>
      </c>
    </row>
    <row r="492" customFormat="false" ht="15" hidden="false" customHeight="false" outlineLevel="0" collapsed="false">
      <c r="A492" s="0" t="s">
        <v>57</v>
      </c>
      <c r="B492" s="0" t="n">
        <v>2016</v>
      </c>
      <c r="C492" s="0" t="s">
        <v>51</v>
      </c>
      <c r="D492" s="0" t="s">
        <v>44</v>
      </c>
      <c r="E492" s="0" t="n">
        <v>5</v>
      </c>
      <c r="F492" s="0" t="n">
        <v>17.2</v>
      </c>
      <c r="G492" s="0" t="n">
        <v>7.9</v>
      </c>
      <c r="H492" s="0" t="n">
        <v>9.5</v>
      </c>
      <c r="I492" s="0" t="n">
        <v>19.3</v>
      </c>
      <c r="J492" s="0" t="n">
        <v>27.6</v>
      </c>
      <c r="K492" s="0" t="n">
        <v>4.77915690189</v>
      </c>
      <c r="L492" s="0" t="n">
        <v>0.852431689902</v>
      </c>
      <c r="M492" s="0" t="n">
        <v>55.9767620699</v>
      </c>
      <c r="N492" s="0" t="n">
        <v>25.6245743075</v>
      </c>
      <c r="O492" s="0" t="n">
        <v>12.7670750308</v>
      </c>
      <c r="P492" s="0" t="n">
        <f aca="false">INDEX($F492:$J492,IF(1&lt;$E492,1,1+1))</f>
        <v>17.2</v>
      </c>
      <c r="Q492" s="0" t="n">
        <f aca="false">INDEX($F492:$J492,IF(2&lt;$E492,2,2+1))</f>
        <v>7.9</v>
      </c>
      <c r="R492" s="0" t="n">
        <f aca="false">INDEX($F492:$J492,IF(3&lt;$E492,3,3+1))</f>
        <v>9.5</v>
      </c>
      <c r="S492" s="0" t="n">
        <f aca="false">INDEX($F492:$J492,IF(4&lt;$E492,4,4+1))</f>
        <v>19.3</v>
      </c>
      <c r="T492" s="0" t="n">
        <f aca="false">INDEX($K492:$O492,IF(1&lt;$E492,1,1+1))</f>
        <v>4.77915690189</v>
      </c>
      <c r="U492" s="0" t="n">
        <f aca="false">INDEX($K492:$O492,IF(2&lt;$E492,2,2+1))</f>
        <v>0.852431689902</v>
      </c>
      <c r="V492" s="0" t="n">
        <f aca="false">INDEX($K492:$O492,IF(3&lt;$E492,3,3+1))</f>
        <v>55.9767620699</v>
      </c>
      <c r="W492" s="0" t="n">
        <f aca="false">INDEX($K492:$O492,IF(4&lt;$E492,4,4+1))</f>
        <v>25.6245743075</v>
      </c>
      <c r="X492" s="0" t="n">
        <f aca="false">1+COUNTIF($P492:$S492,"&gt;"&amp;$P492)+(COUNTIF($P492:$S492,$P492)-1)/2</f>
        <v>2</v>
      </c>
      <c r="Y492" s="0" t="n">
        <f aca="false">1+COUNTIF($P492:$S492,"&gt;"&amp;$Q492)+(COUNTIF($P492:$S492,$Q492)-1)/2</f>
        <v>4</v>
      </c>
      <c r="Z492" s="0" t="n">
        <f aca="false">1+COUNTIF($P492:$S492,"&gt;"&amp;$R492)+(COUNTIF($P492:$S492,$R492)-1)/2</f>
        <v>3</v>
      </c>
      <c r="AA492" s="0" t="n">
        <f aca="false">1+COUNTIF($P492:$S492,"&gt;"&amp;$S492)+(COUNTIF($P492:$S492,$S492)-1)/2</f>
        <v>1</v>
      </c>
      <c r="AB492" s="0" t="n">
        <f aca="false">1+COUNTIF($T492:$W492,"&gt;"&amp;$T492)+(COUNTIF($T492:$W492,$T492)-1)/2</f>
        <v>3</v>
      </c>
      <c r="AC492" s="0" t="n">
        <f aca="false">1+COUNTIF($T492:$W492,"&gt;"&amp;$U492)+(COUNTIF($T492:$W492,$U492)-1)/2</f>
        <v>4</v>
      </c>
      <c r="AD492" s="0" t="n">
        <f aca="false">1+COUNTIF($T492:$W492,"&gt;"&amp;$V492)+(COUNTIF($T492:$W492,$V492)-1)/2</f>
        <v>1</v>
      </c>
      <c r="AE492" s="0" t="n">
        <f aca="false">1+COUNTIF($T492:$W492,"&gt;"&amp;$W492)+(COUNTIF($T492:$W492,$W492)-1)/2</f>
        <v>2</v>
      </c>
      <c r="AF492" s="0" t="n">
        <f aca="false">IFERROR(CORREL($P492:$S492,$T492:$W492),"")</f>
        <v>-0.14150060532628</v>
      </c>
      <c r="AG492" s="0" t="n">
        <f aca="false">IFERROR(CORREL($X492:$AA492,$AB492:$AE492),"")</f>
        <v>0.4</v>
      </c>
      <c r="AH492" s="0" t="n">
        <f aca="false">IFERROR((SIGN($P492-$Q492)*SIGN($T492-$U492)+SIGN($P492-$R492)*SIGN($T492-$V492)+SIGN($P492-$S492)*SIGN($T492-$W492)+SIGN($Q492-$R492)*SIGN($U492-$V492)+SIGN($Q492-$S492)*SIGN($U492-$W492)+SIGN($R492-$S492)*SIGN($V492-$W492))/SQRT((6-(($P492=$Q492)*1+($P492=$R492)*1+($P492=$S492)*1+($Q492=$R492)*1+($Q492=$S492)*1+($R492=$S492)*1))*(6-(($T492=$U492)*1+($T492=$V492)*1+($T492=$W492)*1+($U492=$V492)*1+($U492=$W492)*1+($V492=$W492)*1))),"")</f>
        <v>0.333333333333333</v>
      </c>
      <c r="AI492" s="0" t="n">
        <f aca="false">MATCH(MAX($K492:$O492),$K492:$O492,0)</f>
        <v>3</v>
      </c>
      <c r="AJ492" s="0" t="n">
        <f aca="false">IF(AI492&lt;&gt;$E492,1,0)</f>
        <v>1</v>
      </c>
      <c r="AK492" s="0" t="n">
        <f aca="false">IF(AJ492=1,INDEX($F492:$J492,AI492)/MAX($P492:$S492),"")</f>
        <v>0.492227979274611</v>
      </c>
      <c r="AL492" s="0" t="n">
        <f aca="false">IF(AJ492=1,1+COUNTIF($P492:$S492,"&gt;"&amp;INDEX($F492:$J492,AI492)),"")</f>
        <v>3</v>
      </c>
      <c r="AM492" s="0" t="n">
        <f aca="false">AVERAGE($P492:$S492)/MAX($P492:$S492)</f>
        <v>0.698186528497409</v>
      </c>
      <c r="AN492" s="0" t="n">
        <f aca="false">100-INDEX($F492:$J492,$E492)</f>
        <v>72.4</v>
      </c>
    </row>
    <row r="493" customFormat="false" ht="15" hidden="false" customHeight="false" outlineLevel="0" collapsed="false">
      <c r="A493" s="0" t="s">
        <v>57</v>
      </c>
      <c r="B493" s="0" t="n">
        <v>2016</v>
      </c>
      <c r="C493" s="0" t="s">
        <v>51</v>
      </c>
      <c r="D493" s="0" t="s">
        <v>45</v>
      </c>
      <c r="E493" s="0" t="n">
        <v>4</v>
      </c>
      <c r="F493" s="0" t="n">
        <v>7.6</v>
      </c>
      <c r="G493" s="0" t="n">
        <v>20.5</v>
      </c>
      <c r="H493" s="0" t="n">
        <v>16</v>
      </c>
      <c r="I493" s="0" t="n">
        <v>26.7</v>
      </c>
      <c r="J493" s="0" t="n">
        <v>10.6</v>
      </c>
      <c r="K493" s="0" t="n">
        <v>4.82241855848</v>
      </c>
      <c r="L493" s="0" t="n">
        <v>22.9441884589</v>
      </c>
      <c r="M493" s="0" t="n">
        <v>14.421575473</v>
      </c>
      <c r="N493" s="0" t="n">
        <v>52.7338299024</v>
      </c>
      <c r="O493" s="0" t="n">
        <v>5.07798760717</v>
      </c>
      <c r="P493" s="0" t="n">
        <f aca="false">INDEX($F493:$J493,IF(1&lt;$E493,1,1+1))</f>
        <v>7.6</v>
      </c>
      <c r="Q493" s="0" t="n">
        <f aca="false">INDEX($F493:$J493,IF(2&lt;$E493,2,2+1))</f>
        <v>20.5</v>
      </c>
      <c r="R493" s="0" t="n">
        <f aca="false">INDEX($F493:$J493,IF(3&lt;$E493,3,3+1))</f>
        <v>16</v>
      </c>
      <c r="S493" s="0" t="n">
        <f aca="false">INDEX($F493:$J493,IF(4&lt;$E493,4,4+1))</f>
        <v>10.6</v>
      </c>
      <c r="T493" s="0" t="n">
        <f aca="false">INDEX($K493:$O493,IF(1&lt;$E493,1,1+1))</f>
        <v>4.82241855848</v>
      </c>
      <c r="U493" s="0" t="n">
        <f aca="false">INDEX($K493:$O493,IF(2&lt;$E493,2,2+1))</f>
        <v>22.9441884589</v>
      </c>
      <c r="V493" s="0" t="n">
        <f aca="false">INDEX($K493:$O493,IF(3&lt;$E493,3,3+1))</f>
        <v>14.421575473</v>
      </c>
      <c r="W493" s="0" t="n">
        <f aca="false">INDEX($K493:$O493,IF(4&lt;$E493,4,4+1))</f>
        <v>5.07798760717</v>
      </c>
      <c r="X493" s="0" t="n">
        <f aca="false">1+COUNTIF($P493:$S493,"&gt;"&amp;$P493)+(COUNTIF($P493:$S493,$P493)-1)/2</f>
        <v>4</v>
      </c>
      <c r="Y493" s="0" t="n">
        <f aca="false">1+COUNTIF($P493:$S493,"&gt;"&amp;$Q493)+(COUNTIF($P493:$S493,$Q493)-1)/2</f>
        <v>1</v>
      </c>
      <c r="Z493" s="0" t="n">
        <f aca="false">1+COUNTIF($P493:$S493,"&gt;"&amp;$R493)+(COUNTIF($P493:$S493,$R493)-1)/2</f>
        <v>2</v>
      </c>
      <c r="AA493" s="0" t="n">
        <f aca="false">1+COUNTIF($P493:$S493,"&gt;"&amp;$S493)+(COUNTIF($P493:$S493,$S493)-1)/2</f>
        <v>3</v>
      </c>
      <c r="AB493" s="0" t="n">
        <f aca="false">1+COUNTIF($T493:$W493,"&gt;"&amp;$T493)+(COUNTIF($T493:$W493,$T493)-1)/2</f>
        <v>4</v>
      </c>
      <c r="AC493" s="0" t="n">
        <f aca="false">1+COUNTIF($T493:$W493,"&gt;"&amp;$U493)+(COUNTIF($T493:$W493,$U493)-1)/2</f>
        <v>1</v>
      </c>
      <c r="AD493" s="0" t="n">
        <f aca="false">1+COUNTIF($T493:$W493,"&gt;"&amp;$V493)+(COUNTIF($T493:$W493,$V493)-1)/2</f>
        <v>2</v>
      </c>
      <c r="AE493" s="0" t="n">
        <f aca="false">1+COUNTIF($T493:$W493,"&gt;"&amp;$W493)+(COUNTIF($T493:$W493,$W493)-1)/2</f>
        <v>3</v>
      </c>
      <c r="AF493" s="0" t="n">
        <f aca="false">IFERROR(CORREL($P493:$S493,$T493:$W493),"")</f>
        <v>0.976325225385698</v>
      </c>
      <c r="AG493" s="0" t="n">
        <f aca="false">IFERROR(CORREL($X493:$AA493,$AB493:$AE493),"")</f>
        <v>1</v>
      </c>
      <c r="AH493" s="0" t="n">
        <f aca="false">IFERROR((SIGN($P493-$Q493)*SIGN($T493-$U493)+SIGN($P493-$R493)*SIGN($T493-$V493)+SIGN($P493-$S493)*SIGN($T493-$W493)+SIGN($Q493-$R493)*SIGN($U493-$V493)+SIGN($Q493-$S493)*SIGN($U493-$W493)+SIGN($R493-$S493)*SIGN($V493-$W493))/SQRT((6-(($P493=$Q493)*1+($P493=$R493)*1+($P493=$S493)*1+($Q493=$R493)*1+($Q493=$S493)*1+($R493=$S493)*1))*(6-(($T493=$U493)*1+($T493=$V493)*1+($T493=$W493)*1+($U493=$V493)*1+($U493=$W493)*1+($V493=$W493)*1))),"")</f>
        <v>1</v>
      </c>
      <c r="AI493" s="0" t="n">
        <f aca="false">MATCH(MAX($K493:$O493),$K493:$O493,0)</f>
        <v>4</v>
      </c>
      <c r="AJ493" s="0" t="n">
        <f aca="false">IF(AI493&lt;&gt;$E493,1,0)</f>
        <v>0</v>
      </c>
      <c r="AK493" s="0" t="str">
        <f aca="false">IF(AJ493=1,INDEX($F493:$J493,AI493)/MAX($P493:$S493),"")</f>
        <v/>
      </c>
      <c r="AL493" s="0" t="str">
        <f aca="false">IF(AJ493=1,1+COUNTIF($P493:$S493,"&gt;"&amp;INDEX($F493:$J493,AI493)),"")</f>
        <v/>
      </c>
      <c r="AM493" s="0" t="n">
        <f aca="false">AVERAGE($P493:$S493)/MAX($P493:$S493)</f>
        <v>0.667073170731707</v>
      </c>
      <c r="AN493" s="0" t="n">
        <f aca="false">100-INDEX($F493:$J493,$E493)</f>
        <v>73.3</v>
      </c>
    </row>
    <row r="494" customFormat="false" ht="15" hidden="false" customHeight="false" outlineLevel="0" collapsed="false">
      <c r="A494" s="0" t="s">
        <v>57</v>
      </c>
      <c r="B494" s="0" t="n">
        <v>2016</v>
      </c>
      <c r="C494" s="0" t="s">
        <v>46</v>
      </c>
      <c r="D494" s="0" t="s">
        <v>42</v>
      </c>
      <c r="E494" s="0" t="n">
        <v>1</v>
      </c>
      <c r="F494" s="0" t="n">
        <v>50.4</v>
      </c>
      <c r="G494" s="0" t="n">
        <v>10.4</v>
      </c>
      <c r="H494" s="0" t="n">
        <v>7.7</v>
      </c>
      <c r="I494" s="0" t="n">
        <v>7.2</v>
      </c>
      <c r="J494" s="0" t="n">
        <v>6.3</v>
      </c>
      <c r="K494" s="0" t="n">
        <v>79.0733776181</v>
      </c>
      <c r="L494" s="0" t="n">
        <v>0.416018660094</v>
      </c>
      <c r="M494" s="0" t="n">
        <v>0.0725450076482</v>
      </c>
      <c r="N494" s="0" t="n">
        <v>2.47052926503</v>
      </c>
      <c r="O494" s="0" t="n">
        <v>17.9675294491</v>
      </c>
      <c r="P494" s="0" t="n">
        <f aca="false">INDEX($F494:$J494,IF(1&lt;$E494,1,1+1))</f>
        <v>10.4</v>
      </c>
      <c r="Q494" s="0" t="n">
        <f aca="false">INDEX($F494:$J494,IF(2&lt;$E494,2,2+1))</f>
        <v>7.7</v>
      </c>
      <c r="R494" s="0" t="n">
        <f aca="false">INDEX($F494:$J494,IF(3&lt;$E494,3,3+1))</f>
        <v>7.2</v>
      </c>
      <c r="S494" s="0" t="n">
        <f aca="false">INDEX($F494:$J494,IF(4&lt;$E494,4,4+1))</f>
        <v>6.3</v>
      </c>
      <c r="T494" s="0" t="n">
        <f aca="false">INDEX($K494:$O494,IF(1&lt;$E494,1,1+1))</f>
        <v>0.416018660094</v>
      </c>
      <c r="U494" s="0" t="n">
        <f aca="false">INDEX($K494:$O494,IF(2&lt;$E494,2,2+1))</f>
        <v>0.0725450076482</v>
      </c>
      <c r="V494" s="0" t="n">
        <f aca="false">INDEX($K494:$O494,IF(3&lt;$E494,3,3+1))</f>
        <v>2.47052926503</v>
      </c>
      <c r="W494" s="0" t="n">
        <f aca="false">INDEX($K494:$O494,IF(4&lt;$E494,4,4+1))</f>
        <v>17.9675294491</v>
      </c>
      <c r="X494" s="0" t="n">
        <f aca="false">1+COUNTIF($P494:$S494,"&gt;"&amp;$P494)+(COUNTIF($P494:$S494,$P494)-1)/2</f>
        <v>1</v>
      </c>
      <c r="Y494" s="0" t="n">
        <f aca="false">1+COUNTIF($P494:$S494,"&gt;"&amp;$Q494)+(COUNTIF($P494:$S494,$Q494)-1)/2</f>
        <v>2</v>
      </c>
      <c r="Z494" s="0" t="n">
        <f aca="false">1+COUNTIF($P494:$S494,"&gt;"&amp;$R494)+(COUNTIF($P494:$S494,$R494)-1)/2</f>
        <v>3</v>
      </c>
      <c r="AA494" s="0" t="n">
        <f aca="false">1+COUNTIF($P494:$S494,"&gt;"&amp;$S494)+(COUNTIF($P494:$S494,$S494)-1)/2</f>
        <v>4</v>
      </c>
      <c r="AB494" s="0" t="n">
        <f aca="false">1+COUNTIF($T494:$W494,"&gt;"&amp;$T494)+(COUNTIF($T494:$W494,$T494)-1)/2</f>
        <v>3</v>
      </c>
      <c r="AC494" s="0" t="n">
        <f aca="false">1+COUNTIF($T494:$W494,"&gt;"&amp;$U494)+(COUNTIF($T494:$W494,$U494)-1)/2</f>
        <v>4</v>
      </c>
      <c r="AD494" s="0" t="n">
        <f aca="false">1+COUNTIF($T494:$W494,"&gt;"&amp;$V494)+(COUNTIF($T494:$W494,$V494)-1)/2</f>
        <v>2</v>
      </c>
      <c r="AE494" s="0" t="n">
        <f aca="false">1+COUNTIF($T494:$W494,"&gt;"&amp;$W494)+(COUNTIF($T494:$W494,$W494)-1)/2</f>
        <v>1</v>
      </c>
      <c r="AF494" s="0" t="n">
        <f aca="false">IFERROR(CORREL($P494:$S494,$T494:$W494),"")</f>
        <v>-0.650265488041852</v>
      </c>
      <c r="AG494" s="0" t="n">
        <f aca="false">IFERROR(CORREL($X494:$AA494,$AB494:$AE494),"")</f>
        <v>-0.8</v>
      </c>
      <c r="AH494" s="0" t="n">
        <f aca="false">IFERROR((SIGN($P494-$Q494)*SIGN($T494-$U494)+SIGN($P494-$R494)*SIGN($T494-$V494)+SIGN($P494-$S494)*SIGN($T494-$W494)+SIGN($Q494-$R494)*SIGN($U494-$V494)+SIGN($Q494-$S494)*SIGN($U494-$W494)+SIGN($R494-$S494)*SIGN($V494-$W494))/SQRT((6-(($P494=$Q494)*1+($P494=$R494)*1+($P494=$S494)*1+($Q494=$R494)*1+($Q494=$S494)*1+($R494=$S494)*1))*(6-(($T494=$U494)*1+($T494=$V494)*1+($T494=$W494)*1+($U494=$V494)*1+($U494=$W494)*1+($V494=$W494)*1))),"")</f>
        <v>-0.666666666666667</v>
      </c>
      <c r="AI494" s="0" t="n">
        <f aca="false">MATCH(MAX($K494:$O494),$K494:$O494,0)</f>
        <v>1</v>
      </c>
      <c r="AJ494" s="0" t="n">
        <f aca="false">IF(AI494&lt;&gt;$E494,1,0)</f>
        <v>0</v>
      </c>
      <c r="AK494" s="0" t="str">
        <f aca="false">IF(AJ494=1,INDEX($F494:$J494,AI494)/MAX($P494:$S494),"")</f>
        <v/>
      </c>
      <c r="AL494" s="0" t="str">
        <f aca="false">IF(AJ494=1,1+COUNTIF($P494:$S494,"&gt;"&amp;INDEX($F494:$J494,AI494)),"")</f>
        <v/>
      </c>
      <c r="AM494" s="0" t="n">
        <f aca="false">AVERAGE($P494:$S494)/MAX($P494:$S494)</f>
        <v>0.759615384615385</v>
      </c>
      <c r="AN494" s="0" t="n">
        <f aca="false">100-INDEX($F494:$J494,$E494)</f>
        <v>49.6</v>
      </c>
    </row>
    <row r="495" customFormat="false" ht="15" hidden="false" customHeight="false" outlineLevel="0" collapsed="false">
      <c r="A495" s="0" t="s">
        <v>57</v>
      </c>
      <c r="B495" s="0" t="n">
        <v>2016</v>
      </c>
      <c r="C495" s="0" t="s">
        <v>46</v>
      </c>
      <c r="D495" s="0" t="s">
        <v>43</v>
      </c>
      <c r="E495" s="0" t="n">
        <v>4</v>
      </c>
      <c r="F495" s="0" t="n">
        <v>11.4</v>
      </c>
      <c r="G495" s="0" t="n">
        <v>5.7</v>
      </c>
      <c r="H495" s="0" t="n">
        <v>7.8</v>
      </c>
      <c r="I495" s="0" t="n">
        <v>38.3</v>
      </c>
      <c r="J495" s="0" t="n">
        <v>18.4</v>
      </c>
      <c r="K495" s="0" t="n">
        <v>19.7324735027</v>
      </c>
      <c r="L495" s="0" t="n">
        <v>0.397740645952</v>
      </c>
      <c r="M495" s="0" t="n">
        <v>9.54536196782</v>
      </c>
      <c r="N495" s="0" t="n">
        <v>69.1999891634</v>
      </c>
      <c r="O495" s="0" t="n">
        <v>1.12443472012</v>
      </c>
      <c r="P495" s="0" t="n">
        <f aca="false">INDEX($F495:$J495,IF(1&lt;$E495,1,1+1))</f>
        <v>11.4</v>
      </c>
      <c r="Q495" s="0" t="n">
        <f aca="false">INDEX($F495:$J495,IF(2&lt;$E495,2,2+1))</f>
        <v>5.7</v>
      </c>
      <c r="R495" s="0" t="n">
        <f aca="false">INDEX($F495:$J495,IF(3&lt;$E495,3,3+1))</f>
        <v>7.8</v>
      </c>
      <c r="S495" s="0" t="n">
        <f aca="false">INDEX($F495:$J495,IF(4&lt;$E495,4,4+1))</f>
        <v>18.4</v>
      </c>
      <c r="T495" s="0" t="n">
        <f aca="false">INDEX($K495:$O495,IF(1&lt;$E495,1,1+1))</f>
        <v>19.7324735027</v>
      </c>
      <c r="U495" s="0" t="n">
        <f aca="false">INDEX($K495:$O495,IF(2&lt;$E495,2,2+1))</f>
        <v>0.397740645952</v>
      </c>
      <c r="V495" s="0" t="n">
        <f aca="false">INDEX($K495:$O495,IF(3&lt;$E495,3,3+1))</f>
        <v>9.54536196782</v>
      </c>
      <c r="W495" s="0" t="n">
        <f aca="false">INDEX($K495:$O495,IF(4&lt;$E495,4,4+1))</f>
        <v>1.12443472012</v>
      </c>
      <c r="X495" s="0" t="n">
        <f aca="false">1+COUNTIF($P495:$S495,"&gt;"&amp;$P495)+(COUNTIF($P495:$S495,$P495)-1)/2</f>
        <v>2</v>
      </c>
      <c r="Y495" s="0" t="n">
        <f aca="false">1+COUNTIF($P495:$S495,"&gt;"&amp;$Q495)+(COUNTIF($P495:$S495,$Q495)-1)/2</f>
        <v>4</v>
      </c>
      <c r="Z495" s="0" t="n">
        <f aca="false">1+COUNTIF($P495:$S495,"&gt;"&amp;$R495)+(COUNTIF($P495:$S495,$R495)-1)/2</f>
        <v>3</v>
      </c>
      <c r="AA495" s="0" t="n">
        <f aca="false">1+COUNTIF($P495:$S495,"&gt;"&amp;$S495)+(COUNTIF($P495:$S495,$S495)-1)/2</f>
        <v>1</v>
      </c>
      <c r="AB495" s="0" t="n">
        <f aca="false">1+COUNTIF($T495:$W495,"&gt;"&amp;$T495)+(COUNTIF($T495:$W495,$T495)-1)/2</f>
        <v>1</v>
      </c>
      <c r="AC495" s="0" t="n">
        <f aca="false">1+COUNTIF($T495:$W495,"&gt;"&amp;$U495)+(COUNTIF($T495:$W495,$U495)-1)/2</f>
        <v>4</v>
      </c>
      <c r="AD495" s="0" t="n">
        <f aca="false">1+COUNTIF($T495:$W495,"&gt;"&amp;$V495)+(COUNTIF($T495:$W495,$V495)-1)/2</f>
        <v>2</v>
      </c>
      <c r="AE495" s="0" t="n">
        <f aca="false">1+COUNTIF($T495:$W495,"&gt;"&amp;$W495)+(COUNTIF($T495:$W495,$W495)-1)/2</f>
        <v>3</v>
      </c>
      <c r="AF495" s="0" t="n">
        <f aca="false">IFERROR(CORREL($P495:$S495,$T495:$W495),"")</f>
        <v>-0.0731880578637883</v>
      </c>
      <c r="AG495" s="0" t="n">
        <f aca="false">IFERROR(CORREL($X495:$AA495,$AB495:$AE495),"")</f>
        <v>0.4</v>
      </c>
      <c r="AH495" s="0" t="n">
        <f aca="false">IFERROR((SIGN($P495-$Q495)*SIGN($T495-$U495)+SIGN($P495-$R495)*SIGN($T495-$V495)+SIGN($P495-$S495)*SIGN($T495-$W495)+SIGN($Q495-$R495)*SIGN($U495-$V495)+SIGN($Q495-$S495)*SIGN($U495-$W495)+SIGN($R495-$S495)*SIGN($V495-$W495))/SQRT((6-(($P495=$Q495)*1+($P495=$R495)*1+($P495=$S495)*1+($Q495=$R495)*1+($Q495=$S495)*1+($R495=$S495)*1))*(6-(($T495=$U495)*1+($T495=$V495)*1+($T495=$W495)*1+($U495=$V495)*1+($U495=$W495)*1+($V495=$W495)*1))),"")</f>
        <v>0.333333333333333</v>
      </c>
      <c r="AI495" s="0" t="n">
        <f aca="false">MATCH(MAX($K495:$O495),$K495:$O495,0)</f>
        <v>4</v>
      </c>
      <c r="AJ495" s="0" t="n">
        <f aca="false">IF(AI495&lt;&gt;$E495,1,0)</f>
        <v>0</v>
      </c>
      <c r="AK495" s="0" t="str">
        <f aca="false">IF(AJ495=1,INDEX($F495:$J495,AI495)/MAX($P495:$S495),"")</f>
        <v/>
      </c>
      <c r="AL495" s="0" t="str">
        <f aca="false">IF(AJ495=1,1+COUNTIF($P495:$S495,"&gt;"&amp;INDEX($F495:$J495,AI495)),"")</f>
        <v/>
      </c>
      <c r="AM495" s="0" t="n">
        <f aca="false">AVERAGE($P495:$S495)/MAX($P495:$S495)</f>
        <v>0.588315217391304</v>
      </c>
      <c r="AN495" s="0" t="n">
        <f aca="false">100-INDEX($F495:$J495,$E495)</f>
        <v>61.7</v>
      </c>
    </row>
    <row r="496" customFormat="false" ht="15" hidden="false" customHeight="false" outlineLevel="0" collapsed="false">
      <c r="A496" s="0" t="s">
        <v>57</v>
      </c>
      <c r="B496" s="0" t="n">
        <v>2016</v>
      </c>
      <c r="C496" s="0" t="s">
        <v>46</v>
      </c>
      <c r="D496" s="0" t="s">
        <v>44</v>
      </c>
      <c r="E496" s="0" t="n">
        <v>4</v>
      </c>
      <c r="F496" s="0" t="n">
        <v>16.1</v>
      </c>
      <c r="G496" s="0" t="n">
        <v>5.9</v>
      </c>
      <c r="H496" s="0" t="n">
        <v>6</v>
      </c>
      <c r="I496" s="0" t="n">
        <v>39.8</v>
      </c>
      <c r="J496" s="0" t="n">
        <v>13.6</v>
      </c>
      <c r="K496" s="0" t="n">
        <v>21.0378882682</v>
      </c>
      <c r="L496" s="0" t="n">
        <v>12.2874870637</v>
      </c>
      <c r="M496" s="0" t="n">
        <v>30.5397848327</v>
      </c>
      <c r="N496" s="0" t="n">
        <v>18.4931360658</v>
      </c>
      <c r="O496" s="0" t="n">
        <v>17.6417037696</v>
      </c>
      <c r="P496" s="0" t="n">
        <f aca="false">INDEX($F496:$J496,IF(1&lt;$E496,1,1+1))</f>
        <v>16.1</v>
      </c>
      <c r="Q496" s="0" t="n">
        <f aca="false">INDEX($F496:$J496,IF(2&lt;$E496,2,2+1))</f>
        <v>5.9</v>
      </c>
      <c r="R496" s="0" t="n">
        <f aca="false">INDEX($F496:$J496,IF(3&lt;$E496,3,3+1))</f>
        <v>6</v>
      </c>
      <c r="S496" s="0" t="n">
        <f aca="false">INDEX($F496:$J496,IF(4&lt;$E496,4,4+1))</f>
        <v>13.6</v>
      </c>
      <c r="T496" s="0" t="n">
        <f aca="false">INDEX($K496:$O496,IF(1&lt;$E496,1,1+1))</f>
        <v>21.0378882682</v>
      </c>
      <c r="U496" s="0" t="n">
        <f aca="false">INDEX($K496:$O496,IF(2&lt;$E496,2,2+1))</f>
        <v>12.2874870637</v>
      </c>
      <c r="V496" s="0" t="n">
        <f aca="false">INDEX($K496:$O496,IF(3&lt;$E496,3,3+1))</f>
        <v>30.5397848327</v>
      </c>
      <c r="W496" s="0" t="n">
        <f aca="false">INDEX($K496:$O496,IF(4&lt;$E496,4,4+1))</f>
        <v>17.6417037696</v>
      </c>
      <c r="X496" s="0" t="n">
        <f aca="false">1+COUNTIF($P496:$S496,"&gt;"&amp;$P496)+(COUNTIF($P496:$S496,$P496)-1)/2</f>
        <v>1</v>
      </c>
      <c r="Y496" s="0" t="n">
        <f aca="false">1+COUNTIF($P496:$S496,"&gt;"&amp;$Q496)+(COUNTIF($P496:$S496,$Q496)-1)/2</f>
        <v>4</v>
      </c>
      <c r="Z496" s="0" t="n">
        <f aca="false">1+COUNTIF($P496:$S496,"&gt;"&amp;$R496)+(COUNTIF($P496:$S496,$R496)-1)/2</f>
        <v>3</v>
      </c>
      <c r="AA496" s="0" t="n">
        <f aca="false">1+COUNTIF($P496:$S496,"&gt;"&amp;$S496)+(COUNTIF($P496:$S496,$S496)-1)/2</f>
        <v>2</v>
      </c>
      <c r="AB496" s="0" t="n">
        <f aca="false">1+COUNTIF($T496:$W496,"&gt;"&amp;$T496)+(COUNTIF($T496:$W496,$T496)-1)/2</f>
        <v>2</v>
      </c>
      <c r="AC496" s="0" t="n">
        <f aca="false">1+COUNTIF($T496:$W496,"&gt;"&amp;$U496)+(COUNTIF($T496:$W496,$U496)-1)/2</f>
        <v>4</v>
      </c>
      <c r="AD496" s="0" t="n">
        <f aca="false">1+COUNTIF($T496:$W496,"&gt;"&amp;$V496)+(COUNTIF($T496:$W496,$V496)-1)/2</f>
        <v>1</v>
      </c>
      <c r="AE496" s="0" t="n">
        <f aca="false">1+COUNTIF($T496:$W496,"&gt;"&amp;$W496)+(COUNTIF($T496:$W496,$W496)-1)/2</f>
        <v>3</v>
      </c>
      <c r="AF496" s="0" t="n">
        <f aca="false">IFERROR(CORREL($P496:$S496,$T496:$W496),"")</f>
        <v>-0.110275371089387</v>
      </c>
      <c r="AG496" s="0" t="n">
        <f aca="false">IFERROR(CORREL($X496:$AA496,$AB496:$AE496),"")</f>
        <v>0.4</v>
      </c>
      <c r="AH496" s="0" t="n">
        <f aca="false">IFERROR((SIGN($P496-$Q496)*SIGN($T496-$U496)+SIGN($P496-$R496)*SIGN($T496-$V496)+SIGN($P496-$S496)*SIGN($T496-$W496)+SIGN($Q496-$R496)*SIGN($U496-$V496)+SIGN($Q496-$S496)*SIGN($U496-$W496)+SIGN($R496-$S496)*SIGN($V496-$W496))/SQRT((6-(($P496=$Q496)*1+($P496=$R496)*1+($P496=$S496)*1+($Q496=$R496)*1+($Q496=$S496)*1+($R496=$S496)*1))*(6-(($T496=$U496)*1+($T496=$V496)*1+($T496=$W496)*1+($U496=$V496)*1+($U496=$W496)*1+($V496=$W496)*1))),"")</f>
        <v>0.333333333333333</v>
      </c>
      <c r="AI496" s="0" t="n">
        <f aca="false">MATCH(MAX($K496:$O496),$K496:$O496,0)</f>
        <v>3</v>
      </c>
      <c r="AJ496" s="0" t="n">
        <f aca="false">IF(AI496&lt;&gt;$E496,1,0)</f>
        <v>1</v>
      </c>
      <c r="AK496" s="0" t="n">
        <f aca="false">IF(AJ496=1,INDEX($F496:$J496,AI496)/MAX($P496:$S496),"")</f>
        <v>0.372670807453416</v>
      </c>
      <c r="AL496" s="0" t="n">
        <f aca="false">IF(AJ496=1,1+COUNTIF($P496:$S496,"&gt;"&amp;INDEX($F496:$J496,AI496)),"")</f>
        <v>3</v>
      </c>
      <c r="AM496" s="0" t="n">
        <f aca="false">AVERAGE($P496:$S496)/MAX($P496:$S496)</f>
        <v>0.645962732919255</v>
      </c>
      <c r="AN496" s="0" t="n">
        <f aca="false">100-INDEX($F496:$J496,$E496)</f>
        <v>60.2</v>
      </c>
    </row>
    <row r="497" customFormat="false" ht="15" hidden="false" customHeight="false" outlineLevel="0" collapsed="false">
      <c r="A497" s="0" t="s">
        <v>57</v>
      </c>
      <c r="B497" s="0" t="n">
        <v>2015</v>
      </c>
      <c r="C497" s="0" t="s">
        <v>58</v>
      </c>
      <c r="D497" s="0" t="s">
        <v>42</v>
      </c>
      <c r="E497" s="0" t="n">
        <v>2</v>
      </c>
      <c r="F497" s="0" t="n">
        <v>8.3</v>
      </c>
      <c r="G497" s="0" t="n">
        <v>54.2</v>
      </c>
      <c r="H497" s="0" t="n">
        <v>15.2</v>
      </c>
      <c r="I497" s="0" t="n">
        <v>5.3</v>
      </c>
      <c r="J497" s="0" t="n">
        <v>6.5</v>
      </c>
      <c r="K497" s="0" t="n">
        <v>52.3283037617</v>
      </c>
      <c r="L497" s="0" t="n">
        <v>1.31477833526</v>
      </c>
      <c r="M497" s="0" t="n">
        <v>1.2156429806</v>
      </c>
      <c r="N497" s="0" t="n">
        <v>20.0985509984</v>
      </c>
      <c r="O497" s="0" t="n">
        <v>25.0427239241</v>
      </c>
      <c r="P497" s="0" t="n">
        <f aca="false">INDEX($F497:$J497,IF(1&lt;$E497,1,1+1))</f>
        <v>8.3</v>
      </c>
      <c r="Q497" s="0" t="n">
        <f aca="false">INDEX($F497:$J497,IF(2&lt;$E497,2,2+1))</f>
        <v>15.2</v>
      </c>
      <c r="R497" s="0" t="n">
        <f aca="false">INDEX($F497:$J497,IF(3&lt;$E497,3,3+1))</f>
        <v>5.3</v>
      </c>
      <c r="S497" s="0" t="n">
        <f aca="false">INDEX($F497:$J497,IF(4&lt;$E497,4,4+1))</f>
        <v>6.5</v>
      </c>
      <c r="T497" s="0" t="n">
        <f aca="false">INDEX($K497:$O497,IF(1&lt;$E497,1,1+1))</f>
        <v>52.3283037617</v>
      </c>
      <c r="U497" s="0" t="n">
        <f aca="false">INDEX($K497:$O497,IF(2&lt;$E497,2,2+1))</f>
        <v>1.2156429806</v>
      </c>
      <c r="V497" s="0" t="n">
        <f aca="false">INDEX($K497:$O497,IF(3&lt;$E497,3,3+1))</f>
        <v>20.0985509984</v>
      </c>
      <c r="W497" s="0" t="n">
        <f aca="false">INDEX($K497:$O497,IF(4&lt;$E497,4,4+1))</f>
        <v>25.0427239241</v>
      </c>
      <c r="X497" s="0" t="n">
        <f aca="false">1+COUNTIF($P497:$S497,"&gt;"&amp;$P497)+(COUNTIF($P497:$S497,$P497)-1)/2</f>
        <v>2</v>
      </c>
      <c r="Y497" s="0" t="n">
        <f aca="false">1+COUNTIF($P497:$S497,"&gt;"&amp;$Q497)+(COUNTIF($P497:$S497,$Q497)-1)/2</f>
        <v>1</v>
      </c>
      <c r="Z497" s="0" t="n">
        <f aca="false">1+COUNTIF($P497:$S497,"&gt;"&amp;$R497)+(COUNTIF($P497:$S497,$R497)-1)/2</f>
        <v>4</v>
      </c>
      <c r="AA497" s="0" t="n">
        <f aca="false">1+COUNTIF($P497:$S497,"&gt;"&amp;$S497)+(COUNTIF($P497:$S497,$S497)-1)/2</f>
        <v>3</v>
      </c>
      <c r="AB497" s="0" t="n">
        <f aca="false">1+COUNTIF($T497:$W497,"&gt;"&amp;$T497)+(COUNTIF($T497:$W497,$T497)-1)/2</f>
        <v>1</v>
      </c>
      <c r="AC497" s="0" t="n">
        <f aca="false">1+COUNTIF($T497:$W497,"&gt;"&amp;$U497)+(COUNTIF($T497:$W497,$U497)-1)/2</f>
        <v>4</v>
      </c>
      <c r="AD497" s="0" t="n">
        <f aca="false">1+COUNTIF($T497:$W497,"&gt;"&amp;$V497)+(COUNTIF($T497:$W497,$V497)-1)/2</f>
        <v>3</v>
      </c>
      <c r="AE497" s="0" t="n">
        <f aca="false">1+COUNTIF($T497:$W497,"&gt;"&amp;$W497)+(COUNTIF($T497:$W497,$W497)-1)/2</f>
        <v>2</v>
      </c>
      <c r="AF497" s="0" t="n">
        <f aca="false">IFERROR(CORREL($P497:$S497,$T497:$W497),"")</f>
        <v>-0.531089994672244</v>
      </c>
      <c r="AG497" s="0" t="n">
        <f aca="false">IFERROR(CORREL($X497:$AA497,$AB497:$AE497),"")</f>
        <v>-0.2</v>
      </c>
      <c r="AH497" s="0" t="n">
        <f aca="false">IFERROR((SIGN($P497-$Q497)*SIGN($T497-$U497)+SIGN($P497-$R497)*SIGN($T497-$V497)+SIGN($P497-$S497)*SIGN($T497-$W497)+SIGN($Q497-$R497)*SIGN($U497-$V497)+SIGN($Q497-$S497)*SIGN($U497-$W497)+SIGN($R497-$S497)*SIGN($V497-$W497))/SQRT((6-(($P497=$Q497)*1+($P497=$R497)*1+($P497=$S497)*1+($Q497=$R497)*1+($Q497=$S497)*1+($R497=$S497)*1))*(6-(($T497=$U497)*1+($T497=$V497)*1+($T497=$W497)*1+($U497=$V497)*1+($U497=$W497)*1+($V497=$W497)*1))),"")</f>
        <v>0</v>
      </c>
      <c r="AI497" s="0" t="n">
        <f aca="false">MATCH(MAX($K497:$O497),$K497:$O497,0)</f>
        <v>1</v>
      </c>
      <c r="AJ497" s="0" t="n">
        <f aca="false">IF(AI497&lt;&gt;$E497,1,0)</f>
        <v>1</v>
      </c>
      <c r="AK497" s="0" t="n">
        <f aca="false">IF(AJ497=1,INDEX($F497:$J497,AI497)/MAX($P497:$S497),"")</f>
        <v>0.546052631578948</v>
      </c>
      <c r="AL497" s="0" t="n">
        <f aca="false">IF(AJ497=1,1+COUNTIF($P497:$S497,"&gt;"&amp;INDEX($F497:$J497,AI497)),"")</f>
        <v>2</v>
      </c>
      <c r="AM497" s="0" t="n">
        <f aca="false">AVERAGE($P497:$S497)/MAX($P497:$S497)</f>
        <v>0.580592105263158</v>
      </c>
      <c r="AN497" s="0" t="n">
        <f aca="false">100-INDEX($F497:$J497,$E497)</f>
        <v>45.8</v>
      </c>
    </row>
    <row r="498" customFormat="false" ht="15" hidden="false" customHeight="false" outlineLevel="0" collapsed="false">
      <c r="A498" s="0" t="s">
        <v>57</v>
      </c>
      <c r="B498" s="0" t="n">
        <v>2015</v>
      </c>
      <c r="C498" s="0" t="s">
        <v>58</v>
      </c>
      <c r="D498" s="0" t="s">
        <v>43</v>
      </c>
      <c r="E498" s="0" t="n">
        <v>2</v>
      </c>
      <c r="F498" s="0" t="n">
        <v>14.2</v>
      </c>
      <c r="G498" s="0" t="n">
        <v>40.5</v>
      </c>
      <c r="H498" s="0" t="n">
        <v>19.9</v>
      </c>
      <c r="I498" s="0" t="n">
        <v>6.4</v>
      </c>
      <c r="J498" s="0" t="n">
        <v>8.3</v>
      </c>
      <c r="K498" s="0" t="n">
        <v>23.5296313793</v>
      </c>
      <c r="L498" s="0" t="n">
        <v>50.7665675453</v>
      </c>
      <c r="M498" s="0" t="n">
        <v>2.23148918423</v>
      </c>
      <c r="N498" s="0" t="n">
        <v>4.24071289857</v>
      </c>
      <c r="O498" s="0" t="n">
        <v>19.2315989926</v>
      </c>
      <c r="P498" s="0" t="n">
        <f aca="false">INDEX($F498:$J498,IF(1&lt;$E498,1,1+1))</f>
        <v>14.2</v>
      </c>
      <c r="Q498" s="0" t="n">
        <f aca="false">INDEX($F498:$J498,IF(2&lt;$E498,2,2+1))</f>
        <v>19.9</v>
      </c>
      <c r="R498" s="0" t="n">
        <f aca="false">INDEX($F498:$J498,IF(3&lt;$E498,3,3+1))</f>
        <v>6.4</v>
      </c>
      <c r="S498" s="0" t="n">
        <f aca="false">INDEX($F498:$J498,IF(4&lt;$E498,4,4+1))</f>
        <v>8.3</v>
      </c>
      <c r="T498" s="0" t="n">
        <f aca="false">INDEX($K498:$O498,IF(1&lt;$E498,1,1+1))</f>
        <v>23.5296313793</v>
      </c>
      <c r="U498" s="0" t="n">
        <f aca="false">INDEX($K498:$O498,IF(2&lt;$E498,2,2+1))</f>
        <v>2.23148918423</v>
      </c>
      <c r="V498" s="0" t="n">
        <f aca="false">INDEX($K498:$O498,IF(3&lt;$E498,3,3+1))</f>
        <v>4.24071289857</v>
      </c>
      <c r="W498" s="0" t="n">
        <f aca="false">INDEX($K498:$O498,IF(4&lt;$E498,4,4+1))</f>
        <v>19.2315989926</v>
      </c>
      <c r="X498" s="0" t="n">
        <f aca="false">1+COUNTIF($P498:$S498,"&gt;"&amp;$P498)+(COUNTIF($P498:$S498,$P498)-1)/2</f>
        <v>2</v>
      </c>
      <c r="Y498" s="0" t="n">
        <f aca="false">1+COUNTIF($P498:$S498,"&gt;"&amp;$Q498)+(COUNTIF($P498:$S498,$Q498)-1)/2</f>
        <v>1</v>
      </c>
      <c r="Z498" s="0" t="n">
        <f aca="false">1+COUNTIF($P498:$S498,"&gt;"&amp;$R498)+(COUNTIF($P498:$S498,$R498)-1)/2</f>
        <v>4</v>
      </c>
      <c r="AA498" s="0" t="n">
        <f aca="false">1+COUNTIF($P498:$S498,"&gt;"&amp;$S498)+(COUNTIF($P498:$S498,$S498)-1)/2</f>
        <v>3</v>
      </c>
      <c r="AB498" s="0" t="n">
        <f aca="false">1+COUNTIF($T498:$W498,"&gt;"&amp;$T498)+(COUNTIF($T498:$W498,$T498)-1)/2</f>
        <v>1</v>
      </c>
      <c r="AC498" s="0" t="n">
        <f aca="false">1+COUNTIF($T498:$W498,"&gt;"&amp;$U498)+(COUNTIF($T498:$W498,$U498)-1)/2</f>
        <v>4</v>
      </c>
      <c r="AD498" s="0" t="n">
        <f aca="false">1+COUNTIF($T498:$W498,"&gt;"&amp;$V498)+(COUNTIF($T498:$W498,$V498)-1)/2</f>
        <v>3</v>
      </c>
      <c r="AE498" s="0" t="n">
        <f aca="false">1+COUNTIF($T498:$W498,"&gt;"&amp;$W498)+(COUNTIF($T498:$W498,$W498)-1)/2</f>
        <v>2</v>
      </c>
      <c r="AF498" s="0" t="n">
        <f aca="false">IFERROR(CORREL($P498:$S498,$T498:$W498),"")</f>
        <v>-0.180949843809579</v>
      </c>
      <c r="AG498" s="0" t="n">
        <f aca="false">IFERROR(CORREL($X498:$AA498,$AB498:$AE498),"")</f>
        <v>-0.2</v>
      </c>
      <c r="AH498" s="0" t="n">
        <f aca="false">IFERROR((SIGN($P498-$Q498)*SIGN($T498-$U498)+SIGN($P498-$R498)*SIGN($T498-$V498)+SIGN($P498-$S498)*SIGN($T498-$W498)+SIGN($Q498-$R498)*SIGN($U498-$V498)+SIGN($Q498-$S498)*SIGN($U498-$W498)+SIGN($R498-$S498)*SIGN($V498-$W498))/SQRT((6-(($P498=$Q498)*1+($P498=$R498)*1+($P498=$S498)*1+($Q498=$R498)*1+($Q498=$S498)*1+($R498=$S498)*1))*(6-(($T498=$U498)*1+($T498=$V498)*1+($T498=$W498)*1+($U498=$V498)*1+($U498=$W498)*1+($V498=$W498)*1))),"")</f>
        <v>0</v>
      </c>
      <c r="AI498" s="0" t="n">
        <f aca="false">MATCH(MAX($K498:$O498),$K498:$O498,0)</f>
        <v>2</v>
      </c>
      <c r="AJ498" s="0" t="n">
        <f aca="false">IF(AI498&lt;&gt;$E498,1,0)</f>
        <v>0</v>
      </c>
      <c r="AK498" s="0" t="str">
        <f aca="false">IF(AJ498=1,INDEX($F498:$J498,AI498)/MAX($P498:$S498),"")</f>
        <v/>
      </c>
      <c r="AL498" s="0" t="str">
        <f aca="false">IF(AJ498=1,1+COUNTIF($P498:$S498,"&gt;"&amp;INDEX($F498:$J498,AI498)),"")</f>
        <v/>
      </c>
      <c r="AM498" s="0" t="n">
        <f aca="false">AVERAGE($P498:$S498)/MAX($P498:$S498)</f>
        <v>0.613065326633166</v>
      </c>
      <c r="AN498" s="0" t="n">
        <f aca="false">100-INDEX($F498:$J498,$E498)</f>
        <v>59.5</v>
      </c>
    </row>
    <row r="499" customFormat="false" ht="15" hidden="false" customHeight="false" outlineLevel="0" collapsed="false">
      <c r="A499" s="0" t="s">
        <v>57</v>
      </c>
      <c r="B499" s="0" t="n">
        <v>2015</v>
      </c>
      <c r="C499" s="0" t="s">
        <v>58</v>
      </c>
      <c r="D499" s="0" t="s">
        <v>44</v>
      </c>
      <c r="E499" s="0" t="n">
        <v>5</v>
      </c>
      <c r="F499" s="0" t="n">
        <v>9.9</v>
      </c>
      <c r="G499" s="0" t="n">
        <v>13.1</v>
      </c>
      <c r="H499" s="0" t="n">
        <v>13.6</v>
      </c>
      <c r="I499" s="0" t="n">
        <v>9.7</v>
      </c>
      <c r="J499" s="0" t="n">
        <v>42.8</v>
      </c>
      <c r="K499" s="0" t="n">
        <v>7.47767338325</v>
      </c>
      <c r="L499" s="0" t="n">
        <v>6.67186203997</v>
      </c>
      <c r="M499" s="0" t="n">
        <v>12.5193647721</v>
      </c>
      <c r="N499" s="0" t="n">
        <v>3.16562301045</v>
      </c>
      <c r="O499" s="0" t="n">
        <v>70.1654767943</v>
      </c>
      <c r="P499" s="0" t="n">
        <f aca="false">INDEX($F499:$J499,IF(1&lt;$E499,1,1+1))</f>
        <v>9.9</v>
      </c>
      <c r="Q499" s="0" t="n">
        <f aca="false">INDEX($F499:$J499,IF(2&lt;$E499,2,2+1))</f>
        <v>13.1</v>
      </c>
      <c r="R499" s="0" t="n">
        <f aca="false">INDEX($F499:$J499,IF(3&lt;$E499,3,3+1))</f>
        <v>13.6</v>
      </c>
      <c r="S499" s="0" t="n">
        <f aca="false">INDEX($F499:$J499,IF(4&lt;$E499,4,4+1))</f>
        <v>9.7</v>
      </c>
      <c r="T499" s="0" t="n">
        <f aca="false">INDEX($K499:$O499,IF(1&lt;$E499,1,1+1))</f>
        <v>7.47767338325</v>
      </c>
      <c r="U499" s="0" t="n">
        <f aca="false">INDEX($K499:$O499,IF(2&lt;$E499,2,2+1))</f>
        <v>6.67186203997</v>
      </c>
      <c r="V499" s="0" t="n">
        <f aca="false">INDEX($K499:$O499,IF(3&lt;$E499,3,3+1))</f>
        <v>12.5193647721</v>
      </c>
      <c r="W499" s="0" t="n">
        <f aca="false">INDEX($K499:$O499,IF(4&lt;$E499,4,4+1))</f>
        <v>3.16562301045</v>
      </c>
      <c r="X499" s="0" t="n">
        <f aca="false">1+COUNTIF($P499:$S499,"&gt;"&amp;$P499)+(COUNTIF($P499:$S499,$P499)-1)/2</f>
        <v>3</v>
      </c>
      <c r="Y499" s="0" t="n">
        <f aca="false">1+COUNTIF($P499:$S499,"&gt;"&amp;$Q499)+(COUNTIF($P499:$S499,$Q499)-1)/2</f>
        <v>2</v>
      </c>
      <c r="Z499" s="0" t="n">
        <f aca="false">1+COUNTIF($P499:$S499,"&gt;"&amp;$R499)+(COUNTIF($P499:$S499,$R499)-1)/2</f>
        <v>1</v>
      </c>
      <c r="AA499" s="0" t="n">
        <f aca="false">1+COUNTIF($P499:$S499,"&gt;"&amp;$S499)+(COUNTIF($P499:$S499,$S499)-1)/2</f>
        <v>4</v>
      </c>
      <c r="AB499" s="0" t="n">
        <f aca="false">1+COUNTIF($T499:$W499,"&gt;"&amp;$T499)+(COUNTIF($T499:$W499,$T499)-1)/2</f>
        <v>2</v>
      </c>
      <c r="AC499" s="0" t="n">
        <f aca="false">1+COUNTIF($T499:$W499,"&gt;"&amp;$U499)+(COUNTIF($T499:$W499,$U499)-1)/2</f>
        <v>3</v>
      </c>
      <c r="AD499" s="0" t="n">
        <f aca="false">1+COUNTIF($T499:$W499,"&gt;"&amp;$V499)+(COUNTIF($T499:$W499,$V499)-1)/2</f>
        <v>1</v>
      </c>
      <c r="AE499" s="0" t="n">
        <f aca="false">1+COUNTIF($T499:$W499,"&gt;"&amp;$W499)+(COUNTIF($T499:$W499,$W499)-1)/2</f>
        <v>4</v>
      </c>
      <c r="AF499" s="0" t="n">
        <f aca="false">IFERROR(CORREL($P499:$S499,$T499:$W499),"")</f>
        <v>0.715236438042706</v>
      </c>
      <c r="AG499" s="0" t="n">
        <f aca="false">IFERROR(CORREL($X499:$AA499,$AB499:$AE499),"")</f>
        <v>0.8</v>
      </c>
      <c r="AH499" s="0" t="n">
        <f aca="false">IFERROR((SIGN($P499-$Q499)*SIGN($T499-$U499)+SIGN($P499-$R499)*SIGN($T499-$V499)+SIGN($P499-$S499)*SIGN($T499-$W499)+SIGN($Q499-$R499)*SIGN($U499-$V499)+SIGN($Q499-$S499)*SIGN($U499-$W499)+SIGN($R499-$S499)*SIGN($V499-$W499))/SQRT((6-(($P499=$Q499)*1+($P499=$R499)*1+($P499=$S499)*1+($Q499=$R499)*1+($Q499=$S499)*1+($R499=$S499)*1))*(6-(($T499=$U499)*1+($T499=$V499)*1+($T499=$W499)*1+($U499=$V499)*1+($U499=$W499)*1+($V499=$W499)*1))),"")</f>
        <v>0.666666666666667</v>
      </c>
      <c r="AI499" s="0" t="n">
        <f aca="false">MATCH(MAX($K499:$O499),$K499:$O499,0)</f>
        <v>5</v>
      </c>
      <c r="AJ499" s="0" t="n">
        <f aca="false">IF(AI499&lt;&gt;$E499,1,0)</f>
        <v>0</v>
      </c>
      <c r="AK499" s="0" t="str">
        <f aca="false">IF(AJ499=1,INDEX($F499:$J499,AI499)/MAX($P499:$S499),"")</f>
        <v/>
      </c>
      <c r="AL499" s="0" t="str">
        <f aca="false">IF(AJ499=1,1+COUNTIF($P499:$S499,"&gt;"&amp;INDEX($F499:$J499,AI499)),"")</f>
        <v/>
      </c>
      <c r="AM499" s="0" t="n">
        <f aca="false">AVERAGE($P499:$S499)/MAX($P499:$S499)</f>
        <v>0.851102941176471</v>
      </c>
      <c r="AN499" s="0" t="n">
        <f aca="false">100-INDEX($F499:$J499,$E499)</f>
        <v>57.2</v>
      </c>
    </row>
    <row r="500" customFormat="false" ht="15" hidden="false" customHeight="false" outlineLevel="0" collapsed="false">
      <c r="A500" s="0" t="s">
        <v>57</v>
      </c>
      <c r="B500" s="0" t="n">
        <v>2015</v>
      </c>
      <c r="C500" s="0" t="s">
        <v>49</v>
      </c>
      <c r="D500" s="0" t="s">
        <v>42</v>
      </c>
      <c r="E500" s="0" t="n">
        <v>4</v>
      </c>
      <c r="F500" s="0" t="n">
        <v>7</v>
      </c>
      <c r="G500" s="0" t="n">
        <v>9.7</v>
      </c>
      <c r="H500" s="0" t="n">
        <v>25.6</v>
      </c>
      <c r="I500" s="0" t="n">
        <v>34.6</v>
      </c>
      <c r="J500" s="0" t="n">
        <v>9.3</v>
      </c>
      <c r="K500" s="0" t="n">
        <v>0.289100113242</v>
      </c>
      <c r="L500" s="0" t="n">
        <v>9.23134638388</v>
      </c>
      <c r="M500" s="0" t="n">
        <v>61.7574414391</v>
      </c>
      <c r="N500" s="0" t="n">
        <v>18.1166095253</v>
      </c>
      <c r="O500" s="0" t="n">
        <v>10.6055025385</v>
      </c>
      <c r="P500" s="0" t="n">
        <f aca="false">INDEX($F500:$J500,IF(1&lt;$E500,1,1+1))</f>
        <v>7</v>
      </c>
      <c r="Q500" s="0" t="n">
        <f aca="false">INDEX($F500:$J500,IF(2&lt;$E500,2,2+1))</f>
        <v>9.7</v>
      </c>
      <c r="R500" s="0" t="n">
        <f aca="false">INDEX($F500:$J500,IF(3&lt;$E500,3,3+1))</f>
        <v>25.6</v>
      </c>
      <c r="S500" s="0" t="n">
        <f aca="false">INDEX($F500:$J500,IF(4&lt;$E500,4,4+1))</f>
        <v>9.3</v>
      </c>
      <c r="T500" s="0" t="n">
        <f aca="false">INDEX($K500:$O500,IF(1&lt;$E500,1,1+1))</f>
        <v>0.289100113242</v>
      </c>
      <c r="U500" s="0" t="n">
        <f aca="false">INDEX($K500:$O500,IF(2&lt;$E500,2,2+1))</f>
        <v>9.23134638388</v>
      </c>
      <c r="V500" s="0" t="n">
        <f aca="false">INDEX($K500:$O500,IF(3&lt;$E500,3,3+1))</f>
        <v>61.7574414391</v>
      </c>
      <c r="W500" s="0" t="n">
        <f aca="false">INDEX($K500:$O500,IF(4&lt;$E500,4,4+1))</f>
        <v>10.6055025385</v>
      </c>
      <c r="X500" s="0" t="n">
        <f aca="false">1+COUNTIF($P500:$S500,"&gt;"&amp;$P500)+(COUNTIF($P500:$S500,$P500)-1)/2</f>
        <v>4</v>
      </c>
      <c r="Y500" s="0" t="n">
        <f aca="false">1+COUNTIF($P500:$S500,"&gt;"&amp;$Q500)+(COUNTIF($P500:$S500,$Q500)-1)/2</f>
        <v>2</v>
      </c>
      <c r="Z500" s="0" t="n">
        <f aca="false">1+COUNTIF($P500:$S500,"&gt;"&amp;$R500)+(COUNTIF($P500:$S500,$R500)-1)/2</f>
        <v>1</v>
      </c>
      <c r="AA500" s="0" t="n">
        <f aca="false">1+COUNTIF($P500:$S500,"&gt;"&amp;$S500)+(COUNTIF($P500:$S500,$S500)-1)/2</f>
        <v>3</v>
      </c>
      <c r="AB500" s="0" t="n">
        <f aca="false">1+COUNTIF($T500:$W500,"&gt;"&amp;$T500)+(COUNTIF($T500:$W500,$T500)-1)/2</f>
        <v>4</v>
      </c>
      <c r="AC500" s="0" t="n">
        <f aca="false">1+COUNTIF($T500:$W500,"&gt;"&amp;$U500)+(COUNTIF($T500:$W500,$U500)-1)/2</f>
        <v>3</v>
      </c>
      <c r="AD500" s="0" t="n">
        <f aca="false">1+COUNTIF($T500:$W500,"&gt;"&amp;$V500)+(COUNTIF($T500:$W500,$V500)-1)/2</f>
        <v>1</v>
      </c>
      <c r="AE500" s="0" t="n">
        <f aca="false">1+COUNTIF($T500:$W500,"&gt;"&amp;$W500)+(COUNTIF($T500:$W500,$W500)-1)/2</f>
        <v>2</v>
      </c>
      <c r="AF500" s="0" t="n">
        <f aca="false">IFERROR(CORREL($P500:$S500,$T500:$W500),"")</f>
        <v>0.998915517987659</v>
      </c>
      <c r="AG500" s="0" t="n">
        <f aca="false">IFERROR(CORREL($X500:$AA500,$AB500:$AE500),"")</f>
        <v>0.8</v>
      </c>
      <c r="AH500" s="0" t="n">
        <f aca="false">IFERROR((SIGN($P500-$Q500)*SIGN($T500-$U500)+SIGN($P500-$R500)*SIGN($T500-$V500)+SIGN($P500-$S500)*SIGN($T500-$W500)+SIGN($Q500-$R500)*SIGN($U500-$V500)+SIGN($Q500-$S500)*SIGN($U500-$W500)+SIGN($R500-$S500)*SIGN($V500-$W500))/SQRT((6-(($P500=$Q500)*1+($P500=$R500)*1+($P500=$S500)*1+($Q500=$R500)*1+($Q500=$S500)*1+($R500=$S500)*1))*(6-(($T500=$U500)*1+($T500=$V500)*1+($T500=$W500)*1+($U500=$V500)*1+($U500=$W500)*1+($V500=$W500)*1))),"")</f>
        <v>0.666666666666667</v>
      </c>
      <c r="AI500" s="0" t="n">
        <f aca="false">MATCH(MAX($K500:$O500),$K500:$O500,0)</f>
        <v>3</v>
      </c>
      <c r="AJ500" s="0" t="n">
        <f aca="false">IF(AI500&lt;&gt;$E500,1,0)</f>
        <v>1</v>
      </c>
      <c r="AK500" s="0" t="n">
        <f aca="false">IF(AJ500=1,INDEX($F500:$J500,AI500)/MAX($P500:$S500),"")</f>
        <v>1</v>
      </c>
      <c r="AL500" s="0" t="n">
        <f aca="false">IF(AJ500=1,1+COUNTIF($P500:$S500,"&gt;"&amp;INDEX($F500:$J500,AI500)),"")</f>
        <v>1</v>
      </c>
      <c r="AM500" s="0" t="n">
        <f aca="false">AVERAGE($P500:$S500)/MAX($P500:$S500)</f>
        <v>0.50390625</v>
      </c>
      <c r="AN500" s="0" t="n">
        <f aca="false">100-INDEX($F500:$J500,$E500)</f>
        <v>65.4</v>
      </c>
    </row>
    <row r="501" customFormat="false" ht="15" hidden="false" customHeight="false" outlineLevel="0" collapsed="false">
      <c r="A501" s="0" t="s">
        <v>57</v>
      </c>
      <c r="B501" s="0" t="n">
        <v>2015</v>
      </c>
      <c r="C501" s="0" t="s">
        <v>49</v>
      </c>
      <c r="D501" s="0" t="s">
        <v>43</v>
      </c>
      <c r="E501" s="0" t="n">
        <v>2</v>
      </c>
      <c r="F501" s="0" t="n">
        <v>9.9</v>
      </c>
      <c r="G501" s="0" t="n">
        <v>26.2</v>
      </c>
      <c r="H501" s="0" t="n">
        <v>23.6</v>
      </c>
      <c r="I501" s="0" t="n">
        <v>14.3</v>
      </c>
      <c r="J501" s="0" t="n">
        <v>12</v>
      </c>
      <c r="K501" s="0" t="n">
        <v>24.0178109712</v>
      </c>
      <c r="L501" s="0" t="n">
        <v>5.63467641289</v>
      </c>
      <c r="M501" s="0" t="n">
        <v>8.99069573844</v>
      </c>
      <c r="N501" s="0" t="n">
        <v>2.60617283298</v>
      </c>
      <c r="O501" s="0" t="n">
        <v>58.7506440445</v>
      </c>
      <c r="P501" s="0" t="n">
        <f aca="false">INDEX($F501:$J501,IF(1&lt;$E501,1,1+1))</f>
        <v>9.9</v>
      </c>
      <c r="Q501" s="0" t="n">
        <f aca="false">INDEX($F501:$J501,IF(2&lt;$E501,2,2+1))</f>
        <v>23.6</v>
      </c>
      <c r="R501" s="0" t="n">
        <f aca="false">INDEX($F501:$J501,IF(3&lt;$E501,3,3+1))</f>
        <v>14.3</v>
      </c>
      <c r="S501" s="0" t="n">
        <f aca="false">INDEX($F501:$J501,IF(4&lt;$E501,4,4+1))</f>
        <v>12</v>
      </c>
      <c r="T501" s="0" t="n">
        <f aca="false">INDEX($K501:$O501,IF(1&lt;$E501,1,1+1))</f>
        <v>24.0178109712</v>
      </c>
      <c r="U501" s="0" t="n">
        <f aca="false">INDEX($K501:$O501,IF(2&lt;$E501,2,2+1))</f>
        <v>8.99069573844</v>
      </c>
      <c r="V501" s="0" t="n">
        <f aca="false">INDEX($K501:$O501,IF(3&lt;$E501,3,3+1))</f>
        <v>2.60617283298</v>
      </c>
      <c r="W501" s="0" t="n">
        <f aca="false">INDEX($K501:$O501,IF(4&lt;$E501,4,4+1))</f>
        <v>58.7506440445</v>
      </c>
      <c r="X501" s="0" t="n">
        <f aca="false">1+COUNTIF($P501:$S501,"&gt;"&amp;$P501)+(COUNTIF($P501:$S501,$P501)-1)/2</f>
        <v>4</v>
      </c>
      <c r="Y501" s="0" t="n">
        <f aca="false">1+COUNTIF($P501:$S501,"&gt;"&amp;$Q501)+(COUNTIF($P501:$S501,$Q501)-1)/2</f>
        <v>1</v>
      </c>
      <c r="Z501" s="0" t="n">
        <f aca="false">1+COUNTIF($P501:$S501,"&gt;"&amp;$R501)+(COUNTIF($P501:$S501,$R501)-1)/2</f>
        <v>2</v>
      </c>
      <c r="AA501" s="0" t="n">
        <f aca="false">1+COUNTIF($P501:$S501,"&gt;"&amp;$S501)+(COUNTIF($P501:$S501,$S501)-1)/2</f>
        <v>3</v>
      </c>
      <c r="AB501" s="0" t="n">
        <f aca="false">1+COUNTIF($T501:$W501,"&gt;"&amp;$T501)+(COUNTIF($T501:$W501,$T501)-1)/2</f>
        <v>2</v>
      </c>
      <c r="AC501" s="0" t="n">
        <f aca="false">1+COUNTIF($T501:$W501,"&gt;"&amp;$U501)+(COUNTIF($T501:$W501,$U501)-1)/2</f>
        <v>3</v>
      </c>
      <c r="AD501" s="0" t="n">
        <f aca="false">1+COUNTIF($T501:$W501,"&gt;"&amp;$V501)+(COUNTIF($T501:$W501,$V501)-1)/2</f>
        <v>4</v>
      </c>
      <c r="AE501" s="0" t="n">
        <f aca="false">1+COUNTIF($T501:$W501,"&gt;"&amp;$W501)+(COUNTIF($T501:$W501,$W501)-1)/2</f>
        <v>1</v>
      </c>
      <c r="AF501" s="0" t="n">
        <f aca="false">IFERROR(CORREL($P501:$S501,$T501:$W501),"")</f>
        <v>-0.48048494822572</v>
      </c>
      <c r="AG501" s="0" t="n">
        <f aca="false">IFERROR(CORREL($X501:$AA501,$AB501:$AE501),"")</f>
        <v>-0.6</v>
      </c>
      <c r="AH501" s="0" t="n">
        <f aca="false">IFERROR((SIGN($P501-$Q501)*SIGN($T501-$U501)+SIGN($P501-$R501)*SIGN($T501-$V501)+SIGN($P501-$S501)*SIGN($T501-$W501)+SIGN($Q501-$R501)*SIGN($U501-$V501)+SIGN($Q501-$S501)*SIGN($U501-$W501)+SIGN($R501-$S501)*SIGN($V501-$W501))/SQRT((6-(($P501=$Q501)*1+($P501=$R501)*1+($P501=$S501)*1+($Q501=$R501)*1+($Q501=$S501)*1+($R501=$S501)*1))*(6-(($T501=$U501)*1+($T501=$V501)*1+($T501=$W501)*1+($U501=$V501)*1+($U501=$W501)*1+($V501=$W501)*1))),"")</f>
        <v>-0.333333333333333</v>
      </c>
      <c r="AI501" s="0" t="n">
        <f aca="false">MATCH(MAX($K501:$O501),$K501:$O501,0)</f>
        <v>5</v>
      </c>
      <c r="AJ501" s="0" t="n">
        <f aca="false">IF(AI501&lt;&gt;$E501,1,0)</f>
        <v>1</v>
      </c>
      <c r="AK501" s="0" t="n">
        <f aca="false">IF(AJ501=1,INDEX($F501:$J501,AI501)/MAX($P501:$S501),"")</f>
        <v>0.508474576271186</v>
      </c>
      <c r="AL501" s="0" t="n">
        <f aca="false">IF(AJ501=1,1+COUNTIF($P501:$S501,"&gt;"&amp;INDEX($F501:$J501,AI501)),"")</f>
        <v>3</v>
      </c>
      <c r="AM501" s="0" t="n">
        <f aca="false">AVERAGE($P501:$S501)/MAX($P501:$S501)</f>
        <v>0.633474576271186</v>
      </c>
      <c r="AN501" s="0" t="n">
        <f aca="false">100-INDEX($F501:$J501,$E501)</f>
        <v>73.8</v>
      </c>
    </row>
    <row r="502" customFormat="false" ht="15" hidden="false" customHeight="false" outlineLevel="0" collapsed="false">
      <c r="A502" s="0" t="s">
        <v>57</v>
      </c>
      <c r="B502" s="0" t="n">
        <v>2015</v>
      </c>
      <c r="C502" s="0" t="s">
        <v>49</v>
      </c>
      <c r="D502" s="0" t="s">
        <v>44</v>
      </c>
      <c r="E502" s="0" t="n">
        <v>3</v>
      </c>
      <c r="F502" s="0" t="n">
        <v>13</v>
      </c>
      <c r="G502" s="0" t="n">
        <v>12.3</v>
      </c>
      <c r="H502" s="0" t="n">
        <v>32.8</v>
      </c>
      <c r="I502" s="0" t="n">
        <v>10.4</v>
      </c>
      <c r="J502" s="0" t="n">
        <v>16.9</v>
      </c>
      <c r="K502" s="0" t="n">
        <v>0.0414387483373</v>
      </c>
      <c r="L502" s="0" t="n">
        <v>16.506064033</v>
      </c>
      <c r="M502" s="0" t="n">
        <v>2.40915002466</v>
      </c>
      <c r="N502" s="0" t="n">
        <v>64.178770085</v>
      </c>
      <c r="O502" s="0" t="n">
        <v>16.8645771091</v>
      </c>
      <c r="P502" s="0" t="n">
        <f aca="false">INDEX($F502:$J502,IF(1&lt;$E502,1,1+1))</f>
        <v>13</v>
      </c>
      <c r="Q502" s="0" t="n">
        <f aca="false">INDEX($F502:$J502,IF(2&lt;$E502,2,2+1))</f>
        <v>12.3</v>
      </c>
      <c r="R502" s="0" t="n">
        <f aca="false">INDEX($F502:$J502,IF(3&lt;$E502,3,3+1))</f>
        <v>10.4</v>
      </c>
      <c r="S502" s="0" t="n">
        <f aca="false">INDEX($F502:$J502,IF(4&lt;$E502,4,4+1))</f>
        <v>16.9</v>
      </c>
      <c r="T502" s="0" t="n">
        <f aca="false">INDEX($K502:$O502,IF(1&lt;$E502,1,1+1))</f>
        <v>0.0414387483373</v>
      </c>
      <c r="U502" s="0" t="n">
        <f aca="false">INDEX($K502:$O502,IF(2&lt;$E502,2,2+1))</f>
        <v>16.506064033</v>
      </c>
      <c r="V502" s="0" t="n">
        <f aca="false">INDEX($K502:$O502,IF(3&lt;$E502,3,3+1))</f>
        <v>64.178770085</v>
      </c>
      <c r="W502" s="0" t="n">
        <f aca="false">INDEX($K502:$O502,IF(4&lt;$E502,4,4+1))</f>
        <v>16.8645771091</v>
      </c>
      <c r="X502" s="0" t="n">
        <f aca="false">1+COUNTIF($P502:$S502,"&gt;"&amp;$P502)+(COUNTIF($P502:$S502,$P502)-1)/2</f>
        <v>2</v>
      </c>
      <c r="Y502" s="0" t="n">
        <f aca="false">1+COUNTIF($P502:$S502,"&gt;"&amp;$Q502)+(COUNTIF($P502:$S502,$Q502)-1)/2</f>
        <v>3</v>
      </c>
      <c r="Z502" s="0" t="n">
        <f aca="false">1+COUNTIF($P502:$S502,"&gt;"&amp;$R502)+(COUNTIF($P502:$S502,$R502)-1)/2</f>
        <v>4</v>
      </c>
      <c r="AA502" s="0" t="n">
        <f aca="false">1+COUNTIF($P502:$S502,"&gt;"&amp;$S502)+(COUNTIF($P502:$S502,$S502)-1)/2</f>
        <v>1</v>
      </c>
      <c r="AB502" s="0" t="n">
        <f aca="false">1+COUNTIF($T502:$W502,"&gt;"&amp;$T502)+(COUNTIF($T502:$W502,$T502)-1)/2</f>
        <v>4</v>
      </c>
      <c r="AC502" s="0" t="n">
        <f aca="false">1+COUNTIF($T502:$W502,"&gt;"&amp;$U502)+(COUNTIF($T502:$W502,$U502)-1)/2</f>
        <v>3</v>
      </c>
      <c r="AD502" s="0" t="n">
        <f aca="false">1+COUNTIF($T502:$W502,"&gt;"&amp;$V502)+(COUNTIF($T502:$W502,$V502)-1)/2</f>
        <v>1</v>
      </c>
      <c r="AE502" s="0" t="n">
        <f aca="false">1+COUNTIF($T502:$W502,"&gt;"&amp;$W502)+(COUNTIF($T502:$W502,$W502)-1)/2</f>
        <v>2</v>
      </c>
      <c r="AF502" s="0" t="n">
        <f aca="false">IFERROR(CORREL($P502:$S502,$T502:$W502),"")</f>
        <v>-0.561792411566708</v>
      </c>
      <c r="AG502" s="0" t="n">
        <f aca="false">IFERROR(CORREL($X502:$AA502,$AB502:$AE502),"")</f>
        <v>-0.4</v>
      </c>
      <c r="AH502" s="0" t="n">
        <f aca="false">IFERROR((SIGN($P502-$Q502)*SIGN($T502-$U502)+SIGN($P502-$R502)*SIGN($T502-$V502)+SIGN($P502-$S502)*SIGN($T502-$W502)+SIGN($Q502-$R502)*SIGN($U502-$V502)+SIGN($Q502-$S502)*SIGN($U502-$W502)+SIGN($R502-$S502)*SIGN($V502-$W502))/SQRT((6-(($P502=$Q502)*1+($P502=$R502)*1+($P502=$S502)*1+($Q502=$R502)*1+($Q502=$S502)*1+($R502=$S502)*1))*(6-(($T502=$U502)*1+($T502=$V502)*1+($T502=$W502)*1+($U502=$V502)*1+($U502=$W502)*1+($V502=$W502)*1))),"")</f>
        <v>-0.333333333333333</v>
      </c>
      <c r="AI502" s="0" t="n">
        <f aca="false">MATCH(MAX($K502:$O502),$K502:$O502,0)</f>
        <v>4</v>
      </c>
      <c r="AJ502" s="0" t="n">
        <f aca="false">IF(AI502&lt;&gt;$E502,1,0)</f>
        <v>1</v>
      </c>
      <c r="AK502" s="0" t="n">
        <f aca="false">IF(AJ502=1,INDEX($F502:$J502,AI502)/MAX($P502:$S502),"")</f>
        <v>0.615384615384615</v>
      </c>
      <c r="AL502" s="0" t="n">
        <f aca="false">IF(AJ502=1,1+COUNTIF($P502:$S502,"&gt;"&amp;INDEX($F502:$J502,AI502)),"")</f>
        <v>4</v>
      </c>
      <c r="AM502" s="0" t="n">
        <f aca="false">AVERAGE($P502:$S502)/MAX($P502:$S502)</f>
        <v>0.77810650887574</v>
      </c>
      <c r="AN502" s="0" t="n">
        <f aca="false">100-INDEX($F502:$J502,$E502)</f>
        <v>67.2</v>
      </c>
    </row>
    <row r="503" customFormat="false" ht="15" hidden="false" customHeight="false" outlineLevel="0" collapsed="false">
      <c r="A503" s="0" t="s">
        <v>57</v>
      </c>
      <c r="B503" s="0" t="n">
        <v>2015</v>
      </c>
      <c r="C503" s="0" t="s">
        <v>51</v>
      </c>
      <c r="D503" s="0" t="s">
        <v>42</v>
      </c>
      <c r="E503" s="0" t="n">
        <v>1</v>
      </c>
      <c r="F503" s="0" t="n">
        <v>50.5</v>
      </c>
      <c r="G503" s="0" t="n">
        <v>7.8</v>
      </c>
      <c r="H503" s="0" t="n">
        <v>4.2</v>
      </c>
      <c r="I503" s="0" t="n">
        <v>12.3</v>
      </c>
      <c r="J503" s="0" t="n">
        <v>12.8</v>
      </c>
      <c r="K503" s="0" t="n">
        <v>56.6380758463</v>
      </c>
      <c r="L503" s="0" t="n">
        <v>0.495480556133</v>
      </c>
      <c r="M503" s="0" t="n">
        <v>5.47363922847</v>
      </c>
      <c r="N503" s="0" t="n">
        <v>17.3167987657</v>
      </c>
      <c r="O503" s="0" t="n">
        <v>20.0760056033</v>
      </c>
      <c r="P503" s="0" t="n">
        <f aca="false">INDEX($F503:$J503,IF(1&lt;$E503,1,1+1))</f>
        <v>7.8</v>
      </c>
      <c r="Q503" s="0" t="n">
        <f aca="false">INDEX($F503:$J503,IF(2&lt;$E503,2,2+1))</f>
        <v>4.2</v>
      </c>
      <c r="R503" s="0" t="n">
        <f aca="false">INDEX($F503:$J503,IF(3&lt;$E503,3,3+1))</f>
        <v>12.3</v>
      </c>
      <c r="S503" s="0" t="n">
        <f aca="false">INDEX($F503:$J503,IF(4&lt;$E503,4,4+1))</f>
        <v>12.8</v>
      </c>
      <c r="T503" s="0" t="n">
        <f aca="false">INDEX($K503:$O503,IF(1&lt;$E503,1,1+1))</f>
        <v>0.495480556133</v>
      </c>
      <c r="U503" s="0" t="n">
        <f aca="false">INDEX($K503:$O503,IF(2&lt;$E503,2,2+1))</f>
        <v>5.47363922847</v>
      </c>
      <c r="V503" s="0" t="n">
        <f aca="false">INDEX($K503:$O503,IF(3&lt;$E503,3,3+1))</f>
        <v>17.3167987657</v>
      </c>
      <c r="W503" s="0" t="n">
        <f aca="false">INDEX($K503:$O503,IF(4&lt;$E503,4,4+1))</f>
        <v>20.0760056033</v>
      </c>
      <c r="X503" s="0" t="n">
        <f aca="false">1+COUNTIF($P503:$S503,"&gt;"&amp;$P503)+(COUNTIF($P503:$S503,$P503)-1)/2</f>
        <v>3</v>
      </c>
      <c r="Y503" s="0" t="n">
        <f aca="false">1+COUNTIF($P503:$S503,"&gt;"&amp;$Q503)+(COUNTIF($P503:$S503,$Q503)-1)/2</f>
        <v>4</v>
      </c>
      <c r="Z503" s="0" t="n">
        <f aca="false">1+COUNTIF($P503:$S503,"&gt;"&amp;$R503)+(COUNTIF($P503:$S503,$R503)-1)/2</f>
        <v>2</v>
      </c>
      <c r="AA503" s="0" t="n">
        <f aca="false">1+COUNTIF($P503:$S503,"&gt;"&amp;$S503)+(COUNTIF($P503:$S503,$S503)-1)/2</f>
        <v>1</v>
      </c>
      <c r="AB503" s="0" t="n">
        <f aca="false">1+COUNTIF($T503:$W503,"&gt;"&amp;$T503)+(COUNTIF($T503:$W503,$T503)-1)/2</f>
        <v>4</v>
      </c>
      <c r="AC503" s="0" t="n">
        <f aca="false">1+COUNTIF($T503:$W503,"&gt;"&amp;$U503)+(COUNTIF($T503:$W503,$U503)-1)/2</f>
        <v>3</v>
      </c>
      <c r="AD503" s="0" t="n">
        <f aca="false">1+COUNTIF($T503:$W503,"&gt;"&amp;$V503)+(COUNTIF($T503:$W503,$V503)-1)/2</f>
        <v>2</v>
      </c>
      <c r="AE503" s="0" t="n">
        <f aca="false">1+COUNTIF($T503:$W503,"&gt;"&amp;$W503)+(COUNTIF($T503:$W503,$W503)-1)/2</f>
        <v>1</v>
      </c>
      <c r="AF503" s="0" t="n">
        <f aca="false">IFERROR(CORREL($P503:$S503,$T503:$W503),"")</f>
        <v>0.829315635840723</v>
      </c>
      <c r="AG503" s="0" t="n">
        <f aca="false">IFERROR(CORREL($X503:$AA503,$AB503:$AE503),"")</f>
        <v>0.8</v>
      </c>
      <c r="AH503" s="0" t="n">
        <f aca="false">IFERROR((SIGN($P503-$Q503)*SIGN($T503-$U503)+SIGN($P503-$R503)*SIGN($T503-$V503)+SIGN($P503-$S503)*SIGN($T503-$W503)+SIGN($Q503-$R503)*SIGN($U503-$V503)+SIGN($Q503-$S503)*SIGN($U503-$W503)+SIGN($R503-$S503)*SIGN($V503-$W503))/SQRT((6-(($P503=$Q503)*1+($P503=$R503)*1+($P503=$S503)*1+($Q503=$R503)*1+($Q503=$S503)*1+($R503=$S503)*1))*(6-(($T503=$U503)*1+($T503=$V503)*1+($T503=$W503)*1+($U503=$V503)*1+($U503=$W503)*1+($V503=$W503)*1))),"")</f>
        <v>0.666666666666667</v>
      </c>
      <c r="AI503" s="0" t="n">
        <f aca="false">MATCH(MAX($K503:$O503),$K503:$O503,0)</f>
        <v>1</v>
      </c>
      <c r="AJ503" s="0" t="n">
        <f aca="false">IF(AI503&lt;&gt;$E503,1,0)</f>
        <v>0</v>
      </c>
      <c r="AK503" s="0" t="str">
        <f aca="false">IF(AJ503=1,INDEX($F503:$J503,AI503)/MAX($P503:$S503),"")</f>
        <v/>
      </c>
      <c r="AL503" s="0" t="str">
        <f aca="false">IF(AJ503=1,1+COUNTIF($P503:$S503,"&gt;"&amp;INDEX($F503:$J503,AI503)),"")</f>
        <v/>
      </c>
      <c r="AM503" s="0" t="n">
        <f aca="false">AVERAGE($P503:$S503)/MAX($P503:$S503)</f>
        <v>0.724609375</v>
      </c>
      <c r="AN503" s="0" t="n">
        <f aca="false">100-INDEX($F503:$J503,$E503)</f>
        <v>49.5</v>
      </c>
    </row>
    <row r="504" customFormat="false" ht="15" hidden="false" customHeight="false" outlineLevel="0" collapsed="false">
      <c r="A504" s="0" t="s">
        <v>57</v>
      </c>
      <c r="B504" s="0" t="n">
        <v>2015</v>
      </c>
      <c r="C504" s="0" t="s">
        <v>51</v>
      </c>
      <c r="D504" s="0" t="s">
        <v>43</v>
      </c>
      <c r="E504" s="0" t="n">
        <v>5</v>
      </c>
      <c r="F504" s="0" t="n">
        <v>8</v>
      </c>
      <c r="G504" s="0" t="n">
        <v>8.6</v>
      </c>
      <c r="H504" s="0" t="n">
        <v>11.6</v>
      </c>
      <c r="I504" s="0" t="n">
        <v>36.6</v>
      </c>
      <c r="J504" s="0" t="n">
        <v>22.6</v>
      </c>
      <c r="K504" s="0" t="n">
        <v>9.65794719688</v>
      </c>
      <c r="L504" s="0" t="n">
        <v>2.22085711464</v>
      </c>
      <c r="M504" s="0" t="n">
        <v>6.0231432689</v>
      </c>
      <c r="N504" s="0" t="n">
        <v>16.7479960271</v>
      </c>
      <c r="O504" s="0" t="n">
        <v>65.3500563924</v>
      </c>
      <c r="P504" s="0" t="n">
        <f aca="false">INDEX($F504:$J504,IF(1&lt;$E504,1,1+1))</f>
        <v>8</v>
      </c>
      <c r="Q504" s="0" t="n">
        <f aca="false">INDEX($F504:$J504,IF(2&lt;$E504,2,2+1))</f>
        <v>8.6</v>
      </c>
      <c r="R504" s="0" t="n">
        <f aca="false">INDEX($F504:$J504,IF(3&lt;$E504,3,3+1))</f>
        <v>11.6</v>
      </c>
      <c r="S504" s="0" t="n">
        <f aca="false">INDEX($F504:$J504,IF(4&lt;$E504,4,4+1))</f>
        <v>36.6</v>
      </c>
      <c r="T504" s="0" t="n">
        <f aca="false">INDEX($K504:$O504,IF(1&lt;$E504,1,1+1))</f>
        <v>9.65794719688</v>
      </c>
      <c r="U504" s="0" t="n">
        <f aca="false">INDEX($K504:$O504,IF(2&lt;$E504,2,2+1))</f>
        <v>2.22085711464</v>
      </c>
      <c r="V504" s="0" t="n">
        <f aca="false">INDEX($K504:$O504,IF(3&lt;$E504,3,3+1))</f>
        <v>6.0231432689</v>
      </c>
      <c r="W504" s="0" t="n">
        <f aca="false">INDEX($K504:$O504,IF(4&lt;$E504,4,4+1))</f>
        <v>16.7479960271</v>
      </c>
      <c r="X504" s="0" t="n">
        <f aca="false">1+COUNTIF($P504:$S504,"&gt;"&amp;$P504)+(COUNTIF($P504:$S504,$P504)-1)/2</f>
        <v>4</v>
      </c>
      <c r="Y504" s="0" t="n">
        <f aca="false">1+COUNTIF($P504:$S504,"&gt;"&amp;$Q504)+(COUNTIF($P504:$S504,$Q504)-1)/2</f>
        <v>3</v>
      </c>
      <c r="Z504" s="0" t="n">
        <f aca="false">1+COUNTIF($P504:$S504,"&gt;"&amp;$R504)+(COUNTIF($P504:$S504,$R504)-1)/2</f>
        <v>2</v>
      </c>
      <c r="AA504" s="0" t="n">
        <f aca="false">1+COUNTIF($P504:$S504,"&gt;"&amp;$S504)+(COUNTIF($P504:$S504,$S504)-1)/2</f>
        <v>1</v>
      </c>
      <c r="AB504" s="0" t="n">
        <f aca="false">1+COUNTIF($T504:$W504,"&gt;"&amp;$T504)+(COUNTIF($T504:$W504,$T504)-1)/2</f>
        <v>2</v>
      </c>
      <c r="AC504" s="0" t="n">
        <f aca="false">1+COUNTIF($T504:$W504,"&gt;"&amp;$U504)+(COUNTIF($T504:$W504,$U504)-1)/2</f>
        <v>4</v>
      </c>
      <c r="AD504" s="0" t="n">
        <f aca="false">1+COUNTIF($T504:$W504,"&gt;"&amp;$V504)+(COUNTIF($T504:$W504,$V504)-1)/2</f>
        <v>3</v>
      </c>
      <c r="AE504" s="0" t="n">
        <f aca="false">1+COUNTIF($T504:$W504,"&gt;"&amp;$W504)+(COUNTIF($T504:$W504,$W504)-1)/2</f>
        <v>1</v>
      </c>
      <c r="AF504" s="0" t="n">
        <f aca="false">IFERROR(CORREL($P504:$S504,$T504:$W504),"")</f>
        <v>0.857435211681935</v>
      </c>
      <c r="AG504" s="0" t="n">
        <f aca="false">IFERROR(CORREL($X504:$AA504,$AB504:$AE504),"")</f>
        <v>0.4</v>
      </c>
      <c r="AH504" s="0" t="n">
        <f aca="false">IFERROR((SIGN($P504-$Q504)*SIGN($T504-$U504)+SIGN($P504-$R504)*SIGN($T504-$V504)+SIGN($P504-$S504)*SIGN($T504-$W504)+SIGN($Q504-$R504)*SIGN($U504-$V504)+SIGN($Q504-$S504)*SIGN($U504-$W504)+SIGN($R504-$S504)*SIGN($V504-$W504))/SQRT((6-(($P504=$Q504)*1+($P504=$R504)*1+($P504=$S504)*1+($Q504=$R504)*1+($Q504=$S504)*1+($R504=$S504)*1))*(6-(($T504=$U504)*1+($T504=$V504)*1+($T504=$W504)*1+($U504=$V504)*1+($U504=$W504)*1+($V504=$W504)*1))),"")</f>
        <v>0.333333333333333</v>
      </c>
      <c r="AI504" s="0" t="n">
        <f aca="false">MATCH(MAX($K504:$O504),$K504:$O504,0)</f>
        <v>5</v>
      </c>
      <c r="AJ504" s="0" t="n">
        <f aca="false">IF(AI504&lt;&gt;$E504,1,0)</f>
        <v>0</v>
      </c>
      <c r="AK504" s="0" t="str">
        <f aca="false">IF(AJ504=1,INDEX($F504:$J504,AI504)/MAX($P504:$S504),"")</f>
        <v/>
      </c>
      <c r="AL504" s="0" t="str">
        <f aca="false">IF(AJ504=1,1+COUNTIF($P504:$S504,"&gt;"&amp;INDEX($F504:$J504,AI504)),"")</f>
        <v/>
      </c>
      <c r="AM504" s="0" t="n">
        <f aca="false">AVERAGE($P504:$S504)/MAX($P504:$S504)</f>
        <v>0.442622950819672</v>
      </c>
      <c r="AN504" s="0" t="n">
        <f aca="false">100-INDEX($F504:$J504,$E504)</f>
        <v>77.4</v>
      </c>
    </row>
    <row r="505" customFormat="false" ht="15" hidden="false" customHeight="false" outlineLevel="0" collapsed="false">
      <c r="A505" s="0" t="s">
        <v>57</v>
      </c>
      <c r="B505" s="0" t="n">
        <v>2015</v>
      </c>
      <c r="C505" s="0" t="s">
        <v>51</v>
      </c>
      <c r="D505" s="0" t="s">
        <v>44</v>
      </c>
      <c r="E505" s="0" t="n">
        <v>1</v>
      </c>
      <c r="F505" s="0" t="n">
        <v>46.4</v>
      </c>
      <c r="G505" s="0" t="n">
        <v>15.2</v>
      </c>
      <c r="H505" s="0" t="n">
        <v>7.9</v>
      </c>
      <c r="I505" s="0" t="n">
        <v>8.8</v>
      </c>
      <c r="J505" s="0" t="n">
        <v>8.8</v>
      </c>
      <c r="K505" s="0" t="n">
        <v>27.9026583926</v>
      </c>
      <c r="L505" s="0" t="n">
        <v>35.1105009303</v>
      </c>
      <c r="M505" s="0" t="n">
        <v>22.2777353057</v>
      </c>
      <c r="N505" s="0" t="n">
        <v>12.3482156163</v>
      </c>
      <c r="O505" s="0" t="n">
        <v>2.36088975506</v>
      </c>
      <c r="P505" s="0" t="n">
        <f aca="false">INDEX($F505:$J505,IF(1&lt;$E505,1,1+1))</f>
        <v>15.2</v>
      </c>
      <c r="Q505" s="0" t="n">
        <f aca="false">INDEX($F505:$J505,IF(2&lt;$E505,2,2+1))</f>
        <v>7.9</v>
      </c>
      <c r="R505" s="0" t="n">
        <f aca="false">INDEX($F505:$J505,IF(3&lt;$E505,3,3+1))</f>
        <v>8.8</v>
      </c>
      <c r="S505" s="0" t="n">
        <f aca="false">INDEX($F505:$J505,IF(4&lt;$E505,4,4+1))</f>
        <v>8.8</v>
      </c>
      <c r="T505" s="0" t="n">
        <f aca="false">INDEX($K505:$O505,IF(1&lt;$E505,1,1+1))</f>
        <v>35.1105009303</v>
      </c>
      <c r="U505" s="0" t="n">
        <f aca="false">INDEX($K505:$O505,IF(2&lt;$E505,2,2+1))</f>
        <v>22.2777353057</v>
      </c>
      <c r="V505" s="0" t="n">
        <f aca="false">INDEX($K505:$O505,IF(3&lt;$E505,3,3+1))</f>
        <v>12.3482156163</v>
      </c>
      <c r="W505" s="0" t="n">
        <f aca="false">INDEX($K505:$O505,IF(4&lt;$E505,4,4+1))</f>
        <v>2.36088975506</v>
      </c>
      <c r="X505" s="0" t="n">
        <f aca="false">1+COUNTIF($P505:$S505,"&gt;"&amp;$P505)+(COUNTIF($P505:$S505,$P505)-1)/2</f>
        <v>1</v>
      </c>
      <c r="Y505" s="0" t="n">
        <f aca="false">1+COUNTIF($P505:$S505,"&gt;"&amp;$Q505)+(COUNTIF($P505:$S505,$Q505)-1)/2</f>
        <v>4</v>
      </c>
      <c r="Z505" s="0" t="n">
        <f aca="false">1+COUNTIF($P505:$S505,"&gt;"&amp;$R505)+(COUNTIF($P505:$S505,$R505)-1)/2</f>
        <v>2.5</v>
      </c>
      <c r="AA505" s="0" t="n">
        <f aca="false">1+COUNTIF($P505:$S505,"&gt;"&amp;$S505)+(COUNTIF($P505:$S505,$S505)-1)/2</f>
        <v>2.5</v>
      </c>
      <c r="AB505" s="0" t="n">
        <f aca="false">1+COUNTIF($T505:$W505,"&gt;"&amp;$T505)+(COUNTIF($T505:$W505,$T505)-1)/2</f>
        <v>1</v>
      </c>
      <c r="AC505" s="0" t="n">
        <f aca="false">1+COUNTIF($T505:$W505,"&gt;"&amp;$U505)+(COUNTIF($T505:$W505,$U505)-1)/2</f>
        <v>2</v>
      </c>
      <c r="AD505" s="0" t="n">
        <f aca="false">1+COUNTIF($T505:$W505,"&gt;"&amp;$V505)+(COUNTIF($T505:$W505,$V505)-1)/2</f>
        <v>3</v>
      </c>
      <c r="AE505" s="0" t="n">
        <f aca="false">1+COUNTIF($T505:$W505,"&gt;"&amp;$W505)+(COUNTIF($T505:$W505,$W505)-1)/2</f>
        <v>4</v>
      </c>
      <c r="AF505" s="0" t="n">
        <f aca="false">IFERROR(CORREL($P505:$S505,$T505:$W505),"")</f>
        <v>0.744304742878496</v>
      </c>
      <c r="AG505" s="0" t="n">
        <f aca="false">IFERROR(CORREL($X505:$AA505,$AB505:$AE505),"")</f>
        <v>0.316227766016838</v>
      </c>
      <c r="AH505" s="0" t="n">
        <f aca="false">IFERROR((SIGN($P505-$Q505)*SIGN($T505-$U505)+SIGN($P505-$R505)*SIGN($T505-$V505)+SIGN($P505-$S505)*SIGN($T505-$W505)+SIGN($Q505-$R505)*SIGN($U505-$V505)+SIGN($Q505-$S505)*SIGN($U505-$W505)+SIGN($R505-$S505)*SIGN($V505-$W505))/SQRT((6-(($P505=$Q505)*1+($P505=$R505)*1+($P505=$S505)*1+($Q505=$R505)*1+($Q505=$S505)*1+($R505=$S505)*1))*(6-(($T505=$U505)*1+($T505=$V505)*1+($T505=$W505)*1+($U505=$V505)*1+($U505=$W505)*1+($V505=$W505)*1))),"")</f>
        <v>0.182574185835055</v>
      </c>
      <c r="AI505" s="0" t="n">
        <f aca="false">MATCH(MAX($K505:$O505),$K505:$O505,0)</f>
        <v>2</v>
      </c>
      <c r="AJ505" s="0" t="n">
        <f aca="false">IF(AI505&lt;&gt;$E505,1,0)</f>
        <v>1</v>
      </c>
      <c r="AK505" s="0" t="n">
        <f aca="false">IF(AJ505=1,INDEX($F505:$J505,AI505)/MAX($P505:$S505),"")</f>
        <v>1</v>
      </c>
      <c r="AL505" s="0" t="n">
        <f aca="false">IF(AJ505=1,1+COUNTIF($P505:$S505,"&gt;"&amp;INDEX($F505:$J505,AI505)),"")</f>
        <v>1</v>
      </c>
      <c r="AM505" s="0" t="n">
        <f aca="false">AVERAGE($P505:$S505)/MAX($P505:$S505)</f>
        <v>0.669407894736842</v>
      </c>
      <c r="AN505" s="0" t="n">
        <f aca="false">100-INDEX($F505:$J505,$E505)</f>
        <v>53.6</v>
      </c>
    </row>
    <row r="506" customFormat="false" ht="15" hidden="false" customHeight="false" outlineLevel="0" collapsed="false">
      <c r="A506" s="0" t="s">
        <v>57</v>
      </c>
      <c r="B506" s="0" t="n">
        <v>2015</v>
      </c>
      <c r="C506" s="0" t="s">
        <v>46</v>
      </c>
      <c r="D506" s="0" t="s">
        <v>43</v>
      </c>
      <c r="E506" s="0" t="n">
        <v>3</v>
      </c>
      <c r="F506" s="0" t="n">
        <v>9.1</v>
      </c>
      <c r="G506" s="0" t="n">
        <v>5.8</v>
      </c>
      <c r="H506" s="0" t="n">
        <v>50.4</v>
      </c>
      <c r="I506" s="0" t="n">
        <v>19.1</v>
      </c>
      <c r="J506" s="0" t="n">
        <v>5</v>
      </c>
      <c r="K506" s="0" t="n">
        <v>19.9634111999</v>
      </c>
      <c r="L506" s="0" t="n">
        <v>26.5490135731</v>
      </c>
      <c r="M506" s="0" t="n">
        <v>9.46948754102</v>
      </c>
      <c r="N506" s="0" t="n">
        <v>28.1056125617</v>
      </c>
      <c r="O506" s="0" t="n">
        <v>15.9124751243</v>
      </c>
      <c r="P506" s="0" t="n">
        <f aca="false">INDEX($F506:$J506,IF(1&lt;$E506,1,1+1))</f>
        <v>9.1</v>
      </c>
      <c r="Q506" s="0" t="n">
        <f aca="false">INDEX($F506:$J506,IF(2&lt;$E506,2,2+1))</f>
        <v>5.8</v>
      </c>
      <c r="R506" s="0" t="n">
        <f aca="false">INDEX($F506:$J506,IF(3&lt;$E506,3,3+1))</f>
        <v>19.1</v>
      </c>
      <c r="S506" s="0" t="n">
        <f aca="false">INDEX($F506:$J506,IF(4&lt;$E506,4,4+1))</f>
        <v>5</v>
      </c>
      <c r="T506" s="0" t="n">
        <f aca="false">INDEX($K506:$O506,IF(1&lt;$E506,1,1+1))</f>
        <v>19.9634111999</v>
      </c>
      <c r="U506" s="0" t="n">
        <f aca="false">INDEX($K506:$O506,IF(2&lt;$E506,2,2+1))</f>
        <v>26.5490135731</v>
      </c>
      <c r="V506" s="0" t="n">
        <f aca="false">INDEX($K506:$O506,IF(3&lt;$E506,3,3+1))</f>
        <v>28.1056125617</v>
      </c>
      <c r="W506" s="0" t="n">
        <f aca="false">INDEX($K506:$O506,IF(4&lt;$E506,4,4+1))</f>
        <v>15.9124751243</v>
      </c>
      <c r="X506" s="0" t="n">
        <f aca="false">1+COUNTIF($P506:$S506,"&gt;"&amp;$P506)+(COUNTIF($P506:$S506,$P506)-1)/2</f>
        <v>2</v>
      </c>
      <c r="Y506" s="0" t="n">
        <f aca="false">1+COUNTIF($P506:$S506,"&gt;"&amp;$Q506)+(COUNTIF($P506:$S506,$Q506)-1)/2</f>
        <v>3</v>
      </c>
      <c r="Z506" s="0" t="n">
        <f aca="false">1+COUNTIF($P506:$S506,"&gt;"&amp;$R506)+(COUNTIF($P506:$S506,$R506)-1)/2</f>
        <v>1</v>
      </c>
      <c r="AA506" s="0" t="n">
        <f aca="false">1+COUNTIF($P506:$S506,"&gt;"&amp;$S506)+(COUNTIF($P506:$S506,$S506)-1)/2</f>
        <v>4</v>
      </c>
      <c r="AB506" s="0" t="n">
        <f aca="false">1+COUNTIF($T506:$W506,"&gt;"&amp;$T506)+(COUNTIF($T506:$W506,$T506)-1)/2</f>
        <v>3</v>
      </c>
      <c r="AC506" s="0" t="n">
        <f aca="false">1+COUNTIF($T506:$W506,"&gt;"&amp;$U506)+(COUNTIF($T506:$W506,$U506)-1)/2</f>
        <v>2</v>
      </c>
      <c r="AD506" s="0" t="n">
        <f aca="false">1+COUNTIF($T506:$W506,"&gt;"&amp;$V506)+(COUNTIF($T506:$W506,$V506)-1)/2</f>
        <v>1</v>
      </c>
      <c r="AE506" s="0" t="n">
        <f aca="false">1+COUNTIF($T506:$W506,"&gt;"&amp;$W506)+(COUNTIF($T506:$W506,$W506)-1)/2</f>
        <v>4</v>
      </c>
      <c r="AF506" s="0" t="n">
        <f aca="false">IFERROR(CORREL($P506:$S506,$T506:$W506),"")</f>
        <v>0.625494150753211</v>
      </c>
      <c r="AG506" s="0" t="n">
        <f aca="false">IFERROR(CORREL($X506:$AA506,$AB506:$AE506),"")</f>
        <v>0.8</v>
      </c>
      <c r="AH506" s="0" t="n">
        <f aca="false">IFERROR((SIGN($P506-$Q506)*SIGN($T506-$U506)+SIGN($P506-$R506)*SIGN($T506-$V506)+SIGN($P506-$S506)*SIGN($T506-$W506)+SIGN($Q506-$R506)*SIGN($U506-$V506)+SIGN($Q506-$S506)*SIGN($U506-$W506)+SIGN($R506-$S506)*SIGN($V506-$W506))/SQRT((6-(($P506=$Q506)*1+($P506=$R506)*1+($P506=$S506)*1+($Q506=$R506)*1+($Q506=$S506)*1+($R506=$S506)*1))*(6-(($T506=$U506)*1+($T506=$V506)*1+($T506=$W506)*1+($U506=$V506)*1+($U506=$W506)*1+($V506=$W506)*1))),"")</f>
        <v>0.666666666666667</v>
      </c>
      <c r="AI506" s="0" t="n">
        <f aca="false">MATCH(MAX($K506:$O506),$K506:$O506,0)</f>
        <v>4</v>
      </c>
      <c r="AJ506" s="0" t="n">
        <f aca="false">IF(AI506&lt;&gt;$E506,1,0)</f>
        <v>1</v>
      </c>
      <c r="AK506" s="0" t="n">
        <f aca="false">IF(AJ506=1,INDEX($F506:$J506,AI506)/MAX($P506:$S506),"")</f>
        <v>1</v>
      </c>
      <c r="AL506" s="0" t="n">
        <f aca="false">IF(AJ506=1,1+COUNTIF($P506:$S506,"&gt;"&amp;INDEX($F506:$J506,AI506)),"")</f>
        <v>1</v>
      </c>
      <c r="AM506" s="0" t="n">
        <f aca="false">AVERAGE($P506:$S506)/MAX($P506:$S506)</f>
        <v>0.510471204188482</v>
      </c>
      <c r="AN506" s="0" t="n">
        <f aca="false">100-INDEX($F506:$J506,$E506)</f>
        <v>49.6</v>
      </c>
    </row>
    <row r="507" customFormat="false" ht="15" hidden="false" customHeight="false" outlineLevel="0" collapsed="false">
      <c r="A507" s="0" t="s">
        <v>57</v>
      </c>
      <c r="B507" s="0" t="n">
        <v>2015</v>
      </c>
      <c r="C507" s="0" t="s">
        <v>46</v>
      </c>
      <c r="D507" s="0" t="s">
        <v>44</v>
      </c>
      <c r="E507" s="0" t="n">
        <v>1</v>
      </c>
      <c r="F507" s="0" t="n">
        <v>55.5</v>
      </c>
      <c r="G507" s="0" t="n">
        <v>15.4</v>
      </c>
      <c r="H507" s="0" t="n">
        <v>8.4</v>
      </c>
      <c r="I507" s="0" t="n">
        <v>6.1</v>
      </c>
      <c r="J507" s="0" t="n">
        <v>4</v>
      </c>
      <c r="K507" s="0" t="n">
        <v>16.5458185008</v>
      </c>
      <c r="L507" s="0" t="n">
        <v>22.7989386023</v>
      </c>
      <c r="M507" s="0" t="n">
        <v>9.64843368887</v>
      </c>
      <c r="N507" s="0" t="n">
        <v>36.9831128744</v>
      </c>
      <c r="O507" s="0" t="n">
        <v>14.0236963337</v>
      </c>
      <c r="P507" s="0" t="n">
        <f aca="false">INDEX($F507:$J507,IF(1&lt;$E507,1,1+1))</f>
        <v>15.4</v>
      </c>
      <c r="Q507" s="0" t="n">
        <f aca="false">INDEX($F507:$J507,IF(2&lt;$E507,2,2+1))</f>
        <v>8.4</v>
      </c>
      <c r="R507" s="0" t="n">
        <f aca="false">INDEX($F507:$J507,IF(3&lt;$E507,3,3+1))</f>
        <v>6.1</v>
      </c>
      <c r="S507" s="0" t="n">
        <f aca="false">INDEX($F507:$J507,IF(4&lt;$E507,4,4+1))</f>
        <v>4</v>
      </c>
      <c r="T507" s="0" t="n">
        <f aca="false">INDEX($K507:$O507,IF(1&lt;$E507,1,1+1))</f>
        <v>22.7989386023</v>
      </c>
      <c r="U507" s="0" t="n">
        <f aca="false">INDEX($K507:$O507,IF(2&lt;$E507,2,2+1))</f>
        <v>9.64843368887</v>
      </c>
      <c r="V507" s="0" t="n">
        <f aca="false">INDEX($K507:$O507,IF(3&lt;$E507,3,3+1))</f>
        <v>36.9831128744</v>
      </c>
      <c r="W507" s="0" t="n">
        <f aca="false">INDEX($K507:$O507,IF(4&lt;$E507,4,4+1))</f>
        <v>14.0236963337</v>
      </c>
      <c r="X507" s="0" t="n">
        <f aca="false">1+COUNTIF($P507:$S507,"&gt;"&amp;$P507)+(COUNTIF($P507:$S507,$P507)-1)/2</f>
        <v>1</v>
      </c>
      <c r="Y507" s="0" t="n">
        <f aca="false">1+COUNTIF($P507:$S507,"&gt;"&amp;$Q507)+(COUNTIF($P507:$S507,$Q507)-1)/2</f>
        <v>2</v>
      </c>
      <c r="Z507" s="0" t="n">
        <f aca="false">1+COUNTIF($P507:$S507,"&gt;"&amp;$R507)+(COUNTIF($P507:$S507,$R507)-1)/2</f>
        <v>3</v>
      </c>
      <c r="AA507" s="0" t="n">
        <f aca="false">1+COUNTIF($P507:$S507,"&gt;"&amp;$S507)+(COUNTIF($P507:$S507,$S507)-1)/2</f>
        <v>4</v>
      </c>
      <c r="AB507" s="0" t="n">
        <f aca="false">1+COUNTIF($T507:$W507,"&gt;"&amp;$T507)+(COUNTIF($T507:$W507,$T507)-1)/2</f>
        <v>2</v>
      </c>
      <c r="AC507" s="0" t="n">
        <f aca="false">1+COUNTIF($T507:$W507,"&gt;"&amp;$U507)+(COUNTIF($T507:$W507,$U507)-1)/2</f>
        <v>4</v>
      </c>
      <c r="AD507" s="0" t="n">
        <f aca="false">1+COUNTIF($T507:$W507,"&gt;"&amp;$V507)+(COUNTIF($T507:$W507,$V507)-1)/2</f>
        <v>1</v>
      </c>
      <c r="AE507" s="0" t="n">
        <f aca="false">1+COUNTIF($T507:$W507,"&gt;"&amp;$W507)+(COUNTIF($T507:$W507,$W507)-1)/2</f>
        <v>3</v>
      </c>
      <c r="AF507" s="0" t="n">
        <f aca="false">IFERROR(CORREL($P507:$S507,$T507:$W507),"")</f>
        <v>0.0366523172869396</v>
      </c>
      <c r="AG507" s="0" t="n">
        <f aca="false">IFERROR(CORREL($X507:$AA507,$AB507:$AE507),"")</f>
        <v>0</v>
      </c>
      <c r="AH507" s="0" t="n">
        <f aca="false">IFERROR((SIGN($P507-$Q507)*SIGN($T507-$U507)+SIGN($P507-$R507)*SIGN($T507-$V507)+SIGN($P507-$S507)*SIGN($T507-$W507)+SIGN($Q507-$R507)*SIGN($U507-$V507)+SIGN($Q507-$S507)*SIGN($U507-$W507)+SIGN($R507-$S507)*SIGN($V507-$W507))/SQRT((6-(($P507=$Q507)*1+($P507=$R507)*1+($P507=$S507)*1+($Q507=$R507)*1+($Q507=$S507)*1+($R507=$S507)*1))*(6-(($T507=$U507)*1+($T507=$V507)*1+($T507=$W507)*1+($U507=$V507)*1+($U507=$W507)*1+($V507=$W507)*1))),"")</f>
        <v>0</v>
      </c>
      <c r="AI507" s="0" t="n">
        <f aca="false">MATCH(MAX($K507:$O507),$K507:$O507,0)</f>
        <v>4</v>
      </c>
      <c r="AJ507" s="0" t="n">
        <f aca="false">IF(AI507&lt;&gt;$E507,1,0)</f>
        <v>1</v>
      </c>
      <c r="AK507" s="0" t="n">
        <f aca="false">IF(AJ507=1,INDEX($F507:$J507,AI507)/MAX($P507:$S507),"")</f>
        <v>0.396103896103896</v>
      </c>
      <c r="AL507" s="0" t="n">
        <f aca="false">IF(AJ507=1,1+COUNTIF($P507:$S507,"&gt;"&amp;INDEX($F507:$J507,AI507)),"")</f>
        <v>3</v>
      </c>
      <c r="AM507" s="0" t="n">
        <f aca="false">AVERAGE($P507:$S507)/MAX($P507:$S507)</f>
        <v>0.550324675324675</v>
      </c>
      <c r="AN507" s="0" t="n">
        <f aca="false">100-INDEX($F507:$J507,$E507)</f>
        <v>44.5</v>
      </c>
    </row>
    <row r="508" customFormat="false" ht="15" hidden="false" customHeight="false" outlineLevel="0" collapsed="false">
      <c r="A508" s="0" t="s">
        <v>57</v>
      </c>
      <c r="B508" s="0" t="n">
        <v>2014</v>
      </c>
      <c r="C508" s="0" t="s">
        <v>58</v>
      </c>
      <c r="D508" s="0" t="s">
        <v>54</v>
      </c>
      <c r="E508" s="0" t="n">
        <v>3</v>
      </c>
      <c r="F508" s="0" t="n">
        <v>5.8</v>
      </c>
      <c r="G508" s="0" t="n">
        <v>9.3</v>
      </c>
      <c r="H508" s="0" t="n">
        <v>59.2</v>
      </c>
      <c r="I508" s="0" t="n">
        <v>8.6</v>
      </c>
      <c r="J508" s="0" t="n">
        <v>13.5</v>
      </c>
      <c r="K508" s="0" t="n">
        <v>11.5521311876</v>
      </c>
      <c r="L508" s="0" t="n">
        <v>5.21434892436</v>
      </c>
      <c r="M508" s="0" t="n">
        <v>42.7865996994</v>
      </c>
      <c r="N508" s="0" t="n">
        <v>25.0977673572</v>
      </c>
      <c r="O508" s="0" t="n">
        <v>15.3491528315</v>
      </c>
      <c r="P508" s="0" t="n">
        <f aca="false">INDEX($F508:$J508,IF(1&lt;$E508,1,1+1))</f>
        <v>5.8</v>
      </c>
      <c r="Q508" s="0" t="n">
        <f aca="false">INDEX($F508:$J508,IF(2&lt;$E508,2,2+1))</f>
        <v>9.3</v>
      </c>
      <c r="R508" s="0" t="n">
        <f aca="false">INDEX($F508:$J508,IF(3&lt;$E508,3,3+1))</f>
        <v>8.6</v>
      </c>
      <c r="S508" s="0" t="n">
        <f aca="false">INDEX($F508:$J508,IF(4&lt;$E508,4,4+1))</f>
        <v>13.5</v>
      </c>
      <c r="T508" s="0" t="n">
        <f aca="false">INDEX($K508:$O508,IF(1&lt;$E508,1,1+1))</f>
        <v>11.5521311876</v>
      </c>
      <c r="U508" s="0" t="n">
        <f aca="false">INDEX($K508:$O508,IF(2&lt;$E508,2,2+1))</f>
        <v>5.21434892436</v>
      </c>
      <c r="V508" s="0" t="n">
        <f aca="false">INDEX($K508:$O508,IF(3&lt;$E508,3,3+1))</f>
        <v>25.0977673572</v>
      </c>
      <c r="W508" s="0" t="n">
        <f aca="false">INDEX($K508:$O508,IF(4&lt;$E508,4,4+1))</f>
        <v>15.3491528315</v>
      </c>
      <c r="X508" s="0" t="n">
        <f aca="false">1+COUNTIF($P508:$S508,"&gt;"&amp;$P508)+(COUNTIF($P508:$S508,$P508)-1)/2</f>
        <v>4</v>
      </c>
      <c r="Y508" s="0" t="n">
        <f aca="false">1+COUNTIF($P508:$S508,"&gt;"&amp;$Q508)+(COUNTIF($P508:$S508,$Q508)-1)/2</f>
        <v>2</v>
      </c>
      <c r="Z508" s="0" t="n">
        <f aca="false">1+COUNTIF($P508:$S508,"&gt;"&amp;$R508)+(COUNTIF($P508:$S508,$R508)-1)/2</f>
        <v>3</v>
      </c>
      <c r="AA508" s="0" t="n">
        <f aca="false">1+COUNTIF($P508:$S508,"&gt;"&amp;$S508)+(COUNTIF($P508:$S508,$S508)-1)/2</f>
        <v>1</v>
      </c>
      <c r="AB508" s="0" t="n">
        <f aca="false">1+COUNTIF($T508:$W508,"&gt;"&amp;$T508)+(COUNTIF($T508:$W508,$T508)-1)/2</f>
        <v>3</v>
      </c>
      <c r="AC508" s="0" t="n">
        <f aca="false">1+COUNTIF($T508:$W508,"&gt;"&amp;$U508)+(COUNTIF($T508:$W508,$U508)-1)/2</f>
        <v>4</v>
      </c>
      <c r="AD508" s="0" t="n">
        <f aca="false">1+COUNTIF($T508:$W508,"&gt;"&amp;$V508)+(COUNTIF($T508:$W508,$V508)-1)/2</f>
        <v>1</v>
      </c>
      <c r="AE508" s="0" t="n">
        <f aca="false">1+COUNTIF($T508:$W508,"&gt;"&amp;$W508)+(COUNTIF($T508:$W508,$W508)-1)/2</f>
        <v>2</v>
      </c>
      <c r="AF508" s="0" t="n">
        <f aca="false">IFERROR(CORREL($P508:$S508,$T508:$W508),"")</f>
        <v>0.0813760439917543</v>
      </c>
      <c r="AG508" s="0" t="n">
        <f aca="false">IFERROR(CORREL($X508:$AA508,$AB508:$AE508),"")</f>
        <v>0</v>
      </c>
      <c r="AH508" s="0" t="n">
        <f aca="false">IFERROR((SIGN($P508-$Q508)*SIGN($T508-$U508)+SIGN($P508-$R508)*SIGN($T508-$V508)+SIGN($P508-$S508)*SIGN($T508-$W508)+SIGN($Q508-$R508)*SIGN($U508-$V508)+SIGN($Q508-$S508)*SIGN($U508-$W508)+SIGN($R508-$S508)*SIGN($V508-$W508))/SQRT((6-(($P508=$Q508)*1+($P508=$R508)*1+($P508=$S508)*1+($Q508=$R508)*1+($Q508=$S508)*1+($R508=$S508)*1))*(6-(($T508=$U508)*1+($T508=$V508)*1+($T508=$W508)*1+($U508=$V508)*1+($U508=$W508)*1+($V508=$W508)*1))),"")</f>
        <v>0</v>
      </c>
      <c r="AI508" s="0" t="n">
        <f aca="false">MATCH(MAX($K508:$O508),$K508:$O508,0)</f>
        <v>3</v>
      </c>
      <c r="AJ508" s="0" t="n">
        <f aca="false">IF(AI508&lt;&gt;$E508,1,0)</f>
        <v>0</v>
      </c>
      <c r="AK508" s="0" t="str">
        <f aca="false">IF(AJ508=1,INDEX($F508:$J508,AI508)/MAX($P508:$S508),"")</f>
        <v/>
      </c>
      <c r="AL508" s="0" t="str">
        <f aca="false">IF(AJ508=1,1+COUNTIF($P508:$S508,"&gt;"&amp;INDEX($F508:$J508,AI508)),"")</f>
        <v/>
      </c>
      <c r="AM508" s="0" t="n">
        <f aca="false">AVERAGE($P508:$S508)/MAX($P508:$S508)</f>
        <v>0.688888888888889</v>
      </c>
      <c r="AN508" s="0" t="n">
        <f aca="false">100-INDEX($F508:$J508,$E508)</f>
        <v>40.8</v>
      </c>
    </row>
    <row r="509" customFormat="false" ht="15" hidden="false" customHeight="false" outlineLevel="0" collapsed="false">
      <c r="A509" s="0" t="s">
        <v>57</v>
      </c>
      <c r="B509" s="0" t="n">
        <v>2014</v>
      </c>
      <c r="C509" s="0" t="s">
        <v>58</v>
      </c>
      <c r="D509" s="0" t="s">
        <v>42</v>
      </c>
      <c r="E509" s="0" t="n">
        <v>4</v>
      </c>
      <c r="F509" s="0" t="n">
        <v>14.4</v>
      </c>
      <c r="G509" s="0" t="n">
        <v>25</v>
      </c>
      <c r="H509" s="0" t="n">
        <v>18</v>
      </c>
      <c r="I509" s="0" t="n">
        <v>29.9</v>
      </c>
      <c r="J509" s="0" t="n">
        <v>9</v>
      </c>
      <c r="K509" s="0" t="n">
        <v>38.7796858568</v>
      </c>
      <c r="L509" s="0" t="n">
        <v>4.68623470398</v>
      </c>
      <c r="M509" s="0" t="n">
        <v>13.5322441961</v>
      </c>
      <c r="N509" s="0" t="n">
        <v>8.86566722446</v>
      </c>
      <c r="O509" s="0" t="n">
        <v>34.1361680186</v>
      </c>
      <c r="P509" s="0" t="n">
        <f aca="false">INDEX($F509:$J509,IF(1&lt;$E509,1,1+1))</f>
        <v>14.4</v>
      </c>
      <c r="Q509" s="0" t="n">
        <f aca="false">INDEX($F509:$J509,IF(2&lt;$E509,2,2+1))</f>
        <v>25</v>
      </c>
      <c r="R509" s="0" t="n">
        <f aca="false">INDEX($F509:$J509,IF(3&lt;$E509,3,3+1))</f>
        <v>18</v>
      </c>
      <c r="S509" s="0" t="n">
        <f aca="false">INDEX($F509:$J509,IF(4&lt;$E509,4,4+1))</f>
        <v>9</v>
      </c>
      <c r="T509" s="0" t="n">
        <f aca="false">INDEX($K509:$O509,IF(1&lt;$E509,1,1+1))</f>
        <v>38.7796858568</v>
      </c>
      <c r="U509" s="0" t="n">
        <f aca="false">INDEX($K509:$O509,IF(2&lt;$E509,2,2+1))</f>
        <v>4.68623470398</v>
      </c>
      <c r="V509" s="0" t="n">
        <f aca="false">INDEX($K509:$O509,IF(3&lt;$E509,3,3+1))</f>
        <v>13.5322441961</v>
      </c>
      <c r="W509" s="0" t="n">
        <f aca="false">INDEX($K509:$O509,IF(4&lt;$E509,4,4+1))</f>
        <v>34.1361680186</v>
      </c>
      <c r="X509" s="0" t="n">
        <f aca="false">1+COUNTIF($P509:$S509,"&gt;"&amp;$P509)+(COUNTIF($P509:$S509,$P509)-1)/2</f>
        <v>3</v>
      </c>
      <c r="Y509" s="0" t="n">
        <f aca="false">1+COUNTIF($P509:$S509,"&gt;"&amp;$Q509)+(COUNTIF($P509:$S509,$Q509)-1)/2</f>
        <v>1</v>
      </c>
      <c r="Z509" s="0" t="n">
        <f aca="false">1+COUNTIF($P509:$S509,"&gt;"&amp;$R509)+(COUNTIF($P509:$S509,$R509)-1)/2</f>
        <v>2</v>
      </c>
      <c r="AA509" s="0" t="n">
        <f aca="false">1+COUNTIF($P509:$S509,"&gt;"&amp;$S509)+(COUNTIF($P509:$S509,$S509)-1)/2</f>
        <v>4</v>
      </c>
      <c r="AB509" s="0" t="n">
        <f aca="false">1+COUNTIF($T509:$W509,"&gt;"&amp;$T509)+(COUNTIF($T509:$W509,$T509)-1)/2</f>
        <v>1</v>
      </c>
      <c r="AC509" s="0" t="n">
        <f aca="false">1+COUNTIF($T509:$W509,"&gt;"&amp;$U509)+(COUNTIF($T509:$W509,$U509)-1)/2</f>
        <v>4</v>
      </c>
      <c r="AD509" s="0" t="n">
        <f aca="false">1+COUNTIF($T509:$W509,"&gt;"&amp;$V509)+(COUNTIF($T509:$W509,$V509)-1)/2</f>
        <v>3</v>
      </c>
      <c r="AE509" s="0" t="n">
        <f aca="false">1+COUNTIF($T509:$W509,"&gt;"&amp;$W509)+(COUNTIF($T509:$W509,$W509)-1)/2</f>
        <v>2</v>
      </c>
      <c r="AF509" s="0" t="n">
        <f aca="false">IFERROR(CORREL($P509:$S509,$T509:$W509),"")</f>
        <v>-0.872392904554463</v>
      </c>
      <c r="AG509" s="0" t="n">
        <f aca="false">IFERROR(CORREL($X509:$AA509,$AB509:$AE509),"")</f>
        <v>-0.8</v>
      </c>
      <c r="AH509" s="0" t="n">
        <f aca="false">IFERROR((SIGN($P509-$Q509)*SIGN($T509-$U509)+SIGN($P509-$R509)*SIGN($T509-$V509)+SIGN($P509-$S509)*SIGN($T509-$W509)+SIGN($Q509-$R509)*SIGN($U509-$V509)+SIGN($Q509-$S509)*SIGN($U509-$W509)+SIGN($R509-$S509)*SIGN($V509-$W509))/SQRT((6-(($P509=$Q509)*1+($P509=$R509)*1+($P509=$S509)*1+($Q509=$R509)*1+($Q509=$S509)*1+($R509=$S509)*1))*(6-(($T509=$U509)*1+($T509=$V509)*1+($T509=$W509)*1+($U509=$V509)*1+($U509=$W509)*1+($V509=$W509)*1))),"")</f>
        <v>-0.666666666666667</v>
      </c>
      <c r="AI509" s="0" t="n">
        <f aca="false">MATCH(MAX($K509:$O509),$K509:$O509,0)</f>
        <v>1</v>
      </c>
      <c r="AJ509" s="0" t="n">
        <f aca="false">IF(AI509&lt;&gt;$E509,1,0)</f>
        <v>1</v>
      </c>
      <c r="AK509" s="0" t="n">
        <f aca="false">IF(AJ509=1,INDEX($F509:$J509,AI509)/MAX($P509:$S509),"")</f>
        <v>0.576</v>
      </c>
      <c r="AL509" s="0" t="n">
        <f aca="false">IF(AJ509=1,1+COUNTIF($P509:$S509,"&gt;"&amp;INDEX($F509:$J509,AI509)),"")</f>
        <v>3</v>
      </c>
      <c r="AM509" s="0" t="n">
        <f aca="false">AVERAGE($P509:$S509)/MAX($P509:$S509)</f>
        <v>0.664</v>
      </c>
      <c r="AN509" s="0" t="n">
        <f aca="false">100-INDEX($F509:$J509,$E509)</f>
        <v>70.1</v>
      </c>
    </row>
    <row r="510" customFormat="false" ht="15" hidden="false" customHeight="false" outlineLevel="0" collapsed="false">
      <c r="A510" s="0" t="s">
        <v>57</v>
      </c>
      <c r="B510" s="0" t="n">
        <v>2014</v>
      </c>
      <c r="C510" s="0" t="s">
        <v>58</v>
      </c>
      <c r="D510" s="0" t="s">
        <v>43</v>
      </c>
      <c r="E510" s="0" t="n">
        <v>3</v>
      </c>
      <c r="F510" s="0" t="n">
        <v>19.8</v>
      </c>
      <c r="G510" s="0" t="n">
        <v>8.3</v>
      </c>
      <c r="H510" s="0" t="n">
        <v>46.6</v>
      </c>
      <c r="I510" s="0" t="n">
        <v>11.2</v>
      </c>
      <c r="J510" s="0" t="n">
        <v>10.3</v>
      </c>
      <c r="K510" s="0" t="n">
        <v>13.8978750677</v>
      </c>
      <c r="L510" s="0" t="n">
        <v>20.0967793403</v>
      </c>
      <c r="M510" s="0" t="n">
        <v>36.2797450406</v>
      </c>
      <c r="N510" s="0" t="n">
        <v>25.2811890123</v>
      </c>
      <c r="O510" s="0" t="n">
        <v>4.44441153907</v>
      </c>
      <c r="P510" s="0" t="n">
        <f aca="false">INDEX($F510:$J510,IF(1&lt;$E510,1,1+1))</f>
        <v>19.8</v>
      </c>
      <c r="Q510" s="0" t="n">
        <f aca="false">INDEX($F510:$J510,IF(2&lt;$E510,2,2+1))</f>
        <v>8.3</v>
      </c>
      <c r="R510" s="0" t="n">
        <f aca="false">INDEX($F510:$J510,IF(3&lt;$E510,3,3+1))</f>
        <v>11.2</v>
      </c>
      <c r="S510" s="0" t="n">
        <f aca="false">INDEX($F510:$J510,IF(4&lt;$E510,4,4+1))</f>
        <v>10.3</v>
      </c>
      <c r="T510" s="0" t="n">
        <f aca="false">INDEX($K510:$O510,IF(1&lt;$E510,1,1+1))</f>
        <v>13.8978750677</v>
      </c>
      <c r="U510" s="0" t="n">
        <f aca="false">INDEX($K510:$O510,IF(2&lt;$E510,2,2+1))</f>
        <v>20.0967793403</v>
      </c>
      <c r="V510" s="0" t="n">
        <f aca="false">INDEX($K510:$O510,IF(3&lt;$E510,3,3+1))</f>
        <v>25.2811890123</v>
      </c>
      <c r="W510" s="0" t="n">
        <f aca="false">INDEX($K510:$O510,IF(4&lt;$E510,4,4+1))</f>
        <v>4.44441153907</v>
      </c>
      <c r="X510" s="0" t="n">
        <f aca="false">1+COUNTIF($P510:$S510,"&gt;"&amp;$P510)+(COUNTIF($P510:$S510,$P510)-1)/2</f>
        <v>1</v>
      </c>
      <c r="Y510" s="0" t="n">
        <f aca="false">1+COUNTIF($P510:$S510,"&gt;"&amp;$Q510)+(COUNTIF($P510:$S510,$Q510)-1)/2</f>
        <v>4</v>
      </c>
      <c r="Z510" s="0" t="n">
        <f aca="false">1+COUNTIF($P510:$S510,"&gt;"&amp;$R510)+(COUNTIF($P510:$S510,$R510)-1)/2</f>
        <v>2</v>
      </c>
      <c r="AA510" s="0" t="n">
        <f aca="false">1+COUNTIF($P510:$S510,"&gt;"&amp;$S510)+(COUNTIF($P510:$S510,$S510)-1)/2</f>
        <v>3</v>
      </c>
      <c r="AB510" s="0" t="n">
        <f aca="false">1+COUNTIF($T510:$W510,"&gt;"&amp;$T510)+(COUNTIF($T510:$W510,$T510)-1)/2</f>
        <v>3</v>
      </c>
      <c r="AC510" s="0" t="n">
        <f aca="false">1+COUNTIF($T510:$W510,"&gt;"&amp;$U510)+(COUNTIF($T510:$W510,$U510)-1)/2</f>
        <v>2</v>
      </c>
      <c r="AD510" s="0" t="n">
        <f aca="false">1+COUNTIF($T510:$W510,"&gt;"&amp;$V510)+(COUNTIF($T510:$W510,$V510)-1)/2</f>
        <v>1</v>
      </c>
      <c r="AE510" s="0" t="n">
        <f aca="false">1+COUNTIF($T510:$W510,"&gt;"&amp;$W510)+(COUNTIF($T510:$W510,$W510)-1)/2</f>
        <v>4</v>
      </c>
      <c r="AF510" s="0" t="n">
        <f aca="false">IFERROR(CORREL($P510:$S510,$T510:$W510),"")</f>
        <v>-0.140773678295718</v>
      </c>
      <c r="AG510" s="0" t="n">
        <f aca="false">IFERROR(CORREL($X510:$AA510,$AB510:$AE510),"")</f>
        <v>0</v>
      </c>
      <c r="AH510" s="0" t="n">
        <f aca="false">IFERROR((SIGN($P510-$Q510)*SIGN($T510-$U510)+SIGN($P510-$R510)*SIGN($T510-$V510)+SIGN($P510-$S510)*SIGN($T510-$W510)+SIGN($Q510-$R510)*SIGN($U510-$V510)+SIGN($Q510-$S510)*SIGN($U510-$W510)+SIGN($R510-$S510)*SIGN($V510-$W510))/SQRT((6-(($P510=$Q510)*1+($P510=$R510)*1+($P510=$S510)*1+($Q510=$R510)*1+($Q510=$S510)*1+($R510=$S510)*1))*(6-(($T510=$U510)*1+($T510=$V510)*1+($T510=$W510)*1+($U510=$V510)*1+($U510=$W510)*1+($V510=$W510)*1))),"")</f>
        <v>0</v>
      </c>
      <c r="AI510" s="0" t="n">
        <f aca="false">MATCH(MAX($K510:$O510),$K510:$O510,0)</f>
        <v>3</v>
      </c>
      <c r="AJ510" s="0" t="n">
        <f aca="false">IF(AI510&lt;&gt;$E510,1,0)</f>
        <v>0</v>
      </c>
      <c r="AK510" s="0" t="str">
        <f aca="false">IF(AJ510=1,INDEX($F510:$J510,AI510)/MAX($P510:$S510),"")</f>
        <v/>
      </c>
      <c r="AL510" s="0" t="str">
        <f aca="false">IF(AJ510=1,1+COUNTIF($P510:$S510,"&gt;"&amp;INDEX($F510:$J510,AI510)),"")</f>
        <v/>
      </c>
      <c r="AM510" s="0" t="n">
        <f aca="false">AVERAGE($P510:$S510)/MAX($P510:$S510)</f>
        <v>0.626262626262626</v>
      </c>
      <c r="AN510" s="0" t="n">
        <f aca="false">100-INDEX($F510:$J510,$E510)</f>
        <v>53.4</v>
      </c>
    </row>
    <row r="511" customFormat="false" ht="15" hidden="false" customHeight="false" outlineLevel="0" collapsed="false">
      <c r="A511" s="0" t="s">
        <v>57</v>
      </c>
      <c r="B511" s="0" t="n">
        <v>2014</v>
      </c>
      <c r="C511" s="0" t="s">
        <v>49</v>
      </c>
      <c r="D511" s="0" t="s">
        <v>54</v>
      </c>
      <c r="E511" s="0" t="n">
        <v>1</v>
      </c>
      <c r="F511" s="0" t="n">
        <v>47.5</v>
      </c>
      <c r="G511" s="0" t="n">
        <v>8.8</v>
      </c>
      <c r="H511" s="0" t="n">
        <v>13.2</v>
      </c>
      <c r="I511" s="0" t="n">
        <v>11.6</v>
      </c>
      <c r="J511" s="0" t="n">
        <v>11.9</v>
      </c>
      <c r="K511" s="0" t="n">
        <v>69.7315432515</v>
      </c>
      <c r="L511" s="0" t="n">
        <v>15.9450808267</v>
      </c>
      <c r="M511" s="0" t="n">
        <v>13.9340187596</v>
      </c>
      <c r="N511" s="0" t="n">
        <v>0.295420020543</v>
      </c>
      <c r="O511" s="0" t="n">
        <v>0.0939371416451</v>
      </c>
      <c r="P511" s="0" t="n">
        <f aca="false">INDEX($F511:$J511,IF(1&lt;$E511,1,1+1))</f>
        <v>8.8</v>
      </c>
      <c r="Q511" s="0" t="n">
        <f aca="false">INDEX($F511:$J511,IF(2&lt;$E511,2,2+1))</f>
        <v>13.2</v>
      </c>
      <c r="R511" s="0" t="n">
        <f aca="false">INDEX($F511:$J511,IF(3&lt;$E511,3,3+1))</f>
        <v>11.6</v>
      </c>
      <c r="S511" s="0" t="n">
        <f aca="false">INDEX($F511:$J511,IF(4&lt;$E511,4,4+1))</f>
        <v>11.9</v>
      </c>
      <c r="T511" s="0" t="n">
        <f aca="false">INDEX($K511:$O511,IF(1&lt;$E511,1,1+1))</f>
        <v>15.9450808267</v>
      </c>
      <c r="U511" s="0" t="n">
        <f aca="false">INDEX($K511:$O511,IF(2&lt;$E511,2,2+1))</f>
        <v>13.9340187596</v>
      </c>
      <c r="V511" s="0" t="n">
        <f aca="false">INDEX($K511:$O511,IF(3&lt;$E511,3,3+1))</f>
        <v>0.295420020543</v>
      </c>
      <c r="W511" s="0" t="n">
        <f aca="false">INDEX($K511:$O511,IF(4&lt;$E511,4,4+1))</f>
        <v>0.0939371416451</v>
      </c>
      <c r="X511" s="0" t="n">
        <f aca="false">1+COUNTIF($P511:$S511,"&gt;"&amp;$P511)+(COUNTIF($P511:$S511,$P511)-1)/2</f>
        <v>4</v>
      </c>
      <c r="Y511" s="0" t="n">
        <f aca="false">1+COUNTIF($P511:$S511,"&gt;"&amp;$Q511)+(COUNTIF($P511:$S511,$Q511)-1)/2</f>
        <v>1</v>
      </c>
      <c r="Z511" s="0" t="n">
        <f aca="false">1+COUNTIF($P511:$S511,"&gt;"&amp;$R511)+(COUNTIF($P511:$S511,$R511)-1)/2</f>
        <v>3</v>
      </c>
      <c r="AA511" s="0" t="n">
        <f aca="false">1+COUNTIF($P511:$S511,"&gt;"&amp;$S511)+(COUNTIF($P511:$S511,$S511)-1)/2</f>
        <v>2</v>
      </c>
      <c r="AB511" s="0" t="n">
        <f aca="false">1+COUNTIF($T511:$W511,"&gt;"&amp;$T511)+(COUNTIF($T511:$W511,$T511)-1)/2</f>
        <v>1</v>
      </c>
      <c r="AC511" s="0" t="n">
        <f aca="false">1+COUNTIF($T511:$W511,"&gt;"&amp;$U511)+(COUNTIF($T511:$W511,$U511)-1)/2</f>
        <v>2</v>
      </c>
      <c r="AD511" s="0" t="n">
        <f aca="false">1+COUNTIF($T511:$W511,"&gt;"&amp;$V511)+(COUNTIF($T511:$W511,$V511)-1)/2</f>
        <v>3</v>
      </c>
      <c r="AE511" s="0" t="n">
        <f aca="false">1+COUNTIF($T511:$W511,"&gt;"&amp;$W511)+(COUNTIF($T511:$W511,$W511)-1)/2</f>
        <v>4</v>
      </c>
      <c r="AF511" s="0" t="n">
        <f aca="false">IFERROR(CORREL($P511:$S511,$T511:$W511),"")</f>
        <v>-0.32649410972659</v>
      </c>
      <c r="AG511" s="0" t="n">
        <f aca="false">IFERROR(CORREL($X511:$AA511,$AB511:$AE511),"")</f>
        <v>-0.4</v>
      </c>
      <c r="AH511" s="0" t="n">
        <f aca="false">IFERROR((SIGN($P511-$Q511)*SIGN($T511-$U511)+SIGN($P511-$R511)*SIGN($T511-$V511)+SIGN($P511-$S511)*SIGN($T511-$W511)+SIGN($Q511-$R511)*SIGN($U511-$V511)+SIGN($Q511-$S511)*SIGN($U511-$W511)+SIGN($R511-$S511)*SIGN($V511-$W511))/SQRT((6-(($P511=$Q511)*1+($P511=$R511)*1+($P511=$S511)*1+($Q511=$R511)*1+($Q511=$S511)*1+($R511=$S511)*1))*(6-(($T511=$U511)*1+($T511=$V511)*1+($T511=$W511)*1+($U511=$V511)*1+($U511=$W511)*1+($V511=$W511)*1))),"")</f>
        <v>-0.333333333333333</v>
      </c>
      <c r="AI511" s="0" t="n">
        <f aca="false">MATCH(MAX($K511:$O511),$K511:$O511,0)</f>
        <v>1</v>
      </c>
      <c r="AJ511" s="0" t="n">
        <f aca="false">IF(AI511&lt;&gt;$E511,1,0)</f>
        <v>0</v>
      </c>
      <c r="AK511" s="0" t="str">
        <f aca="false">IF(AJ511=1,INDEX($F511:$J511,AI511)/MAX($P511:$S511),"")</f>
        <v/>
      </c>
      <c r="AL511" s="0" t="str">
        <f aca="false">IF(AJ511=1,1+COUNTIF($P511:$S511,"&gt;"&amp;INDEX($F511:$J511,AI511)),"")</f>
        <v/>
      </c>
      <c r="AM511" s="0" t="n">
        <f aca="false">AVERAGE($P511:$S511)/MAX($P511:$S511)</f>
        <v>0.861742424242424</v>
      </c>
      <c r="AN511" s="0" t="n">
        <f aca="false">100-INDEX($F511:$J511,$E511)</f>
        <v>52.5</v>
      </c>
    </row>
    <row r="512" customFormat="false" ht="15" hidden="false" customHeight="false" outlineLevel="0" collapsed="false">
      <c r="A512" s="0" t="s">
        <v>57</v>
      </c>
      <c r="B512" s="0" t="n">
        <v>2014</v>
      </c>
      <c r="C512" s="0" t="s">
        <v>49</v>
      </c>
      <c r="D512" s="0" t="s">
        <v>42</v>
      </c>
      <c r="E512" s="0" t="n">
        <v>3</v>
      </c>
      <c r="F512" s="0" t="n">
        <v>26.2</v>
      </c>
      <c r="G512" s="0" t="n">
        <v>12.7</v>
      </c>
      <c r="H512" s="0" t="n">
        <v>29.9</v>
      </c>
      <c r="I512" s="0" t="n">
        <v>8</v>
      </c>
      <c r="J512" s="0" t="n">
        <v>15.9</v>
      </c>
      <c r="K512" s="0" t="n">
        <v>1.64539955625</v>
      </c>
      <c r="L512" s="0" t="n">
        <v>18.8754346302</v>
      </c>
      <c r="M512" s="0" t="n">
        <v>40.4519672362</v>
      </c>
      <c r="N512" s="0" t="n">
        <v>12.949620909</v>
      </c>
      <c r="O512" s="0" t="n">
        <v>26.0775776683</v>
      </c>
      <c r="P512" s="0" t="n">
        <f aca="false">INDEX($F512:$J512,IF(1&lt;$E512,1,1+1))</f>
        <v>26.2</v>
      </c>
      <c r="Q512" s="0" t="n">
        <f aca="false">INDEX($F512:$J512,IF(2&lt;$E512,2,2+1))</f>
        <v>12.7</v>
      </c>
      <c r="R512" s="0" t="n">
        <f aca="false">INDEX($F512:$J512,IF(3&lt;$E512,3,3+1))</f>
        <v>8</v>
      </c>
      <c r="S512" s="0" t="n">
        <f aca="false">INDEX($F512:$J512,IF(4&lt;$E512,4,4+1))</f>
        <v>15.9</v>
      </c>
      <c r="T512" s="0" t="n">
        <f aca="false">INDEX($K512:$O512,IF(1&lt;$E512,1,1+1))</f>
        <v>1.64539955625</v>
      </c>
      <c r="U512" s="0" t="n">
        <f aca="false">INDEX($K512:$O512,IF(2&lt;$E512,2,2+1))</f>
        <v>18.8754346302</v>
      </c>
      <c r="V512" s="0" t="n">
        <f aca="false">INDEX($K512:$O512,IF(3&lt;$E512,3,3+1))</f>
        <v>12.949620909</v>
      </c>
      <c r="W512" s="0" t="n">
        <f aca="false">INDEX($K512:$O512,IF(4&lt;$E512,4,4+1))</f>
        <v>26.0775776683</v>
      </c>
      <c r="X512" s="0" t="n">
        <f aca="false">1+COUNTIF($P512:$S512,"&gt;"&amp;$P512)+(COUNTIF($P512:$S512,$P512)-1)/2</f>
        <v>1</v>
      </c>
      <c r="Y512" s="0" t="n">
        <f aca="false">1+COUNTIF($P512:$S512,"&gt;"&amp;$Q512)+(COUNTIF($P512:$S512,$Q512)-1)/2</f>
        <v>3</v>
      </c>
      <c r="Z512" s="0" t="n">
        <f aca="false">1+COUNTIF($P512:$S512,"&gt;"&amp;$R512)+(COUNTIF($P512:$S512,$R512)-1)/2</f>
        <v>4</v>
      </c>
      <c r="AA512" s="0" t="n">
        <f aca="false">1+COUNTIF($P512:$S512,"&gt;"&amp;$S512)+(COUNTIF($P512:$S512,$S512)-1)/2</f>
        <v>2</v>
      </c>
      <c r="AB512" s="0" t="n">
        <f aca="false">1+COUNTIF($T512:$W512,"&gt;"&amp;$T512)+(COUNTIF($T512:$W512,$T512)-1)/2</f>
        <v>4</v>
      </c>
      <c r="AC512" s="0" t="n">
        <f aca="false">1+COUNTIF($T512:$W512,"&gt;"&amp;$U512)+(COUNTIF($T512:$W512,$U512)-1)/2</f>
        <v>2</v>
      </c>
      <c r="AD512" s="0" t="n">
        <f aca="false">1+COUNTIF($T512:$W512,"&gt;"&amp;$V512)+(COUNTIF($T512:$W512,$V512)-1)/2</f>
        <v>3</v>
      </c>
      <c r="AE512" s="0" t="n">
        <f aca="false">1+COUNTIF($T512:$W512,"&gt;"&amp;$W512)+(COUNTIF($T512:$W512,$W512)-1)/2</f>
        <v>1</v>
      </c>
      <c r="AF512" s="0" t="n">
        <f aca="false">IFERROR(CORREL($P512:$S512,$T512:$W512),"")</f>
        <v>-0.559704120481234</v>
      </c>
      <c r="AG512" s="0" t="n">
        <f aca="false">IFERROR(CORREL($X512:$AA512,$AB512:$AE512),"")</f>
        <v>-0.2</v>
      </c>
      <c r="AH512" s="0" t="n">
        <f aca="false">IFERROR((SIGN($P512-$Q512)*SIGN($T512-$U512)+SIGN($P512-$R512)*SIGN($T512-$V512)+SIGN($P512-$S512)*SIGN($T512-$W512)+SIGN($Q512-$R512)*SIGN($U512-$V512)+SIGN($Q512-$S512)*SIGN($U512-$W512)+SIGN($R512-$S512)*SIGN($V512-$W512))/SQRT((6-(($P512=$Q512)*1+($P512=$R512)*1+($P512=$S512)*1+($Q512=$R512)*1+($Q512=$S512)*1+($R512=$S512)*1))*(6-(($T512=$U512)*1+($T512=$V512)*1+($T512=$W512)*1+($U512=$V512)*1+($U512=$W512)*1+($V512=$W512)*1))),"")</f>
        <v>0</v>
      </c>
      <c r="AI512" s="0" t="n">
        <f aca="false">MATCH(MAX($K512:$O512),$K512:$O512,0)</f>
        <v>3</v>
      </c>
      <c r="AJ512" s="0" t="n">
        <f aca="false">IF(AI512&lt;&gt;$E512,1,0)</f>
        <v>0</v>
      </c>
      <c r="AK512" s="0" t="str">
        <f aca="false">IF(AJ512=1,INDEX($F512:$J512,AI512)/MAX($P512:$S512),"")</f>
        <v/>
      </c>
      <c r="AL512" s="0" t="str">
        <f aca="false">IF(AJ512=1,1+COUNTIF($P512:$S512,"&gt;"&amp;INDEX($F512:$J512,AI512)),"")</f>
        <v/>
      </c>
      <c r="AM512" s="0" t="n">
        <f aca="false">AVERAGE($P512:$S512)/MAX($P512:$S512)</f>
        <v>0.599236641221374</v>
      </c>
      <c r="AN512" s="0" t="n">
        <f aca="false">100-INDEX($F512:$J512,$E512)</f>
        <v>70.1</v>
      </c>
    </row>
    <row r="513" customFormat="false" ht="15" hidden="false" customHeight="false" outlineLevel="0" collapsed="false">
      <c r="A513" s="0" t="s">
        <v>57</v>
      </c>
      <c r="B513" s="0" t="n">
        <v>2014</v>
      </c>
      <c r="C513" s="0" t="s">
        <v>49</v>
      </c>
      <c r="D513" s="0" t="s">
        <v>43</v>
      </c>
      <c r="E513" s="0" t="n">
        <v>5</v>
      </c>
      <c r="F513" s="0" t="n">
        <v>11.2</v>
      </c>
      <c r="G513" s="0" t="n">
        <v>19.3</v>
      </c>
      <c r="H513" s="0" t="n">
        <v>13.8</v>
      </c>
      <c r="I513" s="0" t="n">
        <v>10.8</v>
      </c>
      <c r="J513" s="0" t="n">
        <v>37.4</v>
      </c>
      <c r="K513" s="0" t="n">
        <v>31.652854247</v>
      </c>
      <c r="L513" s="0" t="n">
        <v>35.5471919411</v>
      </c>
      <c r="M513" s="0" t="n">
        <v>5.94206214306</v>
      </c>
      <c r="N513" s="0" t="n">
        <v>19.3647865377</v>
      </c>
      <c r="O513" s="0" t="n">
        <v>7.49310513121</v>
      </c>
      <c r="P513" s="0" t="n">
        <f aca="false">INDEX($F513:$J513,IF(1&lt;$E513,1,1+1))</f>
        <v>11.2</v>
      </c>
      <c r="Q513" s="0" t="n">
        <f aca="false">INDEX($F513:$J513,IF(2&lt;$E513,2,2+1))</f>
        <v>19.3</v>
      </c>
      <c r="R513" s="0" t="n">
        <f aca="false">INDEX($F513:$J513,IF(3&lt;$E513,3,3+1))</f>
        <v>13.8</v>
      </c>
      <c r="S513" s="0" t="n">
        <f aca="false">INDEX($F513:$J513,IF(4&lt;$E513,4,4+1))</f>
        <v>10.8</v>
      </c>
      <c r="T513" s="0" t="n">
        <f aca="false">INDEX($K513:$O513,IF(1&lt;$E513,1,1+1))</f>
        <v>31.652854247</v>
      </c>
      <c r="U513" s="0" t="n">
        <f aca="false">INDEX($K513:$O513,IF(2&lt;$E513,2,2+1))</f>
        <v>35.5471919411</v>
      </c>
      <c r="V513" s="0" t="n">
        <f aca="false">INDEX($K513:$O513,IF(3&lt;$E513,3,3+1))</f>
        <v>5.94206214306</v>
      </c>
      <c r="W513" s="0" t="n">
        <f aca="false">INDEX($K513:$O513,IF(4&lt;$E513,4,4+1))</f>
        <v>19.3647865377</v>
      </c>
      <c r="X513" s="0" t="n">
        <f aca="false">1+COUNTIF($P513:$S513,"&gt;"&amp;$P513)+(COUNTIF($P513:$S513,$P513)-1)/2</f>
        <v>3</v>
      </c>
      <c r="Y513" s="0" t="n">
        <f aca="false">1+COUNTIF($P513:$S513,"&gt;"&amp;$Q513)+(COUNTIF($P513:$S513,$Q513)-1)/2</f>
        <v>1</v>
      </c>
      <c r="Z513" s="0" t="n">
        <f aca="false">1+COUNTIF($P513:$S513,"&gt;"&amp;$R513)+(COUNTIF($P513:$S513,$R513)-1)/2</f>
        <v>2</v>
      </c>
      <c r="AA513" s="0" t="n">
        <f aca="false">1+COUNTIF($P513:$S513,"&gt;"&amp;$S513)+(COUNTIF($P513:$S513,$S513)-1)/2</f>
        <v>4</v>
      </c>
      <c r="AB513" s="0" t="n">
        <f aca="false">1+COUNTIF($T513:$W513,"&gt;"&amp;$T513)+(COUNTIF($T513:$W513,$T513)-1)/2</f>
        <v>2</v>
      </c>
      <c r="AC513" s="0" t="n">
        <f aca="false">1+COUNTIF($T513:$W513,"&gt;"&amp;$U513)+(COUNTIF($T513:$W513,$U513)-1)/2</f>
        <v>1</v>
      </c>
      <c r="AD513" s="0" t="n">
        <f aca="false">1+COUNTIF($T513:$W513,"&gt;"&amp;$V513)+(COUNTIF($T513:$W513,$V513)-1)/2</f>
        <v>4</v>
      </c>
      <c r="AE513" s="0" t="n">
        <f aca="false">1+COUNTIF($T513:$W513,"&gt;"&amp;$W513)+(COUNTIF($T513:$W513,$W513)-1)/2</f>
        <v>3</v>
      </c>
      <c r="AF513" s="0" t="n">
        <f aca="false">IFERROR(CORREL($P513:$S513,$T513:$W513),"")</f>
        <v>0.365571461707869</v>
      </c>
      <c r="AG513" s="0" t="n">
        <f aca="false">IFERROR(CORREL($X513:$AA513,$AB513:$AE513),"")</f>
        <v>0.4</v>
      </c>
      <c r="AH513" s="0" t="n">
        <f aca="false">IFERROR((SIGN($P513-$Q513)*SIGN($T513-$U513)+SIGN($P513-$R513)*SIGN($T513-$V513)+SIGN($P513-$S513)*SIGN($T513-$W513)+SIGN($Q513-$R513)*SIGN($U513-$V513)+SIGN($Q513-$S513)*SIGN($U513-$W513)+SIGN($R513-$S513)*SIGN($V513-$W513))/SQRT((6-(($P513=$Q513)*1+($P513=$R513)*1+($P513=$S513)*1+($Q513=$R513)*1+($Q513=$S513)*1+($R513=$S513)*1))*(6-(($T513=$U513)*1+($T513=$V513)*1+($T513=$W513)*1+($U513=$V513)*1+($U513=$W513)*1+($V513=$W513)*1))),"")</f>
        <v>0.333333333333333</v>
      </c>
      <c r="AI513" s="0" t="n">
        <f aca="false">MATCH(MAX($K513:$O513),$K513:$O513,0)</f>
        <v>2</v>
      </c>
      <c r="AJ513" s="0" t="n">
        <f aca="false">IF(AI513&lt;&gt;$E513,1,0)</f>
        <v>1</v>
      </c>
      <c r="AK513" s="0" t="n">
        <f aca="false">IF(AJ513=1,INDEX($F513:$J513,AI513)/MAX($P513:$S513),"")</f>
        <v>1</v>
      </c>
      <c r="AL513" s="0" t="n">
        <f aca="false">IF(AJ513=1,1+COUNTIF($P513:$S513,"&gt;"&amp;INDEX($F513:$J513,AI513)),"")</f>
        <v>1</v>
      </c>
      <c r="AM513" s="0" t="n">
        <f aca="false">AVERAGE($P513:$S513)/MAX($P513:$S513)</f>
        <v>0.713730569948187</v>
      </c>
      <c r="AN513" s="0" t="n">
        <f aca="false">100-INDEX($F513:$J513,$E513)</f>
        <v>62.6</v>
      </c>
    </row>
    <row r="514" customFormat="false" ht="15" hidden="false" customHeight="false" outlineLevel="0" collapsed="false">
      <c r="A514" s="0" t="s">
        <v>57</v>
      </c>
      <c r="B514" s="0" t="n">
        <v>2014</v>
      </c>
      <c r="C514" s="0" t="s">
        <v>51</v>
      </c>
      <c r="D514" s="0" t="s">
        <v>59</v>
      </c>
      <c r="E514" s="0" t="n">
        <v>2</v>
      </c>
      <c r="F514" s="0" t="n">
        <v>35.9</v>
      </c>
      <c r="G514" s="0" t="n">
        <v>27.4</v>
      </c>
      <c r="H514" s="0" t="n">
        <v>14.9</v>
      </c>
      <c r="I514" s="0" t="n">
        <v>11.1</v>
      </c>
      <c r="J514" s="0" t="n">
        <v>7.6</v>
      </c>
      <c r="K514" s="0" t="n">
        <v>13.3858604509</v>
      </c>
      <c r="L514" s="0" t="n">
        <v>3.08621372484</v>
      </c>
      <c r="M514" s="0" t="n">
        <v>4.67231640049</v>
      </c>
      <c r="N514" s="0" t="n">
        <v>61.5095268884</v>
      </c>
      <c r="O514" s="0" t="n">
        <v>17.3460825354</v>
      </c>
      <c r="P514" s="0" t="n">
        <f aca="false">INDEX($F514:$J514,IF(1&lt;$E514,1,1+1))</f>
        <v>35.9</v>
      </c>
      <c r="Q514" s="0" t="n">
        <f aca="false">INDEX($F514:$J514,IF(2&lt;$E514,2,2+1))</f>
        <v>14.9</v>
      </c>
      <c r="R514" s="0" t="n">
        <f aca="false">INDEX($F514:$J514,IF(3&lt;$E514,3,3+1))</f>
        <v>11.1</v>
      </c>
      <c r="S514" s="0" t="n">
        <f aca="false">INDEX($F514:$J514,IF(4&lt;$E514,4,4+1))</f>
        <v>7.6</v>
      </c>
      <c r="T514" s="0" t="n">
        <f aca="false">INDEX($K514:$O514,IF(1&lt;$E514,1,1+1))</f>
        <v>13.3858604509</v>
      </c>
      <c r="U514" s="0" t="n">
        <f aca="false">INDEX($K514:$O514,IF(2&lt;$E514,2,2+1))</f>
        <v>4.67231640049</v>
      </c>
      <c r="V514" s="0" t="n">
        <f aca="false">INDEX($K514:$O514,IF(3&lt;$E514,3,3+1))</f>
        <v>61.5095268884</v>
      </c>
      <c r="W514" s="0" t="n">
        <f aca="false">INDEX($K514:$O514,IF(4&lt;$E514,4,4+1))</f>
        <v>17.3460825354</v>
      </c>
      <c r="X514" s="0" t="n">
        <f aca="false">1+COUNTIF($P514:$S514,"&gt;"&amp;$P514)+(COUNTIF($P514:$S514,$P514)-1)/2</f>
        <v>1</v>
      </c>
      <c r="Y514" s="0" t="n">
        <f aca="false">1+COUNTIF($P514:$S514,"&gt;"&amp;$Q514)+(COUNTIF($P514:$S514,$Q514)-1)/2</f>
        <v>2</v>
      </c>
      <c r="Z514" s="0" t="n">
        <f aca="false">1+COUNTIF($P514:$S514,"&gt;"&amp;$R514)+(COUNTIF($P514:$S514,$R514)-1)/2</f>
        <v>3</v>
      </c>
      <c r="AA514" s="0" t="n">
        <f aca="false">1+COUNTIF($P514:$S514,"&gt;"&amp;$S514)+(COUNTIF($P514:$S514,$S514)-1)/2</f>
        <v>4</v>
      </c>
      <c r="AB514" s="0" t="n">
        <f aca="false">1+COUNTIF($T514:$W514,"&gt;"&amp;$T514)+(COUNTIF($T514:$W514,$T514)-1)/2</f>
        <v>3</v>
      </c>
      <c r="AC514" s="0" t="n">
        <f aca="false">1+COUNTIF($T514:$W514,"&gt;"&amp;$U514)+(COUNTIF($T514:$W514,$U514)-1)/2</f>
        <v>4</v>
      </c>
      <c r="AD514" s="0" t="n">
        <f aca="false">1+COUNTIF($T514:$W514,"&gt;"&amp;$V514)+(COUNTIF($T514:$W514,$V514)-1)/2</f>
        <v>1</v>
      </c>
      <c r="AE514" s="0" t="n">
        <f aca="false">1+COUNTIF($T514:$W514,"&gt;"&amp;$W514)+(COUNTIF($T514:$W514,$W514)-1)/2</f>
        <v>2</v>
      </c>
      <c r="AF514" s="0" t="n">
        <f aca="false">IFERROR(CORREL($P514:$S514,$T514:$W514),"")</f>
        <v>-0.329486830852073</v>
      </c>
      <c r="AG514" s="0" t="n">
        <f aca="false">IFERROR(CORREL($X514:$AA514,$AB514:$AE514),"")</f>
        <v>-0.6</v>
      </c>
      <c r="AH514" s="0" t="n">
        <f aca="false">IFERROR((SIGN($P514-$Q514)*SIGN($T514-$U514)+SIGN($P514-$R514)*SIGN($T514-$V514)+SIGN($P514-$S514)*SIGN($T514-$W514)+SIGN($Q514-$R514)*SIGN($U514-$V514)+SIGN($Q514-$S514)*SIGN($U514-$W514)+SIGN($R514-$S514)*SIGN($V514-$W514))/SQRT((6-(($P514=$Q514)*1+($P514=$R514)*1+($P514=$S514)*1+($Q514=$R514)*1+($Q514=$S514)*1+($R514=$S514)*1))*(6-(($T514=$U514)*1+($T514=$V514)*1+($T514=$W514)*1+($U514=$V514)*1+($U514=$W514)*1+($V514=$W514)*1))),"")</f>
        <v>-0.333333333333333</v>
      </c>
      <c r="AI514" s="0" t="n">
        <f aca="false">MATCH(MAX($K514:$O514),$K514:$O514,0)</f>
        <v>4</v>
      </c>
      <c r="AJ514" s="0" t="n">
        <f aca="false">IF(AI514&lt;&gt;$E514,1,0)</f>
        <v>1</v>
      </c>
      <c r="AK514" s="0" t="n">
        <f aca="false">IF(AJ514=1,INDEX($F514:$J514,AI514)/MAX($P514:$S514),"")</f>
        <v>0.309192200557103</v>
      </c>
      <c r="AL514" s="0" t="n">
        <f aca="false">IF(AJ514=1,1+COUNTIF($P514:$S514,"&gt;"&amp;INDEX($F514:$J514,AI514)),"")</f>
        <v>3</v>
      </c>
      <c r="AM514" s="0" t="n">
        <f aca="false">AVERAGE($P514:$S514)/MAX($P514:$S514)</f>
        <v>0.483983286908078</v>
      </c>
      <c r="AN514" s="0" t="n">
        <f aca="false">100-INDEX($F514:$J514,$E514)</f>
        <v>72.6</v>
      </c>
    </row>
    <row r="515" customFormat="false" ht="15" hidden="false" customHeight="false" outlineLevel="0" collapsed="false">
      <c r="A515" s="0" t="s">
        <v>57</v>
      </c>
      <c r="B515" s="0" t="n">
        <v>2014</v>
      </c>
      <c r="C515" s="0" t="s">
        <v>51</v>
      </c>
      <c r="D515" s="0" t="s">
        <v>60</v>
      </c>
      <c r="E515" s="0" t="n">
        <v>1</v>
      </c>
      <c r="F515" s="0" t="n">
        <v>25.4</v>
      </c>
      <c r="G515" s="0" t="n">
        <v>17</v>
      </c>
      <c r="H515" s="0" t="n">
        <v>18.1</v>
      </c>
      <c r="I515" s="0" t="n">
        <v>21.2</v>
      </c>
      <c r="J515" s="0" t="n">
        <v>15.1</v>
      </c>
      <c r="K515" s="0" t="n">
        <v>22.112893522</v>
      </c>
      <c r="L515" s="0" t="n">
        <v>35.2980336496</v>
      </c>
      <c r="M515" s="0" t="n">
        <v>37.5233287569</v>
      </c>
      <c r="N515" s="0" t="n">
        <v>4.24191558815</v>
      </c>
      <c r="O515" s="0" t="n">
        <v>0.823828483261</v>
      </c>
      <c r="P515" s="0" t="n">
        <f aca="false">INDEX($F515:$J515,IF(1&lt;$E515,1,1+1))</f>
        <v>17</v>
      </c>
      <c r="Q515" s="0" t="n">
        <f aca="false">INDEX($F515:$J515,IF(2&lt;$E515,2,2+1))</f>
        <v>18.1</v>
      </c>
      <c r="R515" s="0" t="n">
        <f aca="false">INDEX($F515:$J515,IF(3&lt;$E515,3,3+1))</f>
        <v>21.2</v>
      </c>
      <c r="S515" s="0" t="n">
        <f aca="false">INDEX($F515:$J515,IF(4&lt;$E515,4,4+1))</f>
        <v>15.1</v>
      </c>
      <c r="T515" s="0" t="n">
        <f aca="false">INDEX($K515:$O515,IF(1&lt;$E515,1,1+1))</f>
        <v>35.2980336496</v>
      </c>
      <c r="U515" s="0" t="n">
        <f aca="false">INDEX($K515:$O515,IF(2&lt;$E515,2,2+1))</f>
        <v>37.5233287569</v>
      </c>
      <c r="V515" s="0" t="n">
        <f aca="false">INDEX($K515:$O515,IF(3&lt;$E515,3,3+1))</f>
        <v>4.24191558815</v>
      </c>
      <c r="W515" s="0" t="n">
        <f aca="false">INDEX($K515:$O515,IF(4&lt;$E515,4,4+1))</f>
        <v>0.823828483261</v>
      </c>
      <c r="X515" s="0" t="n">
        <f aca="false">1+COUNTIF($P515:$S515,"&gt;"&amp;$P515)+(COUNTIF($P515:$S515,$P515)-1)/2</f>
        <v>3</v>
      </c>
      <c r="Y515" s="0" t="n">
        <f aca="false">1+COUNTIF($P515:$S515,"&gt;"&amp;$Q515)+(COUNTIF($P515:$S515,$Q515)-1)/2</f>
        <v>2</v>
      </c>
      <c r="Z515" s="0" t="n">
        <f aca="false">1+COUNTIF($P515:$S515,"&gt;"&amp;$R515)+(COUNTIF($P515:$S515,$R515)-1)/2</f>
        <v>1</v>
      </c>
      <c r="AA515" s="0" t="n">
        <f aca="false">1+COUNTIF($P515:$S515,"&gt;"&amp;$S515)+(COUNTIF($P515:$S515,$S515)-1)/2</f>
        <v>4</v>
      </c>
      <c r="AB515" s="0" t="n">
        <f aca="false">1+COUNTIF($T515:$W515,"&gt;"&amp;$T515)+(COUNTIF($T515:$W515,$T515)-1)/2</f>
        <v>2</v>
      </c>
      <c r="AC515" s="0" t="n">
        <f aca="false">1+COUNTIF($T515:$W515,"&gt;"&amp;$U515)+(COUNTIF($T515:$W515,$U515)-1)/2</f>
        <v>1</v>
      </c>
      <c r="AD515" s="0" t="n">
        <f aca="false">1+COUNTIF($T515:$W515,"&gt;"&amp;$V515)+(COUNTIF($T515:$W515,$V515)-1)/2</f>
        <v>3</v>
      </c>
      <c r="AE515" s="0" t="n">
        <f aca="false">1+COUNTIF($T515:$W515,"&gt;"&amp;$W515)+(COUNTIF($T515:$W515,$W515)-1)/2</f>
        <v>4</v>
      </c>
      <c r="AF515" s="0" t="n">
        <f aca="false">IFERROR(CORREL($P515:$S515,$T515:$W515),"")</f>
        <v>-0.0576927504257769</v>
      </c>
      <c r="AG515" s="0" t="n">
        <f aca="false">IFERROR(CORREL($X515:$AA515,$AB515:$AE515),"")</f>
        <v>0.4</v>
      </c>
      <c r="AH515" s="0" t="n">
        <f aca="false">IFERROR((SIGN($P515-$Q515)*SIGN($T515-$U515)+SIGN($P515-$R515)*SIGN($T515-$V515)+SIGN($P515-$S515)*SIGN($T515-$W515)+SIGN($Q515-$R515)*SIGN($U515-$V515)+SIGN($Q515-$S515)*SIGN($U515-$W515)+SIGN($R515-$S515)*SIGN($V515-$W515))/SQRT((6-(($P515=$Q515)*1+($P515=$R515)*1+($P515=$S515)*1+($Q515=$R515)*1+($Q515=$S515)*1+($R515=$S515)*1))*(6-(($T515=$U515)*1+($T515=$V515)*1+($T515=$W515)*1+($U515=$V515)*1+($U515=$W515)*1+($V515=$W515)*1))),"")</f>
        <v>0.333333333333333</v>
      </c>
      <c r="AI515" s="0" t="n">
        <f aca="false">MATCH(MAX($K515:$O515),$K515:$O515,0)</f>
        <v>3</v>
      </c>
      <c r="AJ515" s="0" t="n">
        <f aca="false">IF(AI515&lt;&gt;$E515,1,0)</f>
        <v>1</v>
      </c>
      <c r="AK515" s="0" t="n">
        <f aca="false">IF(AJ515=1,INDEX($F515:$J515,AI515)/MAX($P515:$S515),"")</f>
        <v>0.853773584905661</v>
      </c>
      <c r="AL515" s="0" t="n">
        <f aca="false">IF(AJ515=1,1+COUNTIF($P515:$S515,"&gt;"&amp;INDEX($F515:$J515,AI515)),"")</f>
        <v>2</v>
      </c>
      <c r="AM515" s="0" t="n">
        <f aca="false">AVERAGE($P515:$S515)/MAX($P515:$S515)</f>
        <v>0.841981132075472</v>
      </c>
      <c r="AN515" s="0" t="n">
        <f aca="false">100-INDEX($F515:$J515,$E515)</f>
        <v>74.6</v>
      </c>
    </row>
    <row r="516" customFormat="false" ht="15" hidden="false" customHeight="false" outlineLevel="0" collapsed="false">
      <c r="A516" s="0" t="s">
        <v>57</v>
      </c>
      <c r="B516" s="0" t="n">
        <v>2014</v>
      </c>
      <c r="C516" s="0" t="s">
        <v>46</v>
      </c>
      <c r="D516" s="0" t="s">
        <v>54</v>
      </c>
      <c r="E516" s="0" t="n">
        <v>1</v>
      </c>
      <c r="F516" s="0" t="n">
        <v>41</v>
      </c>
      <c r="G516" s="0" t="n">
        <v>8.3</v>
      </c>
      <c r="H516" s="0" t="n">
        <v>17.2</v>
      </c>
      <c r="I516" s="0" t="n">
        <v>16.5</v>
      </c>
      <c r="J516" s="0" t="n">
        <v>12.6</v>
      </c>
      <c r="K516" s="0" t="n">
        <v>75.7761537838</v>
      </c>
      <c r="L516" s="0" t="n">
        <v>7.45843017477</v>
      </c>
      <c r="M516" s="0" t="n">
        <v>4.15420384068</v>
      </c>
      <c r="N516" s="0" t="n">
        <v>5.42330387532</v>
      </c>
      <c r="O516" s="0" t="n">
        <v>7.18790832548</v>
      </c>
      <c r="P516" s="0" t="n">
        <f aca="false">INDEX($F516:$J516,IF(1&lt;$E516,1,1+1))</f>
        <v>8.3</v>
      </c>
      <c r="Q516" s="0" t="n">
        <f aca="false">INDEX($F516:$J516,IF(2&lt;$E516,2,2+1))</f>
        <v>17.2</v>
      </c>
      <c r="R516" s="0" t="n">
        <f aca="false">INDEX($F516:$J516,IF(3&lt;$E516,3,3+1))</f>
        <v>16.5</v>
      </c>
      <c r="S516" s="0" t="n">
        <f aca="false">INDEX($F516:$J516,IF(4&lt;$E516,4,4+1))</f>
        <v>12.6</v>
      </c>
      <c r="T516" s="0" t="n">
        <f aca="false">INDEX($K516:$O516,IF(1&lt;$E516,1,1+1))</f>
        <v>7.45843017477</v>
      </c>
      <c r="U516" s="0" t="n">
        <f aca="false">INDEX($K516:$O516,IF(2&lt;$E516,2,2+1))</f>
        <v>4.15420384068</v>
      </c>
      <c r="V516" s="0" t="n">
        <f aca="false">INDEX($K516:$O516,IF(3&lt;$E516,3,3+1))</f>
        <v>5.42330387532</v>
      </c>
      <c r="W516" s="0" t="n">
        <f aca="false">INDEX($K516:$O516,IF(4&lt;$E516,4,4+1))</f>
        <v>7.18790832548</v>
      </c>
      <c r="X516" s="0" t="n">
        <f aca="false">1+COUNTIF($P516:$S516,"&gt;"&amp;$P516)+(COUNTIF($P516:$S516,$P516)-1)/2</f>
        <v>4</v>
      </c>
      <c r="Y516" s="0" t="n">
        <f aca="false">1+COUNTIF($P516:$S516,"&gt;"&amp;$Q516)+(COUNTIF($P516:$S516,$Q516)-1)/2</f>
        <v>1</v>
      </c>
      <c r="Z516" s="0" t="n">
        <f aca="false">1+COUNTIF($P516:$S516,"&gt;"&amp;$R516)+(COUNTIF($P516:$S516,$R516)-1)/2</f>
        <v>2</v>
      </c>
      <c r="AA516" s="0" t="n">
        <f aca="false">1+COUNTIF($P516:$S516,"&gt;"&amp;$S516)+(COUNTIF($P516:$S516,$S516)-1)/2</f>
        <v>3</v>
      </c>
      <c r="AB516" s="0" t="n">
        <f aca="false">1+COUNTIF($T516:$W516,"&gt;"&amp;$T516)+(COUNTIF($T516:$W516,$T516)-1)/2</f>
        <v>1</v>
      </c>
      <c r="AC516" s="0" t="n">
        <f aca="false">1+COUNTIF($T516:$W516,"&gt;"&amp;$U516)+(COUNTIF($T516:$W516,$U516)-1)/2</f>
        <v>4</v>
      </c>
      <c r="AD516" s="0" t="n">
        <f aca="false">1+COUNTIF($T516:$W516,"&gt;"&amp;$V516)+(COUNTIF($T516:$W516,$V516)-1)/2</f>
        <v>3</v>
      </c>
      <c r="AE516" s="0" t="n">
        <f aca="false">1+COUNTIF($T516:$W516,"&gt;"&amp;$W516)+(COUNTIF($T516:$W516,$W516)-1)/2</f>
        <v>2</v>
      </c>
      <c r="AF516" s="0" t="n">
        <f aca="false">IFERROR(CORREL($P516:$S516,$T516:$W516),"")</f>
        <v>-0.900817590831633</v>
      </c>
      <c r="AG516" s="0" t="n">
        <f aca="false">IFERROR(CORREL($X516:$AA516,$AB516:$AE516),"")</f>
        <v>-1</v>
      </c>
      <c r="AH516" s="0" t="n">
        <f aca="false">IFERROR((SIGN($P516-$Q516)*SIGN($T516-$U516)+SIGN($P516-$R516)*SIGN($T516-$V516)+SIGN($P516-$S516)*SIGN($T516-$W516)+SIGN($Q516-$R516)*SIGN($U516-$V516)+SIGN($Q516-$S516)*SIGN($U516-$W516)+SIGN($R516-$S516)*SIGN($V516-$W516))/SQRT((6-(($P516=$Q516)*1+($P516=$R516)*1+($P516=$S516)*1+($Q516=$R516)*1+($Q516=$S516)*1+($R516=$S516)*1))*(6-(($T516=$U516)*1+($T516=$V516)*1+($T516=$W516)*1+($U516=$V516)*1+($U516=$W516)*1+($V516=$W516)*1))),"")</f>
        <v>-1</v>
      </c>
      <c r="AI516" s="0" t="n">
        <f aca="false">MATCH(MAX($K516:$O516),$K516:$O516,0)</f>
        <v>1</v>
      </c>
      <c r="AJ516" s="0" t="n">
        <f aca="false">IF(AI516&lt;&gt;$E516,1,0)</f>
        <v>0</v>
      </c>
      <c r="AK516" s="0" t="str">
        <f aca="false">IF(AJ516=1,INDEX($F516:$J516,AI516)/MAX($P516:$S516),"")</f>
        <v/>
      </c>
      <c r="AL516" s="0" t="str">
        <f aca="false">IF(AJ516=1,1+COUNTIF($P516:$S516,"&gt;"&amp;INDEX($F516:$J516,AI516)),"")</f>
        <v/>
      </c>
      <c r="AM516" s="0" t="n">
        <f aca="false">AVERAGE($P516:$S516)/MAX($P516:$S516)</f>
        <v>0.793604651162791</v>
      </c>
      <c r="AN516" s="0" t="n">
        <f aca="false">100-INDEX($F516:$J516,$E516)</f>
        <v>59</v>
      </c>
    </row>
    <row r="517" customFormat="false" ht="15" hidden="false" customHeight="false" outlineLevel="0" collapsed="false">
      <c r="A517" s="0" t="s">
        <v>57</v>
      </c>
      <c r="B517" s="0" t="n">
        <v>2014</v>
      </c>
      <c r="C517" s="0" t="s">
        <v>46</v>
      </c>
      <c r="D517" s="0" t="s">
        <v>42</v>
      </c>
      <c r="E517" s="0" t="n">
        <v>4</v>
      </c>
      <c r="F517" s="0" t="n">
        <v>24.6</v>
      </c>
      <c r="G517" s="0" t="n">
        <v>18.8</v>
      </c>
      <c r="H517" s="0" t="n">
        <v>10</v>
      </c>
      <c r="I517" s="0" t="n">
        <v>35.9</v>
      </c>
      <c r="J517" s="0" t="n">
        <v>6.2</v>
      </c>
      <c r="K517" s="0" t="n">
        <v>10.1681768721</v>
      </c>
      <c r="L517" s="0" t="n">
        <v>58.3835133597</v>
      </c>
      <c r="M517" s="0" t="n">
        <v>8.61045291217</v>
      </c>
      <c r="N517" s="0" t="n">
        <v>13.5000151929</v>
      </c>
      <c r="O517" s="0" t="n">
        <v>9.33784166315</v>
      </c>
      <c r="P517" s="0" t="n">
        <f aca="false">INDEX($F517:$J517,IF(1&lt;$E517,1,1+1))</f>
        <v>24.6</v>
      </c>
      <c r="Q517" s="0" t="n">
        <f aca="false">INDEX($F517:$J517,IF(2&lt;$E517,2,2+1))</f>
        <v>18.8</v>
      </c>
      <c r="R517" s="0" t="n">
        <f aca="false">INDEX($F517:$J517,IF(3&lt;$E517,3,3+1))</f>
        <v>10</v>
      </c>
      <c r="S517" s="0" t="n">
        <f aca="false">INDEX($F517:$J517,IF(4&lt;$E517,4,4+1))</f>
        <v>6.2</v>
      </c>
      <c r="T517" s="0" t="n">
        <f aca="false">INDEX($K517:$O517,IF(1&lt;$E517,1,1+1))</f>
        <v>10.1681768721</v>
      </c>
      <c r="U517" s="0" t="n">
        <f aca="false">INDEX($K517:$O517,IF(2&lt;$E517,2,2+1))</f>
        <v>58.3835133597</v>
      </c>
      <c r="V517" s="0" t="n">
        <f aca="false">INDEX($K517:$O517,IF(3&lt;$E517,3,3+1))</f>
        <v>8.61045291217</v>
      </c>
      <c r="W517" s="0" t="n">
        <f aca="false">INDEX($K517:$O517,IF(4&lt;$E517,4,4+1))</f>
        <v>9.33784166315</v>
      </c>
      <c r="X517" s="0" t="n">
        <f aca="false">1+COUNTIF($P517:$S517,"&gt;"&amp;$P517)+(COUNTIF($P517:$S517,$P517)-1)/2</f>
        <v>1</v>
      </c>
      <c r="Y517" s="0" t="n">
        <f aca="false">1+COUNTIF($P517:$S517,"&gt;"&amp;$Q517)+(COUNTIF($P517:$S517,$Q517)-1)/2</f>
        <v>2</v>
      </c>
      <c r="Z517" s="0" t="n">
        <f aca="false">1+COUNTIF($P517:$S517,"&gt;"&amp;$R517)+(COUNTIF($P517:$S517,$R517)-1)/2</f>
        <v>3</v>
      </c>
      <c r="AA517" s="0" t="n">
        <f aca="false">1+COUNTIF($P517:$S517,"&gt;"&amp;$S517)+(COUNTIF($P517:$S517,$S517)-1)/2</f>
        <v>4</v>
      </c>
      <c r="AB517" s="0" t="n">
        <f aca="false">1+COUNTIF($T517:$W517,"&gt;"&amp;$T517)+(COUNTIF($T517:$W517,$T517)-1)/2</f>
        <v>2</v>
      </c>
      <c r="AC517" s="0" t="n">
        <f aca="false">1+COUNTIF($T517:$W517,"&gt;"&amp;$U517)+(COUNTIF($T517:$W517,$U517)-1)/2</f>
        <v>1</v>
      </c>
      <c r="AD517" s="0" t="n">
        <f aca="false">1+COUNTIF($T517:$W517,"&gt;"&amp;$V517)+(COUNTIF($T517:$W517,$V517)-1)/2</f>
        <v>4</v>
      </c>
      <c r="AE517" s="0" t="n">
        <f aca="false">1+COUNTIF($T517:$W517,"&gt;"&amp;$W517)+(COUNTIF($T517:$W517,$W517)-1)/2</f>
        <v>3</v>
      </c>
      <c r="AF517" s="0" t="n">
        <f aca="false">IFERROR(CORREL($P517:$S517,$T517:$W517),"")</f>
        <v>0.330542893829411</v>
      </c>
      <c r="AG517" s="0" t="n">
        <f aca="false">IFERROR(CORREL($X517:$AA517,$AB517:$AE517),"")</f>
        <v>0.6</v>
      </c>
      <c r="AH517" s="0" t="n">
        <f aca="false">IFERROR((SIGN($P517-$Q517)*SIGN($T517-$U517)+SIGN($P517-$R517)*SIGN($T517-$V517)+SIGN($P517-$S517)*SIGN($T517-$W517)+SIGN($Q517-$R517)*SIGN($U517-$V517)+SIGN($Q517-$S517)*SIGN($U517-$W517)+SIGN($R517-$S517)*SIGN($V517-$W517))/SQRT((6-(($P517=$Q517)*1+($P517=$R517)*1+($P517=$S517)*1+($Q517=$R517)*1+($Q517=$S517)*1+($R517=$S517)*1))*(6-(($T517=$U517)*1+($T517=$V517)*1+($T517=$W517)*1+($U517=$V517)*1+($U517=$W517)*1+($V517=$W517)*1))),"")</f>
        <v>0.333333333333333</v>
      </c>
      <c r="AI517" s="0" t="n">
        <f aca="false">MATCH(MAX($K517:$O517),$K517:$O517,0)</f>
        <v>2</v>
      </c>
      <c r="AJ517" s="0" t="n">
        <f aca="false">IF(AI517&lt;&gt;$E517,1,0)</f>
        <v>1</v>
      </c>
      <c r="AK517" s="0" t="n">
        <f aca="false">IF(AJ517=1,INDEX($F517:$J517,AI517)/MAX($P517:$S517),"")</f>
        <v>0.764227642276423</v>
      </c>
      <c r="AL517" s="0" t="n">
        <f aca="false">IF(AJ517=1,1+COUNTIF($P517:$S517,"&gt;"&amp;INDEX($F517:$J517,AI517)),"")</f>
        <v>2</v>
      </c>
      <c r="AM517" s="0" t="n">
        <f aca="false">AVERAGE($P517:$S517)/MAX($P517:$S517)</f>
        <v>0.605691056910569</v>
      </c>
      <c r="AN517" s="0" t="n">
        <f aca="false">100-INDEX($F517:$J517,$E517)</f>
        <v>64.1</v>
      </c>
    </row>
    <row r="518" customFormat="false" ht="15" hidden="false" customHeight="false" outlineLevel="0" collapsed="false">
      <c r="A518" s="0" t="s">
        <v>57</v>
      </c>
      <c r="B518" s="0" t="n">
        <v>2014</v>
      </c>
      <c r="C518" s="0" t="s">
        <v>46</v>
      </c>
      <c r="D518" s="0" t="s">
        <v>43</v>
      </c>
      <c r="E518" s="0" t="n">
        <v>2</v>
      </c>
      <c r="F518" s="0" t="n">
        <v>15</v>
      </c>
      <c r="G518" s="0" t="n">
        <v>35.4</v>
      </c>
      <c r="H518" s="0" t="n">
        <v>23.9</v>
      </c>
      <c r="I518" s="0" t="n">
        <v>12.5</v>
      </c>
      <c r="J518" s="0" t="n">
        <v>8.7</v>
      </c>
      <c r="K518" s="0" t="n">
        <v>7.33262428005</v>
      </c>
      <c r="L518" s="0" t="n">
        <v>11.2070107852</v>
      </c>
      <c r="M518" s="0" t="n">
        <v>64.5448292046</v>
      </c>
      <c r="N518" s="0" t="n">
        <v>11.4679023367</v>
      </c>
      <c r="O518" s="0" t="n">
        <v>5.44763339341</v>
      </c>
      <c r="P518" s="0" t="n">
        <f aca="false">INDEX($F518:$J518,IF(1&lt;$E518,1,1+1))</f>
        <v>15</v>
      </c>
      <c r="Q518" s="0" t="n">
        <f aca="false">INDEX($F518:$J518,IF(2&lt;$E518,2,2+1))</f>
        <v>23.9</v>
      </c>
      <c r="R518" s="0" t="n">
        <f aca="false">INDEX($F518:$J518,IF(3&lt;$E518,3,3+1))</f>
        <v>12.5</v>
      </c>
      <c r="S518" s="0" t="n">
        <f aca="false">INDEX($F518:$J518,IF(4&lt;$E518,4,4+1))</f>
        <v>8.7</v>
      </c>
      <c r="T518" s="0" t="n">
        <f aca="false">INDEX($K518:$O518,IF(1&lt;$E518,1,1+1))</f>
        <v>7.33262428005</v>
      </c>
      <c r="U518" s="0" t="n">
        <f aca="false">INDEX($K518:$O518,IF(2&lt;$E518,2,2+1))</f>
        <v>64.5448292046</v>
      </c>
      <c r="V518" s="0" t="n">
        <f aca="false">INDEX($K518:$O518,IF(3&lt;$E518,3,3+1))</f>
        <v>11.4679023367</v>
      </c>
      <c r="W518" s="0" t="n">
        <f aca="false">INDEX($K518:$O518,IF(4&lt;$E518,4,4+1))</f>
        <v>5.44763339341</v>
      </c>
      <c r="X518" s="0" t="n">
        <f aca="false">1+COUNTIF($P518:$S518,"&gt;"&amp;$P518)+(COUNTIF($P518:$S518,$P518)-1)/2</f>
        <v>2</v>
      </c>
      <c r="Y518" s="0" t="n">
        <f aca="false">1+COUNTIF($P518:$S518,"&gt;"&amp;$Q518)+(COUNTIF($P518:$S518,$Q518)-1)/2</f>
        <v>1</v>
      </c>
      <c r="Z518" s="0" t="n">
        <f aca="false">1+COUNTIF($P518:$S518,"&gt;"&amp;$R518)+(COUNTIF($P518:$S518,$R518)-1)/2</f>
        <v>3</v>
      </c>
      <c r="AA518" s="0" t="n">
        <f aca="false">1+COUNTIF($P518:$S518,"&gt;"&amp;$S518)+(COUNTIF($P518:$S518,$S518)-1)/2</f>
        <v>4</v>
      </c>
      <c r="AB518" s="0" t="n">
        <f aca="false">1+COUNTIF($T518:$W518,"&gt;"&amp;$T518)+(COUNTIF($T518:$W518,$T518)-1)/2</f>
        <v>3</v>
      </c>
      <c r="AC518" s="0" t="n">
        <f aca="false">1+COUNTIF($T518:$W518,"&gt;"&amp;$U518)+(COUNTIF($T518:$W518,$U518)-1)/2</f>
        <v>1</v>
      </c>
      <c r="AD518" s="0" t="n">
        <f aca="false">1+COUNTIF($T518:$W518,"&gt;"&amp;$V518)+(COUNTIF($T518:$W518,$V518)-1)/2</f>
        <v>2</v>
      </c>
      <c r="AE518" s="0" t="n">
        <f aca="false">1+COUNTIF($T518:$W518,"&gt;"&amp;$W518)+(COUNTIF($T518:$W518,$W518)-1)/2</f>
        <v>4</v>
      </c>
      <c r="AF518" s="0" t="n">
        <f aca="false">IFERROR(CORREL($P518:$S518,$T518:$W518),"")</f>
        <v>0.927272617334583</v>
      </c>
      <c r="AG518" s="0" t="n">
        <f aca="false">IFERROR(CORREL($X518:$AA518,$AB518:$AE518),"")</f>
        <v>0.8</v>
      </c>
      <c r="AH518" s="0" t="n">
        <f aca="false">IFERROR((SIGN($P518-$Q518)*SIGN($T518-$U518)+SIGN($P518-$R518)*SIGN($T518-$V518)+SIGN($P518-$S518)*SIGN($T518-$W518)+SIGN($Q518-$R518)*SIGN($U518-$V518)+SIGN($Q518-$S518)*SIGN($U518-$W518)+SIGN($R518-$S518)*SIGN($V518-$W518))/SQRT((6-(($P518=$Q518)*1+($P518=$R518)*1+($P518=$S518)*1+($Q518=$R518)*1+($Q518=$S518)*1+($R518=$S518)*1))*(6-(($T518=$U518)*1+($T518=$V518)*1+($T518=$W518)*1+($U518=$V518)*1+($U518=$W518)*1+($V518=$W518)*1))),"")</f>
        <v>0.666666666666667</v>
      </c>
      <c r="AI518" s="0" t="n">
        <f aca="false">MATCH(MAX($K518:$O518),$K518:$O518,0)</f>
        <v>3</v>
      </c>
      <c r="AJ518" s="0" t="n">
        <f aca="false">IF(AI518&lt;&gt;$E518,1,0)</f>
        <v>1</v>
      </c>
      <c r="AK518" s="0" t="n">
        <f aca="false">IF(AJ518=1,INDEX($F518:$J518,AI518)/MAX($P518:$S518),"")</f>
        <v>1</v>
      </c>
      <c r="AL518" s="0" t="n">
        <f aca="false">IF(AJ518=1,1+COUNTIF($P518:$S518,"&gt;"&amp;INDEX($F518:$J518,AI518)),"")</f>
        <v>1</v>
      </c>
      <c r="AM518" s="0" t="n">
        <f aca="false">AVERAGE($P518:$S518)/MAX($P518:$S518)</f>
        <v>0.628661087866109</v>
      </c>
      <c r="AN518" s="0" t="n">
        <f aca="false">100-INDEX($F518:$J518,$E518)</f>
        <v>64.6</v>
      </c>
    </row>
    <row r="519" customFormat="false" ht="15" hidden="false" customHeight="false" outlineLevel="0" collapsed="false">
      <c r="A519" s="0" t="s">
        <v>57</v>
      </c>
      <c r="B519" s="0" t="n">
        <v>2014</v>
      </c>
      <c r="C519" s="0" t="s">
        <v>46</v>
      </c>
      <c r="D519" s="0" t="s">
        <v>44</v>
      </c>
      <c r="E519" s="0" t="n">
        <v>2</v>
      </c>
      <c r="F519" s="0" t="n">
        <v>9.1</v>
      </c>
      <c r="G519" s="0" t="n">
        <v>50.6</v>
      </c>
      <c r="H519" s="0" t="n">
        <v>13.1</v>
      </c>
      <c r="I519" s="0" t="n">
        <v>9.7</v>
      </c>
      <c r="J519" s="0" t="n">
        <v>13</v>
      </c>
      <c r="K519" s="0" t="n">
        <v>30.4701103976</v>
      </c>
      <c r="L519" s="0" t="n">
        <v>10.8530063021</v>
      </c>
      <c r="M519" s="0" t="n">
        <v>10.1655954752</v>
      </c>
      <c r="N519" s="0" t="n">
        <v>30.7800319058</v>
      </c>
      <c r="O519" s="0" t="n">
        <v>17.7312559194</v>
      </c>
      <c r="P519" s="0" t="n">
        <f aca="false">INDEX($F519:$J519,IF(1&lt;$E519,1,1+1))</f>
        <v>9.1</v>
      </c>
      <c r="Q519" s="0" t="n">
        <f aca="false">INDEX($F519:$J519,IF(2&lt;$E519,2,2+1))</f>
        <v>13.1</v>
      </c>
      <c r="R519" s="0" t="n">
        <f aca="false">INDEX($F519:$J519,IF(3&lt;$E519,3,3+1))</f>
        <v>9.7</v>
      </c>
      <c r="S519" s="0" t="n">
        <f aca="false">INDEX($F519:$J519,IF(4&lt;$E519,4,4+1))</f>
        <v>13</v>
      </c>
      <c r="T519" s="0" t="n">
        <f aca="false">INDEX($K519:$O519,IF(1&lt;$E519,1,1+1))</f>
        <v>30.4701103976</v>
      </c>
      <c r="U519" s="0" t="n">
        <f aca="false">INDEX($K519:$O519,IF(2&lt;$E519,2,2+1))</f>
        <v>10.1655954752</v>
      </c>
      <c r="V519" s="0" t="n">
        <f aca="false">INDEX($K519:$O519,IF(3&lt;$E519,3,3+1))</f>
        <v>30.7800319058</v>
      </c>
      <c r="W519" s="0" t="n">
        <f aca="false">INDEX($K519:$O519,IF(4&lt;$E519,4,4+1))</f>
        <v>17.7312559194</v>
      </c>
      <c r="X519" s="0" t="n">
        <f aca="false">1+COUNTIF($P519:$S519,"&gt;"&amp;$P519)+(COUNTIF($P519:$S519,$P519)-1)/2</f>
        <v>4</v>
      </c>
      <c r="Y519" s="0" t="n">
        <f aca="false">1+COUNTIF($P519:$S519,"&gt;"&amp;$Q519)+(COUNTIF($P519:$S519,$Q519)-1)/2</f>
        <v>1</v>
      </c>
      <c r="Z519" s="0" t="n">
        <f aca="false">1+COUNTIF($P519:$S519,"&gt;"&amp;$R519)+(COUNTIF($P519:$S519,$R519)-1)/2</f>
        <v>3</v>
      </c>
      <c r="AA519" s="0" t="n">
        <f aca="false">1+COUNTIF($P519:$S519,"&gt;"&amp;$S519)+(COUNTIF($P519:$S519,$S519)-1)/2</f>
        <v>2</v>
      </c>
      <c r="AB519" s="0" t="n">
        <f aca="false">1+COUNTIF($T519:$W519,"&gt;"&amp;$T519)+(COUNTIF($T519:$W519,$T519)-1)/2</f>
        <v>2</v>
      </c>
      <c r="AC519" s="0" t="n">
        <f aca="false">1+COUNTIF($T519:$W519,"&gt;"&amp;$U519)+(COUNTIF($T519:$W519,$U519)-1)/2</f>
        <v>4</v>
      </c>
      <c r="AD519" s="0" t="n">
        <f aca="false">1+COUNTIF($T519:$W519,"&gt;"&amp;$V519)+(COUNTIF($T519:$W519,$V519)-1)/2</f>
        <v>1</v>
      </c>
      <c r="AE519" s="0" t="n">
        <f aca="false">1+COUNTIF($T519:$W519,"&gt;"&amp;$W519)+(COUNTIF($T519:$W519,$W519)-1)/2</f>
        <v>3</v>
      </c>
      <c r="AF519" s="0" t="n">
        <f aca="false">IFERROR(CORREL($P519:$S519,$T519:$W519),"")</f>
        <v>-0.95001994333993</v>
      </c>
      <c r="AG519" s="0" t="n">
        <f aca="false">IFERROR(CORREL($X519:$AA519,$AB519:$AE519),"")</f>
        <v>-0.8</v>
      </c>
      <c r="AH519" s="0" t="n">
        <f aca="false">IFERROR((SIGN($P519-$Q519)*SIGN($T519-$U519)+SIGN($P519-$R519)*SIGN($T519-$V519)+SIGN($P519-$S519)*SIGN($T519-$W519)+SIGN($Q519-$R519)*SIGN($U519-$V519)+SIGN($Q519-$S519)*SIGN($U519-$W519)+SIGN($R519-$S519)*SIGN($V519-$W519))/SQRT((6-(($P519=$Q519)*1+($P519=$R519)*1+($P519=$S519)*1+($Q519=$R519)*1+($Q519=$S519)*1+($R519=$S519)*1))*(6-(($T519=$U519)*1+($T519=$V519)*1+($T519=$W519)*1+($U519=$V519)*1+($U519=$W519)*1+($V519=$W519)*1))),"")</f>
        <v>-0.666666666666667</v>
      </c>
      <c r="AI519" s="0" t="n">
        <f aca="false">MATCH(MAX($K519:$O519),$K519:$O519,0)</f>
        <v>4</v>
      </c>
      <c r="AJ519" s="0" t="n">
        <f aca="false">IF(AI519&lt;&gt;$E519,1,0)</f>
        <v>1</v>
      </c>
      <c r="AK519" s="0" t="n">
        <f aca="false">IF(AJ519=1,INDEX($F519:$J519,AI519)/MAX($P519:$S519),"")</f>
        <v>0.740458015267176</v>
      </c>
      <c r="AL519" s="0" t="n">
        <f aca="false">IF(AJ519=1,1+COUNTIF($P519:$S519,"&gt;"&amp;INDEX($F519:$J519,AI519)),"")</f>
        <v>3</v>
      </c>
      <c r="AM519" s="0" t="n">
        <f aca="false">AVERAGE($P519:$S519)/MAX($P519:$S519)</f>
        <v>0.856870229007634</v>
      </c>
      <c r="AN519" s="0" t="n">
        <f aca="false">100-INDEX($F519:$J519,$E519)</f>
        <v>49.4</v>
      </c>
    </row>
    <row r="520" customFormat="false" ht="15" hidden="false" customHeight="false" outlineLevel="0" collapsed="false">
      <c r="A520" s="0" t="s">
        <v>57</v>
      </c>
      <c r="B520" s="0" t="n">
        <v>2013</v>
      </c>
      <c r="C520" s="0" t="s">
        <v>58</v>
      </c>
      <c r="D520" s="0" t="s">
        <v>42</v>
      </c>
      <c r="E520" s="0" t="n">
        <v>1</v>
      </c>
      <c r="F520" s="0" t="n">
        <v>60.8</v>
      </c>
      <c r="G520" s="0" t="n">
        <v>6.9</v>
      </c>
      <c r="H520" s="0" t="n">
        <v>5.1</v>
      </c>
      <c r="I520" s="0" t="n">
        <v>6.2</v>
      </c>
      <c r="J520" s="0" t="n">
        <v>19.9</v>
      </c>
      <c r="K520" s="0" t="n">
        <v>0.256166575738</v>
      </c>
      <c r="L520" s="0" t="n">
        <v>0.176293862206</v>
      </c>
      <c r="M520" s="0" t="n">
        <v>13.530602268</v>
      </c>
      <c r="N520" s="0" t="n">
        <v>14.5823785366</v>
      </c>
      <c r="O520" s="0" t="n">
        <v>71.4545587575</v>
      </c>
      <c r="P520" s="0" t="n">
        <f aca="false">INDEX($F520:$J520,IF(1&lt;$E520,1,1+1))</f>
        <v>6.9</v>
      </c>
      <c r="Q520" s="0" t="n">
        <f aca="false">INDEX($F520:$J520,IF(2&lt;$E520,2,2+1))</f>
        <v>5.1</v>
      </c>
      <c r="R520" s="0" t="n">
        <f aca="false">INDEX($F520:$J520,IF(3&lt;$E520,3,3+1))</f>
        <v>6.2</v>
      </c>
      <c r="S520" s="0" t="n">
        <f aca="false">INDEX($F520:$J520,IF(4&lt;$E520,4,4+1))</f>
        <v>19.9</v>
      </c>
      <c r="T520" s="0" t="n">
        <f aca="false">INDEX($K520:$O520,IF(1&lt;$E520,1,1+1))</f>
        <v>0.176293862206</v>
      </c>
      <c r="U520" s="0" t="n">
        <f aca="false">INDEX($K520:$O520,IF(2&lt;$E520,2,2+1))</f>
        <v>13.530602268</v>
      </c>
      <c r="V520" s="0" t="n">
        <f aca="false">INDEX($K520:$O520,IF(3&lt;$E520,3,3+1))</f>
        <v>14.5823785366</v>
      </c>
      <c r="W520" s="0" t="n">
        <f aca="false">INDEX($K520:$O520,IF(4&lt;$E520,4,4+1))</f>
        <v>71.4545587575</v>
      </c>
      <c r="X520" s="0" t="n">
        <f aca="false">1+COUNTIF($P520:$S520,"&gt;"&amp;$P520)+(COUNTIF($P520:$S520,$P520)-1)/2</f>
        <v>2</v>
      </c>
      <c r="Y520" s="0" t="n">
        <f aca="false">1+COUNTIF($P520:$S520,"&gt;"&amp;$Q520)+(COUNTIF($P520:$S520,$Q520)-1)/2</f>
        <v>4</v>
      </c>
      <c r="Z520" s="0" t="n">
        <f aca="false">1+COUNTIF($P520:$S520,"&gt;"&amp;$R520)+(COUNTIF($P520:$S520,$R520)-1)/2</f>
        <v>3</v>
      </c>
      <c r="AA520" s="0" t="n">
        <f aca="false">1+COUNTIF($P520:$S520,"&gt;"&amp;$S520)+(COUNTIF($P520:$S520,$S520)-1)/2</f>
        <v>1</v>
      </c>
      <c r="AB520" s="0" t="n">
        <f aca="false">1+COUNTIF($T520:$W520,"&gt;"&amp;$T520)+(COUNTIF($T520:$W520,$T520)-1)/2</f>
        <v>4</v>
      </c>
      <c r="AC520" s="0" t="n">
        <f aca="false">1+COUNTIF($T520:$W520,"&gt;"&amp;$U520)+(COUNTIF($T520:$W520,$U520)-1)/2</f>
        <v>3</v>
      </c>
      <c r="AD520" s="0" t="n">
        <f aca="false">1+COUNTIF($T520:$W520,"&gt;"&amp;$V520)+(COUNTIF($T520:$W520,$V520)-1)/2</f>
        <v>2</v>
      </c>
      <c r="AE520" s="0" t="n">
        <f aca="false">1+COUNTIF($T520:$W520,"&gt;"&amp;$W520)+(COUNTIF($T520:$W520,$W520)-1)/2</f>
        <v>1</v>
      </c>
      <c r="AF520" s="0" t="n">
        <f aca="false">IFERROR(CORREL($P520:$S520,$T520:$W520),"")</f>
        <v>0.956193114475032</v>
      </c>
      <c r="AG520" s="0" t="n">
        <f aca="false">IFERROR(CORREL($X520:$AA520,$AB520:$AE520),"")</f>
        <v>0.4</v>
      </c>
      <c r="AH520" s="0" t="n">
        <f aca="false">IFERROR((SIGN($P520-$Q520)*SIGN($T520-$U520)+SIGN($P520-$R520)*SIGN($T520-$V520)+SIGN($P520-$S520)*SIGN($T520-$W520)+SIGN($Q520-$R520)*SIGN($U520-$V520)+SIGN($Q520-$S520)*SIGN($U520-$W520)+SIGN($R520-$S520)*SIGN($V520-$W520))/SQRT((6-(($P520=$Q520)*1+($P520=$R520)*1+($P520=$S520)*1+($Q520=$R520)*1+($Q520=$S520)*1+($R520=$S520)*1))*(6-(($T520=$U520)*1+($T520=$V520)*1+($T520=$W520)*1+($U520=$V520)*1+($U520=$W520)*1+($V520=$W520)*1))),"")</f>
        <v>0.333333333333333</v>
      </c>
      <c r="AI520" s="0" t="n">
        <f aca="false">MATCH(MAX($K520:$O520),$K520:$O520,0)</f>
        <v>5</v>
      </c>
      <c r="AJ520" s="0" t="n">
        <f aca="false">IF(AI520&lt;&gt;$E520,1,0)</f>
        <v>1</v>
      </c>
      <c r="AK520" s="0" t="n">
        <f aca="false">IF(AJ520=1,INDEX($F520:$J520,AI520)/MAX($P520:$S520),"")</f>
        <v>1</v>
      </c>
      <c r="AL520" s="0" t="n">
        <f aca="false">IF(AJ520=1,1+COUNTIF($P520:$S520,"&gt;"&amp;INDEX($F520:$J520,AI520)),"")</f>
        <v>1</v>
      </c>
      <c r="AM520" s="0" t="n">
        <f aca="false">AVERAGE($P520:$S520)/MAX($P520:$S520)</f>
        <v>0.478643216080402</v>
      </c>
      <c r="AN520" s="0" t="n">
        <f aca="false">100-INDEX($F520:$J520,$E520)</f>
        <v>39.2</v>
      </c>
    </row>
    <row r="521" customFormat="false" ht="15" hidden="false" customHeight="false" outlineLevel="0" collapsed="false">
      <c r="A521" s="0" t="s">
        <v>57</v>
      </c>
      <c r="B521" s="0" t="n">
        <v>2013</v>
      </c>
      <c r="C521" s="0" t="s">
        <v>58</v>
      </c>
      <c r="D521" s="0" t="s">
        <v>43</v>
      </c>
      <c r="E521" s="0" t="n">
        <v>3</v>
      </c>
      <c r="F521" s="0" t="n">
        <v>11.4</v>
      </c>
      <c r="G521" s="0" t="n">
        <v>24.5</v>
      </c>
      <c r="H521" s="0" t="n">
        <v>38.6</v>
      </c>
      <c r="I521" s="0" t="n">
        <v>8.6</v>
      </c>
      <c r="J521" s="0" t="n">
        <v>15.9</v>
      </c>
      <c r="K521" s="0" t="n">
        <v>24.6697460005</v>
      </c>
      <c r="L521" s="0" t="n">
        <v>16.8160965971</v>
      </c>
      <c r="M521" s="0" t="n">
        <v>13.458735427</v>
      </c>
      <c r="N521" s="0" t="n">
        <v>11.5512010208</v>
      </c>
      <c r="O521" s="0" t="n">
        <v>33.5042209546</v>
      </c>
      <c r="P521" s="0" t="n">
        <f aca="false">INDEX($F521:$J521,IF(1&lt;$E521,1,1+1))</f>
        <v>11.4</v>
      </c>
      <c r="Q521" s="0" t="n">
        <f aca="false">INDEX($F521:$J521,IF(2&lt;$E521,2,2+1))</f>
        <v>24.5</v>
      </c>
      <c r="R521" s="0" t="n">
        <f aca="false">INDEX($F521:$J521,IF(3&lt;$E521,3,3+1))</f>
        <v>8.6</v>
      </c>
      <c r="S521" s="0" t="n">
        <f aca="false">INDEX($F521:$J521,IF(4&lt;$E521,4,4+1))</f>
        <v>15.9</v>
      </c>
      <c r="T521" s="0" t="n">
        <f aca="false">INDEX($K521:$O521,IF(1&lt;$E521,1,1+1))</f>
        <v>24.6697460005</v>
      </c>
      <c r="U521" s="0" t="n">
        <f aca="false">INDEX($K521:$O521,IF(2&lt;$E521,2,2+1))</f>
        <v>16.8160965971</v>
      </c>
      <c r="V521" s="0" t="n">
        <f aca="false">INDEX($K521:$O521,IF(3&lt;$E521,3,3+1))</f>
        <v>11.5512010208</v>
      </c>
      <c r="W521" s="0" t="n">
        <f aca="false">INDEX($K521:$O521,IF(4&lt;$E521,4,4+1))</f>
        <v>33.5042209546</v>
      </c>
      <c r="X521" s="0" t="n">
        <f aca="false">1+COUNTIF($P521:$S521,"&gt;"&amp;$P521)+(COUNTIF($P521:$S521,$P521)-1)/2</f>
        <v>3</v>
      </c>
      <c r="Y521" s="0" t="n">
        <f aca="false">1+COUNTIF($P521:$S521,"&gt;"&amp;$Q521)+(COUNTIF($P521:$S521,$Q521)-1)/2</f>
        <v>1</v>
      </c>
      <c r="Z521" s="0" t="n">
        <f aca="false">1+COUNTIF($P521:$S521,"&gt;"&amp;$R521)+(COUNTIF($P521:$S521,$R521)-1)/2</f>
        <v>4</v>
      </c>
      <c r="AA521" s="0" t="n">
        <f aca="false">1+COUNTIF($P521:$S521,"&gt;"&amp;$S521)+(COUNTIF($P521:$S521,$S521)-1)/2</f>
        <v>2</v>
      </c>
      <c r="AB521" s="0" t="n">
        <f aca="false">1+COUNTIF($T521:$W521,"&gt;"&amp;$T521)+(COUNTIF($T521:$W521,$T521)-1)/2</f>
        <v>2</v>
      </c>
      <c r="AC521" s="0" t="n">
        <f aca="false">1+COUNTIF($T521:$W521,"&gt;"&amp;$U521)+(COUNTIF($T521:$W521,$U521)-1)/2</f>
        <v>3</v>
      </c>
      <c r="AD521" s="0" t="n">
        <f aca="false">1+COUNTIF($T521:$W521,"&gt;"&amp;$V521)+(COUNTIF($T521:$W521,$V521)-1)/2</f>
        <v>4</v>
      </c>
      <c r="AE521" s="0" t="n">
        <f aca="false">1+COUNTIF($T521:$W521,"&gt;"&amp;$W521)+(COUNTIF($T521:$W521,$W521)-1)/2</f>
        <v>1</v>
      </c>
      <c r="AF521" s="0" t="n">
        <f aca="false">IFERROR(CORREL($P521:$S521,$T521:$W521),"")</f>
        <v>0.0927344505744869</v>
      </c>
      <c r="AG521" s="0" t="n">
        <f aca="false">IFERROR(CORREL($X521:$AA521,$AB521:$AE521),"")</f>
        <v>0.4</v>
      </c>
      <c r="AH521" s="0" t="n">
        <f aca="false">IFERROR((SIGN($P521-$Q521)*SIGN($T521-$U521)+SIGN($P521-$R521)*SIGN($T521-$V521)+SIGN($P521-$S521)*SIGN($T521-$W521)+SIGN($Q521-$R521)*SIGN($U521-$V521)+SIGN($Q521-$S521)*SIGN($U521-$W521)+SIGN($R521-$S521)*SIGN($V521-$W521))/SQRT((6-(($P521=$Q521)*1+($P521=$R521)*1+($P521=$S521)*1+($Q521=$R521)*1+($Q521=$S521)*1+($R521=$S521)*1))*(6-(($T521=$U521)*1+($T521=$V521)*1+($T521=$W521)*1+($U521=$V521)*1+($U521=$W521)*1+($V521=$W521)*1))),"")</f>
        <v>0.333333333333333</v>
      </c>
      <c r="AI521" s="0" t="n">
        <f aca="false">MATCH(MAX($K521:$O521),$K521:$O521,0)</f>
        <v>5</v>
      </c>
      <c r="AJ521" s="0" t="n">
        <f aca="false">IF(AI521&lt;&gt;$E521,1,0)</f>
        <v>1</v>
      </c>
      <c r="AK521" s="0" t="n">
        <f aca="false">IF(AJ521=1,INDEX($F521:$J521,AI521)/MAX($P521:$S521),"")</f>
        <v>0.648979591836735</v>
      </c>
      <c r="AL521" s="0" t="n">
        <f aca="false">IF(AJ521=1,1+COUNTIF($P521:$S521,"&gt;"&amp;INDEX($F521:$J521,AI521)),"")</f>
        <v>2</v>
      </c>
      <c r="AM521" s="0" t="n">
        <f aca="false">AVERAGE($P521:$S521)/MAX($P521:$S521)</f>
        <v>0.616326530612245</v>
      </c>
      <c r="AN521" s="0" t="n">
        <f aca="false">100-INDEX($F521:$J521,$E521)</f>
        <v>61.4</v>
      </c>
    </row>
    <row r="522" customFormat="false" ht="15" hidden="false" customHeight="false" outlineLevel="0" collapsed="false">
      <c r="A522" s="0" t="s">
        <v>57</v>
      </c>
      <c r="B522" s="0" t="n">
        <v>2013</v>
      </c>
      <c r="C522" s="0" t="s">
        <v>58</v>
      </c>
      <c r="D522" s="0" t="s">
        <v>44</v>
      </c>
      <c r="E522" s="0" t="n">
        <v>2</v>
      </c>
      <c r="F522" s="0" t="n">
        <v>15.4</v>
      </c>
      <c r="G522" s="0" t="n">
        <v>53.7</v>
      </c>
      <c r="H522" s="0" t="n">
        <v>10.9</v>
      </c>
      <c r="I522" s="0" t="n">
        <v>8.9</v>
      </c>
      <c r="J522" s="0" t="n">
        <v>9.9</v>
      </c>
      <c r="K522" s="0" t="n">
        <v>23.5511494716</v>
      </c>
      <c r="L522" s="0" t="n">
        <v>70.2353569533</v>
      </c>
      <c r="M522" s="0" t="n">
        <v>1.24101931606</v>
      </c>
      <c r="N522" s="0" t="n">
        <v>4.63582327874</v>
      </c>
      <c r="O522" s="0" t="n">
        <v>0.336650980243</v>
      </c>
      <c r="P522" s="0" t="n">
        <f aca="false">INDEX($F522:$J522,IF(1&lt;$E522,1,1+1))</f>
        <v>15.4</v>
      </c>
      <c r="Q522" s="0" t="n">
        <f aca="false">INDEX($F522:$J522,IF(2&lt;$E522,2,2+1))</f>
        <v>10.9</v>
      </c>
      <c r="R522" s="0" t="n">
        <f aca="false">INDEX($F522:$J522,IF(3&lt;$E522,3,3+1))</f>
        <v>8.9</v>
      </c>
      <c r="S522" s="0" t="n">
        <f aca="false">INDEX($F522:$J522,IF(4&lt;$E522,4,4+1))</f>
        <v>9.9</v>
      </c>
      <c r="T522" s="0" t="n">
        <f aca="false">INDEX($K522:$O522,IF(1&lt;$E522,1,1+1))</f>
        <v>23.5511494716</v>
      </c>
      <c r="U522" s="0" t="n">
        <f aca="false">INDEX($K522:$O522,IF(2&lt;$E522,2,2+1))</f>
        <v>1.24101931606</v>
      </c>
      <c r="V522" s="0" t="n">
        <f aca="false">INDEX($K522:$O522,IF(3&lt;$E522,3,3+1))</f>
        <v>4.63582327874</v>
      </c>
      <c r="W522" s="0" t="n">
        <f aca="false">INDEX($K522:$O522,IF(4&lt;$E522,4,4+1))</f>
        <v>0.336650980243</v>
      </c>
      <c r="X522" s="0" t="n">
        <f aca="false">1+COUNTIF($P522:$S522,"&gt;"&amp;$P522)+(COUNTIF($P522:$S522,$P522)-1)/2</f>
        <v>1</v>
      </c>
      <c r="Y522" s="0" t="n">
        <f aca="false">1+COUNTIF($P522:$S522,"&gt;"&amp;$Q522)+(COUNTIF($P522:$S522,$Q522)-1)/2</f>
        <v>2</v>
      </c>
      <c r="Z522" s="0" t="n">
        <f aca="false">1+COUNTIF($P522:$S522,"&gt;"&amp;$R522)+(COUNTIF($P522:$S522,$R522)-1)/2</f>
        <v>4</v>
      </c>
      <c r="AA522" s="0" t="n">
        <f aca="false">1+COUNTIF($P522:$S522,"&gt;"&amp;$S522)+(COUNTIF($P522:$S522,$S522)-1)/2</f>
        <v>3</v>
      </c>
      <c r="AB522" s="0" t="n">
        <f aca="false">1+COUNTIF($T522:$W522,"&gt;"&amp;$T522)+(COUNTIF($T522:$W522,$T522)-1)/2</f>
        <v>1</v>
      </c>
      <c r="AC522" s="0" t="n">
        <f aca="false">1+COUNTIF($T522:$W522,"&gt;"&amp;$U522)+(COUNTIF($T522:$W522,$U522)-1)/2</f>
        <v>3</v>
      </c>
      <c r="AD522" s="0" t="n">
        <f aca="false">1+COUNTIF($T522:$W522,"&gt;"&amp;$V522)+(COUNTIF($T522:$W522,$V522)-1)/2</f>
        <v>2</v>
      </c>
      <c r="AE522" s="0" t="n">
        <f aca="false">1+COUNTIF($T522:$W522,"&gt;"&amp;$W522)+(COUNTIF($T522:$W522,$W522)-1)/2</f>
        <v>4</v>
      </c>
      <c r="AF522" s="0" t="n">
        <f aca="false">IFERROR(CORREL($P522:$S522,$T522:$W522),"")</f>
        <v>0.908519252293969</v>
      </c>
      <c r="AG522" s="0" t="n">
        <f aca="false">IFERROR(CORREL($X522:$AA522,$AB522:$AE522),"")</f>
        <v>0.4</v>
      </c>
      <c r="AH522" s="0" t="n">
        <f aca="false">IFERROR((SIGN($P522-$Q522)*SIGN($T522-$U522)+SIGN($P522-$R522)*SIGN($T522-$V522)+SIGN($P522-$S522)*SIGN($T522-$W522)+SIGN($Q522-$R522)*SIGN($U522-$V522)+SIGN($Q522-$S522)*SIGN($U522-$W522)+SIGN($R522-$S522)*SIGN($V522-$W522))/SQRT((6-(($P522=$Q522)*1+($P522=$R522)*1+($P522=$S522)*1+($Q522=$R522)*1+($Q522=$S522)*1+($R522=$S522)*1))*(6-(($T522=$U522)*1+($T522=$V522)*1+($T522=$W522)*1+($U522=$V522)*1+($U522=$W522)*1+($V522=$W522)*1))),"")</f>
        <v>0.333333333333333</v>
      </c>
      <c r="AI522" s="0" t="n">
        <f aca="false">MATCH(MAX($K522:$O522),$K522:$O522,0)</f>
        <v>2</v>
      </c>
      <c r="AJ522" s="0" t="n">
        <f aca="false">IF(AI522&lt;&gt;$E522,1,0)</f>
        <v>0</v>
      </c>
      <c r="AK522" s="0" t="str">
        <f aca="false">IF(AJ522=1,INDEX($F522:$J522,AI522)/MAX($P522:$S522),"")</f>
        <v/>
      </c>
      <c r="AL522" s="0" t="str">
        <f aca="false">IF(AJ522=1,1+COUNTIF($P522:$S522,"&gt;"&amp;INDEX($F522:$J522,AI522)),"")</f>
        <v/>
      </c>
      <c r="AM522" s="0" t="n">
        <f aca="false">AVERAGE($P522:$S522)/MAX($P522:$S522)</f>
        <v>0.732142857142857</v>
      </c>
      <c r="AN522" s="0" t="n">
        <f aca="false">100-INDEX($F522:$J522,$E522)</f>
        <v>46.3</v>
      </c>
    </row>
    <row r="523" customFormat="false" ht="15" hidden="false" customHeight="false" outlineLevel="0" collapsed="false">
      <c r="A523" s="0" t="s">
        <v>57</v>
      </c>
      <c r="B523" s="0" t="n">
        <v>2013</v>
      </c>
      <c r="C523" s="0" t="s">
        <v>58</v>
      </c>
      <c r="D523" s="0" t="s">
        <v>45</v>
      </c>
      <c r="E523" s="0" t="n">
        <v>1</v>
      </c>
      <c r="F523" s="0" t="n">
        <v>43.4</v>
      </c>
      <c r="G523" s="0" t="n">
        <v>13.2</v>
      </c>
      <c r="H523" s="0" t="n">
        <v>16.7</v>
      </c>
      <c r="I523" s="0" t="n">
        <v>16.3</v>
      </c>
      <c r="J523" s="0" t="n">
        <v>9.2</v>
      </c>
      <c r="K523" s="0" t="n">
        <v>0.165694688332</v>
      </c>
      <c r="L523" s="0" t="n">
        <v>75.0145871152</v>
      </c>
      <c r="M523" s="0" t="n">
        <v>0.837289976893</v>
      </c>
      <c r="N523" s="0" t="n">
        <v>17.1234234447</v>
      </c>
      <c r="O523" s="0" t="n">
        <v>6.85900477487</v>
      </c>
      <c r="P523" s="0" t="n">
        <f aca="false">INDEX($F523:$J523,IF(1&lt;$E523,1,1+1))</f>
        <v>13.2</v>
      </c>
      <c r="Q523" s="0" t="n">
        <f aca="false">INDEX($F523:$J523,IF(2&lt;$E523,2,2+1))</f>
        <v>16.7</v>
      </c>
      <c r="R523" s="0" t="n">
        <f aca="false">INDEX($F523:$J523,IF(3&lt;$E523,3,3+1))</f>
        <v>16.3</v>
      </c>
      <c r="S523" s="0" t="n">
        <f aca="false">INDEX($F523:$J523,IF(4&lt;$E523,4,4+1))</f>
        <v>9.2</v>
      </c>
      <c r="T523" s="0" t="n">
        <f aca="false">INDEX($K523:$O523,IF(1&lt;$E523,1,1+1))</f>
        <v>75.0145871152</v>
      </c>
      <c r="U523" s="0" t="n">
        <f aca="false">INDEX($K523:$O523,IF(2&lt;$E523,2,2+1))</f>
        <v>0.837289976893</v>
      </c>
      <c r="V523" s="0" t="n">
        <f aca="false">INDEX($K523:$O523,IF(3&lt;$E523,3,3+1))</f>
        <v>17.1234234447</v>
      </c>
      <c r="W523" s="0" t="n">
        <f aca="false">INDEX($K523:$O523,IF(4&lt;$E523,4,4+1))</f>
        <v>6.85900477487</v>
      </c>
      <c r="X523" s="0" t="n">
        <f aca="false">1+COUNTIF($P523:$S523,"&gt;"&amp;$P523)+(COUNTIF($P523:$S523,$P523)-1)/2</f>
        <v>3</v>
      </c>
      <c r="Y523" s="0" t="n">
        <f aca="false">1+COUNTIF($P523:$S523,"&gt;"&amp;$Q523)+(COUNTIF($P523:$S523,$Q523)-1)/2</f>
        <v>1</v>
      </c>
      <c r="Z523" s="0" t="n">
        <f aca="false">1+COUNTIF($P523:$S523,"&gt;"&amp;$R523)+(COUNTIF($P523:$S523,$R523)-1)/2</f>
        <v>2</v>
      </c>
      <c r="AA523" s="0" t="n">
        <f aca="false">1+COUNTIF($P523:$S523,"&gt;"&amp;$S523)+(COUNTIF($P523:$S523,$S523)-1)/2</f>
        <v>4</v>
      </c>
      <c r="AB523" s="0" t="n">
        <f aca="false">1+COUNTIF($T523:$W523,"&gt;"&amp;$T523)+(COUNTIF($T523:$W523,$T523)-1)/2</f>
        <v>1</v>
      </c>
      <c r="AC523" s="0" t="n">
        <f aca="false">1+COUNTIF($T523:$W523,"&gt;"&amp;$U523)+(COUNTIF($T523:$W523,$U523)-1)/2</f>
        <v>4</v>
      </c>
      <c r="AD523" s="0" t="n">
        <f aca="false">1+COUNTIF($T523:$W523,"&gt;"&amp;$V523)+(COUNTIF($T523:$W523,$V523)-1)/2</f>
        <v>2</v>
      </c>
      <c r="AE523" s="0" t="n">
        <f aca="false">1+COUNTIF($T523:$W523,"&gt;"&amp;$W523)+(COUNTIF($T523:$W523,$W523)-1)/2</f>
        <v>3</v>
      </c>
      <c r="AF523" s="0" t="n">
        <f aca="false">IFERROR(CORREL($P523:$S523,$T523:$W523),"")</f>
        <v>-0.102411245320436</v>
      </c>
      <c r="AG523" s="0" t="n">
        <f aca="false">IFERROR(CORREL($X523:$AA523,$AB523:$AE523),"")</f>
        <v>-0.4</v>
      </c>
      <c r="AH523" s="0" t="n">
        <f aca="false">IFERROR((SIGN($P523-$Q523)*SIGN($T523-$U523)+SIGN($P523-$R523)*SIGN($T523-$V523)+SIGN($P523-$S523)*SIGN($T523-$W523)+SIGN($Q523-$R523)*SIGN($U523-$V523)+SIGN($Q523-$S523)*SIGN($U523-$W523)+SIGN($R523-$S523)*SIGN($V523-$W523))/SQRT((6-(($P523=$Q523)*1+($P523=$R523)*1+($P523=$S523)*1+($Q523=$R523)*1+($Q523=$S523)*1+($R523=$S523)*1))*(6-(($T523=$U523)*1+($T523=$V523)*1+($T523=$W523)*1+($U523=$V523)*1+($U523=$W523)*1+($V523=$W523)*1))),"")</f>
        <v>-0.333333333333333</v>
      </c>
      <c r="AI523" s="0" t="n">
        <f aca="false">MATCH(MAX($K523:$O523),$K523:$O523,0)</f>
        <v>2</v>
      </c>
      <c r="AJ523" s="0" t="n">
        <f aca="false">IF(AI523&lt;&gt;$E523,1,0)</f>
        <v>1</v>
      </c>
      <c r="AK523" s="0" t="n">
        <f aca="false">IF(AJ523=1,INDEX($F523:$J523,AI523)/MAX($P523:$S523),"")</f>
        <v>0.790419161676647</v>
      </c>
      <c r="AL523" s="0" t="n">
        <f aca="false">IF(AJ523=1,1+COUNTIF($P523:$S523,"&gt;"&amp;INDEX($F523:$J523,AI523)),"")</f>
        <v>3</v>
      </c>
      <c r="AM523" s="0" t="n">
        <f aca="false">AVERAGE($P523:$S523)/MAX($P523:$S523)</f>
        <v>0.82934131736527</v>
      </c>
      <c r="AN523" s="0" t="n">
        <f aca="false">100-INDEX($F523:$J523,$E523)</f>
        <v>56.6</v>
      </c>
    </row>
    <row r="524" customFormat="false" ht="15" hidden="false" customHeight="false" outlineLevel="0" collapsed="false">
      <c r="A524" s="0" t="s">
        <v>57</v>
      </c>
      <c r="B524" s="0" t="n">
        <v>2013</v>
      </c>
      <c r="C524" s="0" t="s">
        <v>58</v>
      </c>
      <c r="D524" s="0" t="s">
        <v>53</v>
      </c>
      <c r="E524" s="0" t="n">
        <v>2</v>
      </c>
      <c r="F524" s="0" t="n">
        <v>15.7</v>
      </c>
      <c r="G524" s="0" t="n">
        <v>32.3</v>
      </c>
      <c r="H524" s="0" t="n">
        <v>17</v>
      </c>
      <c r="I524" s="0" t="n">
        <v>25.7</v>
      </c>
      <c r="J524" s="0" t="n">
        <v>8.3</v>
      </c>
      <c r="K524" s="0" t="n">
        <v>28.352350409</v>
      </c>
      <c r="L524" s="0" t="n">
        <v>34.7657891936</v>
      </c>
      <c r="M524" s="0" t="n">
        <v>11.5722415268</v>
      </c>
      <c r="N524" s="0" t="n">
        <v>12.5324487943</v>
      </c>
      <c r="O524" s="0" t="n">
        <v>12.7771700763</v>
      </c>
      <c r="P524" s="0" t="n">
        <f aca="false">INDEX($F524:$J524,IF(1&lt;$E524,1,1+1))</f>
        <v>15.7</v>
      </c>
      <c r="Q524" s="0" t="n">
        <f aca="false">INDEX($F524:$J524,IF(2&lt;$E524,2,2+1))</f>
        <v>17</v>
      </c>
      <c r="R524" s="0" t="n">
        <f aca="false">INDEX($F524:$J524,IF(3&lt;$E524,3,3+1))</f>
        <v>25.7</v>
      </c>
      <c r="S524" s="0" t="n">
        <f aca="false">INDEX($F524:$J524,IF(4&lt;$E524,4,4+1))</f>
        <v>8.3</v>
      </c>
      <c r="T524" s="0" t="n">
        <f aca="false">INDEX($K524:$O524,IF(1&lt;$E524,1,1+1))</f>
        <v>28.352350409</v>
      </c>
      <c r="U524" s="0" t="n">
        <f aca="false">INDEX($K524:$O524,IF(2&lt;$E524,2,2+1))</f>
        <v>11.5722415268</v>
      </c>
      <c r="V524" s="0" t="n">
        <f aca="false">INDEX($K524:$O524,IF(3&lt;$E524,3,3+1))</f>
        <v>12.5324487943</v>
      </c>
      <c r="W524" s="0" t="n">
        <f aca="false">INDEX($K524:$O524,IF(4&lt;$E524,4,4+1))</f>
        <v>12.7771700763</v>
      </c>
      <c r="X524" s="0" t="n">
        <f aca="false">1+COUNTIF($P524:$S524,"&gt;"&amp;$P524)+(COUNTIF($P524:$S524,$P524)-1)/2</f>
        <v>3</v>
      </c>
      <c r="Y524" s="0" t="n">
        <f aca="false">1+COUNTIF($P524:$S524,"&gt;"&amp;$Q524)+(COUNTIF($P524:$S524,$Q524)-1)/2</f>
        <v>2</v>
      </c>
      <c r="Z524" s="0" t="n">
        <f aca="false">1+COUNTIF($P524:$S524,"&gt;"&amp;$R524)+(COUNTIF($P524:$S524,$R524)-1)/2</f>
        <v>1</v>
      </c>
      <c r="AA524" s="0" t="n">
        <f aca="false">1+COUNTIF($P524:$S524,"&gt;"&amp;$S524)+(COUNTIF($P524:$S524,$S524)-1)/2</f>
        <v>4</v>
      </c>
      <c r="AB524" s="0" t="n">
        <f aca="false">1+COUNTIF($T524:$W524,"&gt;"&amp;$T524)+(COUNTIF($T524:$W524,$T524)-1)/2</f>
        <v>1</v>
      </c>
      <c r="AC524" s="0" t="n">
        <f aca="false">1+COUNTIF($T524:$W524,"&gt;"&amp;$U524)+(COUNTIF($T524:$W524,$U524)-1)/2</f>
        <v>4</v>
      </c>
      <c r="AD524" s="0" t="n">
        <f aca="false">1+COUNTIF($T524:$W524,"&gt;"&amp;$V524)+(COUNTIF($T524:$W524,$V524)-1)/2</f>
        <v>3</v>
      </c>
      <c r="AE524" s="0" t="n">
        <f aca="false">1+COUNTIF($T524:$W524,"&gt;"&amp;$W524)+(COUNTIF($T524:$W524,$W524)-1)/2</f>
        <v>2</v>
      </c>
      <c r="AF524" s="0" t="n">
        <f aca="false">IFERROR(CORREL($P524:$S524,$T524:$W524),"")</f>
        <v>-0.103298016610846</v>
      </c>
      <c r="AG524" s="0" t="n">
        <f aca="false">IFERROR(CORREL($X524:$AA524,$AB524:$AE524),"")</f>
        <v>-0.6</v>
      </c>
      <c r="AH524" s="0" t="n">
        <f aca="false">IFERROR((SIGN($P524-$Q524)*SIGN($T524-$U524)+SIGN($P524-$R524)*SIGN($T524-$V524)+SIGN($P524-$S524)*SIGN($T524-$W524)+SIGN($Q524-$R524)*SIGN($U524-$V524)+SIGN($Q524-$S524)*SIGN($U524-$W524)+SIGN($R524-$S524)*SIGN($V524-$W524))/SQRT((6-(($P524=$Q524)*1+($P524=$R524)*1+($P524=$S524)*1+($Q524=$R524)*1+($Q524=$S524)*1+($R524=$S524)*1))*(6-(($T524=$U524)*1+($T524=$V524)*1+($T524=$W524)*1+($U524=$V524)*1+($U524=$W524)*1+($V524=$W524)*1))),"")</f>
        <v>-0.333333333333333</v>
      </c>
      <c r="AI524" s="0" t="n">
        <f aca="false">MATCH(MAX($K524:$O524),$K524:$O524,0)</f>
        <v>2</v>
      </c>
      <c r="AJ524" s="0" t="n">
        <f aca="false">IF(AI524&lt;&gt;$E524,1,0)</f>
        <v>0</v>
      </c>
      <c r="AK524" s="0" t="str">
        <f aca="false">IF(AJ524=1,INDEX($F524:$J524,AI524)/MAX($P524:$S524),"")</f>
        <v/>
      </c>
      <c r="AL524" s="0" t="str">
        <f aca="false">IF(AJ524=1,1+COUNTIF($P524:$S524,"&gt;"&amp;INDEX($F524:$J524,AI524)),"")</f>
        <v/>
      </c>
      <c r="AM524" s="0" t="n">
        <f aca="false">AVERAGE($P524:$S524)/MAX($P524:$S524)</f>
        <v>0.648832684824903</v>
      </c>
      <c r="AN524" s="0" t="n">
        <f aca="false">100-INDEX($F524:$J524,$E524)</f>
        <v>67.7</v>
      </c>
    </row>
    <row r="525" customFormat="false" ht="15" hidden="false" customHeight="false" outlineLevel="0" collapsed="false">
      <c r="A525" s="0" t="s">
        <v>57</v>
      </c>
      <c r="B525" s="0" t="n">
        <v>2013</v>
      </c>
      <c r="C525" s="0" t="s">
        <v>49</v>
      </c>
      <c r="D525" s="0" t="s">
        <v>45</v>
      </c>
      <c r="E525" s="0" t="n">
        <v>4</v>
      </c>
      <c r="F525" s="0" t="n">
        <v>19.5</v>
      </c>
      <c r="G525" s="0" t="n">
        <v>12.6</v>
      </c>
      <c r="H525" s="0" t="n">
        <v>10.1</v>
      </c>
      <c r="I525" s="0" t="n">
        <v>30.2</v>
      </c>
      <c r="J525" s="0" t="n">
        <v>18.2</v>
      </c>
      <c r="K525" s="0" t="n">
        <v>0.0892803067271</v>
      </c>
      <c r="L525" s="0" t="n">
        <v>0.161587308426</v>
      </c>
      <c r="M525" s="0" t="n">
        <v>12.6247751989</v>
      </c>
      <c r="N525" s="0" t="n">
        <v>86.9241888344</v>
      </c>
      <c r="O525" s="0" t="n">
        <v>0.200168351528</v>
      </c>
      <c r="P525" s="0" t="n">
        <f aca="false">INDEX($F525:$J525,IF(1&lt;$E525,1,1+1))</f>
        <v>19.5</v>
      </c>
      <c r="Q525" s="0" t="n">
        <f aca="false">INDEX($F525:$J525,IF(2&lt;$E525,2,2+1))</f>
        <v>12.6</v>
      </c>
      <c r="R525" s="0" t="n">
        <f aca="false">INDEX($F525:$J525,IF(3&lt;$E525,3,3+1))</f>
        <v>10.1</v>
      </c>
      <c r="S525" s="0" t="n">
        <f aca="false">INDEX($F525:$J525,IF(4&lt;$E525,4,4+1))</f>
        <v>18.2</v>
      </c>
      <c r="T525" s="0" t="n">
        <f aca="false">INDEX($K525:$O525,IF(1&lt;$E525,1,1+1))</f>
        <v>0.0892803067271</v>
      </c>
      <c r="U525" s="0" t="n">
        <f aca="false">INDEX($K525:$O525,IF(2&lt;$E525,2,2+1))</f>
        <v>0.161587308426</v>
      </c>
      <c r="V525" s="0" t="n">
        <f aca="false">INDEX($K525:$O525,IF(3&lt;$E525,3,3+1))</f>
        <v>12.6247751989</v>
      </c>
      <c r="W525" s="0" t="n">
        <f aca="false">INDEX($K525:$O525,IF(4&lt;$E525,4,4+1))</f>
        <v>0.200168351528</v>
      </c>
      <c r="X525" s="0" t="n">
        <f aca="false">1+COUNTIF($P525:$S525,"&gt;"&amp;$P525)+(COUNTIF($P525:$S525,$P525)-1)/2</f>
        <v>1</v>
      </c>
      <c r="Y525" s="0" t="n">
        <f aca="false">1+COUNTIF($P525:$S525,"&gt;"&amp;$Q525)+(COUNTIF($P525:$S525,$Q525)-1)/2</f>
        <v>3</v>
      </c>
      <c r="Z525" s="0" t="n">
        <f aca="false">1+COUNTIF($P525:$S525,"&gt;"&amp;$R525)+(COUNTIF($P525:$S525,$R525)-1)/2</f>
        <v>4</v>
      </c>
      <c r="AA525" s="0" t="n">
        <f aca="false">1+COUNTIF($P525:$S525,"&gt;"&amp;$S525)+(COUNTIF($P525:$S525,$S525)-1)/2</f>
        <v>2</v>
      </c>
      <c r="AB525" s="0" t="n">
        <f aca="false">1+COUNTIF($T525:$W525,"&gt;"&amp;$T525)+(COUNTIF($T525:$W525,$T525)-1)/2</f>
        <v>4</v>
      </c>
      <c r="AC525" s="0" t="n">
        <f aca="false">1+COUNTIF($T525:$W525,"&gt;"&amp;$U525)+(COUNTIF($T525:$W525,$U525)-1)/2</f>
        <v>3</v>
      </c>
      <c r="AD525" s="0" t="n">
        <f aca="false">1+COUNTIF($T525:$W525,"&gt;"&amp;$V525)+(COUNTIF($T525:$W525,$V525)-1)/2</f>
        <v>1</v>
      </c>
      <c r="AE525" s="0" t="n">
        <f aca="false">1+COUNTIF($T525:$W525,"&gt;"&amp;$W525)+(COUNTIF($T525:$W525,$W525)-1)/2</f>
        <v>2</v>
      </c>
      <c r="AF525" s="0" t="n">
        <f aca="false">IFERROR(CORREL($P525:$S525,$T525:$W525),"")</f>
        <v>-0.745670875926562</v>
      </c>
      <c r="AG525" s="0" t="n">
        <f aca="false">IFERROR(CORREL($X525:$AA525,$AB525:$AE525),"")</f>
        <v>-0.8</v>
      </c>
      <c r="AH525" s="0" t="n">
        <f aca="false">IFERROR((SIGN($P525-$Q525)*SIGN($T525-$U525)+SIGN($P525-$R525)*SIGN($T525-$V525)+SIGN($P525-$S525)*SIGN($T525-$W525)+SIGN($Q525-$R525)*SIGN($U525-$V525)+SIGN($Q525-$S525)*SIGN($U525-$W525)+SIGN($R525-$S525)*SIGN($V525-$W525))/SQRT((6-(($P525=$Q525)*1+($P525=$R525)*1+($P525=$S525)*1+($Q525=$R525)*1+($Q525=$S525)*1+($R525=$S525)*1))*(6-(($T525=$U525)*1+($T525=$V525)*1+($T525=$W525)*1+($U525=$V525)*1+($U525=$W525)*1+($V525=$W525)*1))),"")</f>
        <v>-0.666666666666667</v>
      </c>
      <c r="AI525" s="0" t="n">
        <f aca="false">MATCH(MAX($K525:$O525),$K525:$O525,0)</f>
        <v>4</v>
      </c>
      <c r="AJ525" s="0" t="n">
        <f aca="false">IF(AI525&lt;&gt;$E525,1,0)</f>
        <v>0</v>
      </c>
      <c r="AK525" s="0" t="str">
        <f aca="false">IF(AJ525=1,INDEX($F525:$J525,AI525)/MAX($P525:$S525),"")</f>
        <v/>
      </c>
      <c r="AL525" s="0" t="str">
        <f aca="false">IF(AJ525=1,1+COUNTIF($P525:$S525,"&gt;"&amp;INDEX($F525:$J525,AI525)),"")</f>
        <v/>
      </c>
      <c r="AM525" s="0" t="n">
        <f aca="false">AVERAGE($P525:$S525)/MAX($P525:$S525)</f>
        <v>0.774358974358974</v>
      </c>
      <c r="AN525" s="0" t="n">
        <f aca="false">100-INDEX($F525:$J525,$E525)</f>
        <v>69.8</v>
      </c>
    </row>
    <row r="526" customFormat="false" ht="15" hidden="false" customHeight="false" outlineLevel="0" collapsed="false">
      <c r="A526" s="0" t="s">
        <v>57</v>
      </c>
      <c r="B526" s="0" t="n">
        <v>2013</v>
      </c>
      <c r="C526" s="0" t="s">
        <v>49</v>
      </c>
      <c r="D526" s="0" t="s">
        <v>53</v>
      </c>
      <c r="E526" s="0" t="n">
        <v>3</v>
      </c>
      <c r="F526" s="0" t="n">
        <v>23.3</v>
      </c>
      <c r="G526" s="0" t="n">
        <v>6.9</v>
      </c>
      <c r="H526" s="0" t="n">
        <v>29.6</v>
      </c>
      <c r="I526" s="0" t="n">
        <v>15.1</v>
      </c>
      <c r="J526" s="0" t="n">
        <v>15.7</v>
      </c>
      <c r="K526" s="0" t="n">
        <v>18.373082658</v>
      </c>
      <c r="L526" s="0" t="n">
        <v>3.00907861467</v>
      </c>
      <c r="M526" s="0" t="n">
        <v>53.376092863</v>
      </c>
      <c r="N526" s="0" t="n">
        <v>24.6040140326</v>
      </c>
      <c r="O526" s="0" t="n">
        <v>0.637731831737</v>
      </c>
      <c r="P526" s="0" t="n">
        <f aca="false">INDEX($F526:$J526,IF(1&lt;$E526,1,1+1))</f>
        <v>23.3</v>
      </c>
      <c r="Q526" s="0" t="n">
        <f aca="false">INDEX($F526:$J526,IF(2&lt;$E526,2,2+1))</f>
        <v>6.9</v>
      </c>
      <c r="R526" s="0" t="n">
        <f aca="false">INDEX($F526:$J526,IF(3&lt;$E526,3,3+1))</f>
        <v>15.1</v>
      </c>
      <c r="S526" s="0" t="n">
        <f aca="false">INDEX($F526:$J526,IF(4&lt;$E526,4,4+1))</f>
        <v>15.7</v>
      </c>
      <c r="T526" s="0" t="n">
        <f aca="false">INDEX($K526:$O526,IF(1&lt;$E526,1,1+1))</f>
        <v>18.373082658</v>
      </c>
      <c r="U526" s="0" t="n">
        <f aca="false">INDEX($K526:$O526,IF(2&lt;$E526,2,2+1))</f>
        <v>3.00907861467</v>
      </c>
      <c r="V526" s="0" t="n">
        <f aca="false">INDEX($K526:$O526,IF(3&lt;$E526,3,3+1))</f>
        <v>24.6040140326</v>
      </c>
      <c r="W526" s="0" t="n">
        <f aca="false">INDEX($K526:$O526,IF(4&lt;$E526,4,4+1))</f>
        <v>0.637731831737</v>
      </c>
      <c r="X526" s="0" t="n">
        <f aca="false">1+COUNTIF($P526:$S526,"&gt;"&amp;$P526)+(COUNTIF($P526:$S526,$P526)-1)/2</f>
        <v>1</v>
      </c>
      <c r="Y526" s="0" t="n">
        <f aca="false">1+COUNTIF($P526:$S526,"&gt;"&amp;$Q526)+(COUNTIF($P526:$S526,$Q526)-1)/2</f>
        <v>4</v>
      </c>
      <c r="Z526" s="0" t="n">
        <f aca="false">1+COUNTIF($P526:$S526,"&gt;"&amp;$R526)+(COUNTIF($P526:$S526,$R526)-1)/2</f>
        <v>3</v>
      </c>
      <c r="AA526" s="0" t="n">
        <f aca="false">1+COUNTIF($P526:$S526,"&gt;"&amp;$S526)+(COUNTIF($P526:$S526,$S526)-1)/2</f>
        <v>2</v>
      </c>
      <c r="AB526" s="0" t="n">
        <f aca="false">1+COUNTIF($T526:$W526,"&gt;"&amp;$T526)+(COUNTIF($T526:$W526,$T526)-1)/2</f>
        <v>2</v>
      </c>
      <c r="AC526" s="0" t="n">
        <f aca="false">1+COUNTIF($T526:$W526,"&gt;"&amp;$U526)+(COUNTIF($T526:$W526,$U526)-1)/2</f>
        <v>3</v>
      </c>
      <c r="AD526" s="0" t="n">
        <f aca="false">1+COUNTIF($T526:$W526,"&gt;"&amp;$V526)+(COUNTIF($T526:$W526,$V526)-1)/2</f>
        <v>1</v>
      </c>
      <c r="AE526" s="0" t="n">
        <f aca="false">1+COUNTIF($T526:$W526,"&gt;"&amp;$W526)+(COUNTIF($T526:$W526,$W526)-1)/2</f>
        <v>4</v>
      </c>
      <c r="AF526" s="0" t="n">
        <f aca="false">IFERROR(CORREL($P526:$S526,$T526:$W526),"")</f>
        <v>0.508527238355926</v>
      </c>
      <c r="AG526" s="0" t="n">
        <f aca="false">IFERROR(CORREL($X526:$AA526,$AB526:$AE526),"")</f>
        <v>0</v>
      </c>
      <c r="AH526" s="0" t="n">
        <f aca="false">IFERROR((SIGN($P526-$Q526)*SIGN($T526-$U526)+SIGN($P526-$R526)*SIGN($T526-$V526)+SIGN($P526-$S526)*SIGN($T526-$W526)+SIGN($Q526-$R526)*SIGN($U526-$V526)+SIGN($Q526-$S526)*SIGN($U526-$W526)+SIGN($R526-$S526)*SIGN($V526-$W526))/SQRT((6-(($P526=$Q526)*1+($P526=$R526)*1+($P526=$S526)*1+($Q526=$R526)*1+($Q526=$S526)*1+($R526=$S526)*1))*(6-(($T526=$U526)*1+($T526=$V526)*1+($T526=$W526)*1+($U526=$V526)*1+($U526=$W526)*1+($V526=$W526)*1))),"")</f>
        <v>0</v>
      </c>
      <c r="AI526" s="0" t="n">
        <f aca="false">MATCH(MAX($K526:$O526),$K526:$O526,0)</f>
        <v>3</v>
      </c>
      <c r="AJ526" s="0" t="n">
        <f aca="false">IF(AI526&lt;&gt;$E526,1,0)</f>
        <v>0</v>
      </c>
      <c r="AK526" s="0" t="str">
        <f aca="false">IF(AJ526=1,INDEX($F526:$J526,AI526)/MAX($P526:$S526),"")</f>
        <v/>
      </c>
      <c r="AL526" s="0" t="str">
        <f aca="false">IF(AJ526=1,1+COUNTIF($P526:$S526,"&gt;"&amp;INDEX($F526:$J526,AI526)),"")</f>
        <v/>
      </c>
      <c r="AM526" s="0" t="n">
        <f aca="false">AVERAGE($P526:$S526)/MAX($P526:$S526)</f>
        <v>0.65450643776824</v>
      </c>
      <c r="AN526" s="0" t="n">
        <f aca="false">100-INDEX($F526:$J526,$E526)</f>
        <v>70.4</v>
      </c>
    </row>
    <row r="527" customFormat="false" ht="15" hidden="false" customHeight="false" outlineLevel="0" collapsed="false">
      <c r="A527" s="0" t="s">
        <v>57</v>
      </c>
      <c r="B527" s="0" t="n">
        <v>2013</v>
      </c>
      <c r="C527" s="0" t="s">
        <v>49</v>
      </c>
      <c r="D527" s="0" t="s">
        <v>55</v>
      </c>
      <c r="E527" s="0" t="n">
        <v>5</v>
      </c>
      <c r="F527" s="0" t="n">
        <v>19.5</v>
      </c>
      <c r="G527" s="0" t="n">
        <v>13.8</v>
      </c>
      <c r="H527" s="0" t="n">
        <v>18.9</v>
      </c>
      <c r="I527" s="0" t="n">
        <v>15.1</v>
      </c>
      <c r="J527" s="0" t="n">
        <v>22.6</v>
      </c>
      <c r="K527" s="0" t="n">
        <v>15.7419766525</v>
      </c>
      <c r="L527" s="0" t="n">
        <v>3.60236608436</v>
      </c>
      <c r="M527" s="0" t="n">
        <v>11.7065559951</v>
      </c>
      <c r="N527" s="0" t="n">
        <v>25.0553155131</v>
      </c>
      <c r="O527" s="0" t="n">
        <v>43.893785755</v>
      </c>
      <c r="P527" s="0" t="n">
        <f aca="false">INDEX($F527:$J527,IF(1&lt;$E527,1,1+1))</f>
        <v>19.5</v>
      </c>
      <c r="Q527" s="0" t="n">
        <f aca="false">INDEX($F527:$J527,IF(2&lt;$E527,2,2+1))</f>
        <v>13.8</v>
      </c>
      <c r="R527" s="0" t="n">
        <f aca="false">INDEX($F527:$J527,IF(3&lt;$E527,3,3+1))</f>
        <v>18.9</v>
      </c>
      <c r="S527" s="0" t="n">
        <f aca="false">INDEX($F527:$J527,IF(4&lt;$E527,4,4+1))</f>
        <v>15.1</v>
      </c>
      <c r="T527" s="0" t="n">
        <f aca="false">INDEX($K527:$O527,IF(1&lt;$E527,1,1+1))</f>
        <v>15.7419766525</v>
      </c>
      <c r="U527" s="0" t="n">
        <f aca="false">INDEX($K527:$O527,IF(2&lt;$E527,2,2+1))</f>
        <v>3.60236608436</v>
      </c>
      <c r="V527" s="0" t="n">
        <f aca="false">INDEX($K527:$O527,IF(3&lt;$E527,3,3+1))</f>
        <v>11.7065559951</v>
      </c>
      <c r="W527" s="0" t="n">
        <f aca="false">INDEX($K527:$O527,IF(4&lt;$E527,4,4+1))</f>
        <v>25.0553155131</v>
      </c>
      <c r="X527" s="0" t="n">
        <f aca="false">1+COUNTIF($P527:$S527,"&gt;"&amp;$P527)+(COUNTIF($P527:$S527,$P527)-1)/2</f>
        <v>1</v>
      </c>
      <c r="Y527" s="0" t="n">
        <f aca="false">1+COUNTIF($P527:$S527,"&gt;"&amp;$Q527)+(COUNTIF($P527:$S527,$Q527)-1)/2</f>
        <v>4</v>
      </c>
      <c r="Z527" s="0" t="n">
        <f aca="false">1+COUNTIF($P527:$S527,"&gt;"&amp;$R527)+(COUNTIF($P527:$S527,$R527)-1)/2</f>
        <v>2</v>
      </c>
      <c r="AA527" s="0" t="n">
        <f aca="false">1+COUNTIF($P527:$S527,"&gt;"&amp;$S527)+(COUNTIF($P527:$S527,$S527)-1)/2</f>
        <v>3</v>
      </c>
      <c r="AB527" s="0" t="n">
        <f aca="false">1+COUNTIF($T527:$W527,"&gt;"&amp;$T527)+(COUNTIF($T527:$W527,$T527)-1)/2</f>
        <v>2</v>
      </c>
      <c r="AC527" s="0" t="n">
        <f aca="false">1+COUNTIF($T527:$W527,"&gt;"&amp;$U527)+(COUNTIF($T527:$W527,$U527)-1)/2</f>
        <v>4</v>
      </c>
      <c r="AD527" s="0" t="n">
        <f aca="false">1+COUNTIF($T527:$W527,"&gt;"&amp;$V527)+(COUNTIF($T527:$W527,$V527)-1)/2</f>
        <v>3</v>
      </c>
      <c r="AE527" s="0" t="n">
        <f aca="false">1+COUNTIF($T527:$W527,"&gt;"&amp;$W527)+(COUNTIF($T527:$W527,$W527)-1)/2</f>
        <v>1</v>
      </c>
      <c r="AF527" s="0" t="n">
        <f aca="false">IFERROR(CORREL($P527:$S527,$T527:$W527),"")</f>
        <v>0.163726533767984</v>
      </c>
      <c r="AG527" s="0" t="n">
        <f aca="false">IFERROR(CORREL($X527:$AA527,$AB527:$AE527),"")</f>
        <v>0.4</v>
      </c>
      <c r="AH527" s="0" t="n">
        <f aca="false">IFERROR((SIGN($P527-$Q527)*SIGN($T527-$U527)+SIGN($P527-$R527)*SIGN($T527-$V527)+SIGN($P527-$S527)*SIGN($T527-$W527)+SIGN($Q527-$R527)*SIGN($U527-$V527)+SIGN($Q527-$S527)*SIGN($U527-$W527)+SIGN($R527-$S527)*SIGN($V527-$W527))/SQRT((6-(($P527=$Q527)*1+($P527=$R527)*1+($P527=$S527)*1+($Q527=$R527)*1+($Q527=$S527)*1+($R527=$S527)*1))*(6-(($T527=$U527)*1+($T527=$V527)*1+($T527=$W527)*1+($U527=$V527)*1+($U527=$W527)*1+($V527=$W527)*1))),"")</f>
        <v>0.333333333333333</v>
      </c>
      <c r="AI527" s="0" t="n">
        <f aca="false">MATCH(MAX($K527:$O527),$K527:$O527,0)</f>
        <v>5</v>
      </c>
      <c r="AJ527" s="0" t="n">
        <f aca="false">IF(AI527&lt;&gt;$E527,1,0)</f>
        <v>0</v>
      </c>
      <c r="AK527" s="0" t="str">
        <f aca="false">IF(AJ527=1,INDEX($F527:$J527,AI527)/MAX($P527:$S527),"")</f>
        <v/>
      </c>
      <c r="AL527" s="0" t="str">
        <f aca="false">IF(AJ527=1,1+COUNTIF($P527:$S527,"&gt;"&amp;INDEX($F527:$J527,AI527)),"")</f>
        <v/>
      </c>
      <c r="AM527" s="0" t="n">
        <f aca="false">AVERAGE($P527:$S527)/MAX($P527:$S527)</f>
        <v>0.862820512820513</v>
      </c>
      <c r="AN527" s="0" t="n">
        <f aca="false">100-INDEX($F527:$J527,$E527)</f>
        <v>77.4</v>
      </c>
    </row>
    <row r="528" customFormat="false" ht="15" hidden="false" customHeight="false" outlineLevel="0" collapsed="false">
      <c r="A528" s="0" t="s">
        <v>57</v>
      </c>
      <c r="B528" s="0" t="n">
        <v>2013</v>
      </c>
      <c r="C528" s="0" t="s">
        <v>51</v>
      </c>
      <c r="D528" s="0" t="s">
        <v>45</v>
      </c>
      <c r="E528" s="0" t="n">
        <v>4</v>
      </c>
      <c r="F528" s="0" t="n">
        <v>18.2</v>
      </c>
      <c r="G528" s="0" t="n">
        <v>11</v>
      </c>
      <c r="H528" s="0" t="n">
        <v>17.8</v>
      </c>
      <c r="I528" s="0" t="n">
        <v>36.6</v>
      </c>
      <c r="J528" s="0" t="n">
        <v>10.3</v>
      </c>
      <c r="K528" s="0" t="n">
        <v>0.0942735419599</v>
      </c>
      <c r="L528" s="0" t="n">
        <v>0.00211738120168</v>
      </c>
      <c r="M528" s="0" t="n">
        <v>0.039788539199</v>
      </c>
      <c r="N528" s="0" t="n">
        <v>99.843509655</v>
      </c>
      <c r="O528" s="0" t="n">
        <v>0.0203108826013</v>
      </c>
      <c r="P528" s="0" t="n">
        <f aca="false">INDEX($F528:$J528,IF(1&lt;$E528,1,1+1))</f>
        <v>18.2</v>
      </c>
      <c r="Q528" s="0" t="n">
        <f aca="false">INDEX($F528:$J528,IF(2&lt;$E528,2,2+1))</f>
        <v>11</v>
      </c>
      <c r="R528" s="0" t="n">
        <f aca="false">INDEX($F528:$J528,IF(3&lt;$E528,3,3+1))</f>
        <v>17.8</v>
      </c>
      <c r="S528" s="0" t="n">
        <f aca="false">INDEX($F528:$J528,IF(4&lt;$E528,4,4+1))</f>
        <v>10.3</v>
      </c>
      <c r="T528" s="0" t="n">
        <f aca="false">INDEX($K528:$O528,IF(1&lt;$E528,1,1+1))</f>
        <v>0.0942735419599</v>
      </c>
      <c r="U528" s="0" t="n">
        <f aca="false">INDEX($K528:$O528,IF(2&lt;$E528,2,2+1))</f>
        <v>0.00211738120168</v>
      </c>
      <c r="V528" s="0" t="n">
        <f aca="false">INDEX($K528:$O528,IF(3&lt;$E528,3,3+1))</f>
        <v>0.039788539199</v>
      </c>
      <c r="W528" s="0" t="n">
        <f aca="false">INDEX($K528:$O528,IF(4&lt;$E528,4,4+1))</f>
        <v>0.0203108826013</v>
      </c>
      <c r="X528" s="0" t="n">
        <f aca="false">1+COUNTIF($P528:$S528,"&gt;"&amp;$P528)+(COUNTIF($P528:$S528,$P528)-1)/2</f>
        <v>1</v>
      </c>
      <c r="Y528" s="0" t="n">
        <f aca="false">1+COUNTIF($P528:$S528,"&gt;"&amp;$Q528)+(COUNTIF($P528:$S528,$Q528)-1)/2</f>
        <v>3</v>
      </c>
      <c r="Z528" s="0" t="n">
        <f aca="false">1+COUNTIF($P528:$S528,"&gt;"&amp;$R528)+(COUNTIF($P528:$S528,$R528)-1)/2</f>
        <v>2</v>
      </c>
      <c r="AA528" s="0" t="n">
        <f aca="false">1+COUNTIF($P528:$S528,"&gt;"&amp;$S528)+(COUNTIF($P528:$S528,$S528)-1)/2</f>
        <v>4</v>
      </c>
      <c r="AB528" s="0" t="n">
        <f aca="false">1+COUNTIF($T528:$W528,"&gt;"&amp;$T528)+(COUNTIF($T528:$W528,$T528)-1)/2</f>
        <v>1</v>
      </c>
      <c r="AC528" s="0" t="n">
        <f aca="false">1+COUNTIF($T528:$W528,"&gt;"&amp;$U528)+(COUNTIF($T528:$W528,$U528)-1)/2</f>
        <v>4</v>
      </c>
      <c r="AD528" s="0" t="n">
        <f aca="false">1+COUNTIF($T528:$W528,"&gt;"&amp;$V528)+(COUNTIF($T528:$W528,$V528)-1)/2</f>
        <v>2</v>
      </c>
      <c r="AE528" s="0" t="n">
        <f aca="false">1+COUNTIF($T528:$W528,"&gt;"&amp;$W528)+(COUNTIF($T528:$W528,$W528)-1)/2</f>
        <v>3</v>
      </c>
      <c r="AF528" s="0" t="n">
        <f aca="false">IFERROR(CORREL($P528:$S528,$T528:$W528),"")</f>
        <v>0.815051295684261</v>
      </c>
      <c r="AG528" s="0" t="n">
        <f aca="false">IFERROR(CORREL($X528:$AA528,$AB528:$AE528),"")</f>
        <v>0.8</v>
      </c>
      <c r="AH528" s="0" t="n">
        <f aca="false">IFERROR((SIGN($P528-$Q528)*SIGN($T528-$U528)+SIGN($P528-$R528)*SIGN($T528-$V528)+SIGN($P528-$S528)*SIGN($T528-$W528)+SIGN($Q528-$R528)*SIGN($U528-$V528)+SIGN($Q528-$S528)*SIGN($U528-$W528)+SIGN($R528-$S528)*SIGN($V528-$W528))/SQRT((6-(($P528=$Q528)*1+($P528=$R528)*1+($P528=$S528)*1+($Q528=$R528)*1+($Q528=$S528)*1+($R528=$S528)*1))*(6-(($T528=$U528)*1+($T528=$V528)*1+($T528=$W528)*1+($U528=$V528)*1+($U528=$W528)*1+($V528=$W528)*1))),"")</f>
        <v>0.666666666666667</v>
      </c>
      <c r="AI528" s="0" t="n">
        <f aca="false">MATCH(MAX($K528:$O528),$K528:$O528,0)</f>
        <v>4</v>
      </c>
      <c r="AJ528" s="0" t="n">
        <f aca="false">IF(AI528&lt;&gt;$E528,1,0)</f>
        <v>0</v>
      </c>
      <c r="AK528" s="0" t="str">
        <f aca="false">IF(AJ528=1,INDEX($F528:$J528,AI528)/MAX($P528:$S528),"")</f>
        <v/>
      </c>
      <c r="AL528" s="0" t="str">
        <f aca="false">IF(AJ528=1,1+COUNTIF($P528:$S528,"&gt;"&amp;INDEX($F528:$J528,AI528)),"")</f>
        <v/>
      </c>
      <c r="AM528" s="0" t="n">
        <f aca="false">AVERAGE($P528:$S528)/MAX($P528:$S528)</f>
        <v>0.787087912087912</v>
      </c>
      <c r="AN528" s="0" t="n">
        <f aca="false">100-INDEX($F528:$J528,$E528)</f>
        <v>63.4</v>
      </c>
    </row>
    <row r="529" customFormat="false" ht="15" hidden="false" customHeight="false" outlineLevel="0" collapsed="false">
      <c r="A529" s="0" t="s">
        <v>57</v>
      </c>
      <c r="B529" s="0" t="n">
        <v>2013</v>
      </c>
      <c r="C529" s="0" t="s">
        <v>51</v>
      </c>
      <c r="D529" s="0" t="s">
        <v>53</v>
      </c>
      <c r="E529" s="0" t="n">
        <v>1</v>
      </c>
      <c r="F529" s="0" t="n">
        <v>42.8</v>
      </c>
      <c r="G529" s="0" t="n">
        <v>11</v>
      </c>
      <c r="H529" s="0" t="n">
        <v>12.7</v>
      </c>
      <c r="I529" s="0" t="n">
        <v>20.2</v>
      </c>
      <c r="J529" s="0" t="n">
        <v>7.2</v>
      </c>
      <c r="K529" s="0" t="n">
        <v>4.41536710639</v>
      </c>
      <c r="L529" s="0" t="n">
        <v>14.3366236104</v>
      </c>
      <c r="M529" s="0" t="n">
        <v>67.8197420818</v>
      </c>
      <c r="N529" s="0" t="n">
        <v>9.87330703932</v>
      </c>
      <c r="O529" s="0" t="n">
        <v>3.55496016214</v>
      </c>
      <c r="P529" s="0" t="n">
        <f aca="false">INDEX($F529:$J529,IF(1&lt;$E529,1,1+1))</f>
        <v>11</v>
      </c>
      <c r="Q529" s="0" t="n">
        <f aca="false">INDEX($F529:$J529,IF(2&lt;$E529,2,2+1))</f>
        <v>12.7</v>
      </c>
      <c r="R529" s="0" t="n">
        <f aca="false">INDEX($F529:$J529,IF(3&lt;$E529,3,3+1))</f>
        <v>20.2</v>
      </c>
      <c r="S529" s="0" t="n">
        <f aca="false">INDEX($F529:$J529,IF(4&lt;$E529,4,4+1))</f>
        <v>7.2</v>
      </c>
      <c r="T529" s="0" t="n">
        <f aca="false">INDEX($K529:$O529,IF(1&lt;$E529,1,1+1))</f>
        <v>14.3366236104</v>
      </c>
      <c r="U529" s="0" t="n">
        <f aca="false">INDEX($K529:$O529,IF(2&lt;$E529,2,2+1))</f>
        <v>67.8197420818</v>
      </c>
      <c r="V529" s="0" t="n">
        <f aca="false">INDEX($K529:$O529,IF(3&lt;$E529,3,3+1))</f>
        <v>9.87330703932</v>
      </c>
      <c r="W529" s="0" t="n">
        <f aca="false">INDEX($K529:$O529,IF(4&lt;$E529,4,4+1))</f>
        <v>3.55496016214</v>
      </c>
      <c r="X529" s="0" t="n">
        <f aca="false">1+COUNTIF($P529:$S529,"&gt;"&amp;$P529)+(COUNTIF($P529:$S529,$P529)-1)/2</f>
        <v>3</v>
      </c>
      <c r="Y529" s="0" t="n">
        <f aca="false">1+COUNTIF($P529:$S529,"&gt;"&amp;$Q529)+(COUNTIF($P529:$S529,$Q529)-1)/2</f>
        <v>2</v>
      </c>
      <c r="Z529" s="0" t="n">
        <f aca="false">1+COUNTIF($P529:$S529,"&gt;"&amp;$R529)+(COUNTIF($P529:$S529,$R529)-1)/2</f>
        <v>1</v>
      </c>
      <c r="AA529" s="0" t="n">
        <f aca="false">1+COUNTIF($P529:$S529,"&gt;"&amp;$S529)+(COUNTIF($P529:$S529,$S529)-1)/2</f>
        <v>4</v>
      </c>
      <c r="AB529" s="0" t="n">
        <f aca="false">1+COUNTIF($T529:$W529,"&gt;"&amp;$T529)+(COUNTIF($T529:$W529,$T529)-1)/2</f>
        <v>2</v>
      </c>
      <c r="AC529" s="0" t="n">
        <f aca="false">1+COUNTIF($T529:$W529,"&gt;"&amp;$U529)+(COUNTIF($T529:$W529,$U529)-1)/2</f>
        <v>1</v>
      </c>
      <c r="AD529" s="0" t="n">
        <f aca="false">1+COUNTIF($T529:$W529,"&gt;"&amp;$V529)+(COUNTIF($T529:$W529,$V529)-1)/2</f>
        <v>3</v>
      </c>
      <c r="AE529" s="0" t="n">
        <f aca="false">1+COUNTIF($T529:$W529,"&gt;"&amp;$W529)+(COUNTIF($T529:$W529,$W529)-1)/2</f>
        <v>4</v>
      </c>
      <c r="AF529" s="0" t="n">
        <f aca="false">IFERROR(CORREL($P529:$S529,$T529:$W529),"")</f>
        <v>0.0473421522037078</v>
      </c>
      <c r="AG529" s="0" t="n">
        <f aca="false">IFERROR(CORREL($X529:$AA529,$AB529:$AE529),"")</f>
        <v>0.4</v>
      </c>
      <c r="AH529" s="0" t="n">
        <f aca="false">IFERROR((SIGN($P529-$Q529)*SIGN($T529-$U529)+SIGN($P529-$R529)*SIGN($T529-$V529)+SIGN($P529-$S529)*SIGN($T529-$W529)+SIGN($Q529-$R529)*SIGN($U529-$V529)+SIGN($Q529-$S529)*SIGN($U529-$W529)+SIGN($R529-$S529)*SIGN($V529-$W529))/SQRT((6-(($P529=$Q529)*1+($P529=$R529)*1+($P529=$S529)*1+($Q529=$R529)*1+($Q529=$S529)*1+($R529=$S529)*1))*(6-(($T529=$U529)*1+($T529=$V529)*1+($T529=$W529)*1+($U529=$V529)*1+($U529=$W529)*1+($V529=$W529)*1))),"")</f>
        <v>0.333333333333333</v>
      </c>
      <c r="AI529" s="0" t="n">
        <f aca="false">MATCH(MAX($K529:$O529),$K529:$O529,0)</f>
        <v>3</v>
      </c>
      <c r="AJ529" s="0" t="n">
        <f aca="false">IF(AI529&lt;&gt;$E529,1,0)</f>
        <v>1</v>
      </c>
      <c r="AK529" s="0" t="n">
        <f aca="false">IF(AJ529=1,INDEX($F529:$J529,AI529)/MAX($P529:$S529),"")</f>
        <v>0.628712871287129</v>
      </c>
      <c r="AL529" s="0" t="n">
        <f aca="false">IF(AJ529=1,1+COUNTIF($P529:$S529,"&gt;"&amp;INDEX($F529:$J529,AI529)),"")</f>
        <v>2</v>
      </c>
      <c r="AM529" s="0" t="n">
        <f aca="false">AVERAGE($P529:$S529)/MAX($P529:$S529)</f>
        <v>0.632425742574257</v>
      </c>
      <c r="AN529" s="0" t="n">
        <f aca="false">100-INDEX($F529:$J529,$E529)</f>
        <v>57.2</v>
      </c>
    </row>
    <row r="530" customFormat="false" ht="15" hidden="false" customHeight="false" outlineLevel="0" collapsed="false">
      <c r="A530" s="0" t="s">
        <v>57</v>
      </c>
      <c r="B530" s="0" t="n">
        <v>2013</v>
      </c>
      <c r="C530" s="0" t="s">
        <v>51</v>
      </c>
      <c r="D530" s="0" t="s">
        <v>55</v>
      </c>
      <c r="E530" s="0" t="n">
        <v>4</v>
      </c>
      <c r="F530" s="0" t="n">
        <v>19.5</v>
      </c>
      <c r="G530" s="0" t="n">
        <v>12</v>
      </c>
      <c r="H530" s="0" t="n">
        <v>10.3</v>
      </c>
      <c r="I530" s="0" t="n">
        <v>34.2</v>
      </c>
      <c r="J530" s="0" t="n">
        <v>18.2</v>
      </c>
      <c r="K530" s="0" t="n">
        <v>18.0510824291</v>
      </c>
      <c r="L530" s="0" t="n">
        <v>5.95711349453</v>
      </c>
      <c r="M530" s="0" t="n">
        <v>1.27554468944</v>
      </c>
      <c r="N530" s="0" t="n">
        <v>28.7146176294</v>
      </c>
      <c r="O530" s="0" t="n">
        <v>46.0016417575</v>
      </c>
      <c r="P530" s="0" t="n">
        <f aca="false">INDEX($F530:$J530,IF(1&lt;$E530,1,1+1))</f>
        <v>19.5</v>
      </c>
      <c r="Q530" s="0" t="n">
        <f aca="false">INDEX($F530:$J530,IF(2&lt;$E530,2,2+1))</f>
        <v>12</v>
      </c>
      <c r="R530" s="0" t="n">
        <f aca="false">INDEX($F530:$J530,IF(3&lt;$E530,3,3+1))</f>
        <v>10.3</v>
      </c>
      <c r="S530" s="0" t="n">
        <f aca="false">INDEX($F530:$J530,IF(4&lt;$E530,4,4+1))</f>
        <v>18.2</v>
      </c>
      <c r="T530" s="0" t="n">
        <f aca="false">INDEX($K530:$O530,IF(1&lt;$E530,1,1+1))</f>
        <v>18.0510824291</v>
      </c>
      <c r="U530" s="0" t="n">
        <f aca="false">INDEX($K530:$O530,IF(2&lt;$E530,2,2+1))</f>
        <v>5.95711349453</v>
      </c>
      <c r="V530" s="0" t="n">
        <f aca="false">INDEX($K530:$O530,IF(3&lt;$E530,3,3+1))</f>
        <v>1.27554468944</v>
      </c>
      <c r="W530" s="0" t="n">
        <f aca="false">INDEX($K530:$O530,IF(4&lt;$E530,4,4+1))</f>
        <v>46.0016417575</v>
      </c>
      <c r="X530" s="0" t="n">
        <f aca="false">1+COUNTIF($P530:$S530,"&gt;"&amp;$P530)+(COUNTIF($P530:$S530,$P530)-1)/2</f>
        <v>1</v>
      </c>
      <c r="Y530" s="0" t="n">
        <f aca="false">1+COUNTIF($P530:$S530,"&gt;"&amp;$Q530)+(COUNTIF($P530:$S530,$Q530)-1)/2</f>
        <v>3</v>
      </c>
      <c r="Z530" s="0" t="n">
        <f aca="false">1+COUNTIF($P530:$S530,"&gt;"&amp;$R530)+(COUNTIF($P530:$S530,$R530)-1)/2</f>
        <v>4</v>
      </c>
      <c r="AA530" s="0" t="n">
        <f aca="false">1+COUNTIF($P530:$S530,"&gt;"&amp;$S530)+(COUNTIF($P530:$S530,$S530)-1)/2</f>
        <v>2</v>
      </c>
      <c r="AB530" s="0" t="n">
        <f aca="false">1+COUNTIF($T530:$W530,"&gt;"&amp;$T530)+(COUNTIF($T530:$W530,$T530)-1)/2</f>
        <v>2</v>
      </c>
      <c r="AC530" s="0" t="n">
        <f aca="false">1+COUNTIF($T530:$W530,"&gt;"&amp;$U530)+(COUNTIF($T530:$W530,$U530)-1)/2</f>
        <v>3</v>
      </c>
      <c r="AD530" s="0" t="n">
        <f aca="false">1+COUNTIF($T530:$W530,"&gt;"&amp;$V530)+(COUNTIF($T530:$W530,$V530)-1)/2</f>
        <v>4</v>
      </c>
      <c r="AE530" s="0" t="n">
        <f aca="false">1+COUNTIF($T530:$W530,"&gt;"&amp;$W530)+(COUNTIF($T530:$W530,$W530)-1)/2</f>
        <v>1</v>
      </c>
      <c r="AF530" s="0" t="n">
        <f aca="false">IFERROR(CORREL($P530:$S530,$T530:$W530),"")</f>
        <v>0.749823698801276</v>
      </c>
      <c r="AG530" s="0" t="n">
        <f aca="false">IFERROR(CORREL($X530:$AA530,$AB530:$AE530),"")</f>
        <v>0.8</v>
      </c>
      <c r="AH530" s="0" t="n">
        <f aca="false">IFERROR((SIGN($P530-$Q530)*SIGN($T530-$U530)+SIGN($P530-$R530)*SIGN($T530-$V530)+SIGN($P530-$S530)*SIGN($T530-$W530)+SIGN($Q530-$R530)*SIGN($U530-$V530)+SIGN($Q530-$S530)*SIGN($U530-$W530)+SIGN($R530-$S530)*SIGN($V530-$W530))/SQRT((6-(($P530=$Q530)*1+($P530=$R530)*1+($P530=$S530)*1+($Q530=$R530)*1+($Q530=$S530)*1+($R530=$S530)*1))*(6-(($T530=$U530)*1+($T530=$V530)*1+($T530=$W530)*1+($U530=$V530)*1+($U530=$W530)*1+($V530=$W530)*1))),"")</f>
        <v>0.666666666666667</v>
      </c>
      <c r="AI530" s="0" t="n">
        <f aca="false">MATCH(MAX($K530:$O530),$K530:$O530,0)</f>
        <v>5</v>
      </c>
      <c r="AJ530" s="0" t="n">
        <f aca="false">IF(AI530&lt;&gt;$E530,1,0)</f>
        <v>1</v>
      </c>
      <c r="AK530" s="0" t="n">
        <f aca="false">IF(AJ530=1,INDEX($F530:$J530,AI530)/MAX($P530:$S530),"")</f>
        <v>0.933333333333333</v>
      </c>
      <c r="AL530" s="0" t="n">
        <f aca="false">IF(AJ530=1,1+COUNTIF($P530:$S530,"&gt;"&amp;INDEX($F530:$J530,AI530)),"")</f>
        <v>2</v>
      </c>
      <c r="AM530" s="0" t="n">
        <f aca="false">AVERAGE($P530:$S530)/MAX($P530:$S530)</f>
        <v>0.769230769230769</v>
      </c>
      <c r="AN530" s="0" t="n">
        <f aca="false">100-INDEX($F530:$J530,$E530)</f>
        <v>65.8</v>
      </c>
    </row>
    <row r="531" customFormat="false" ht="15" hidden="false" customHeight="false" outlineLevel="0" collapsed="false">
      <c r="A531" s="0" t="s">
        <v>57</v>
      </c>
      <c r="B531" s="0" t="n">
        <v>2013</v>
      </c>
      <c r="C531" s="0" t="s">
        <v>46</v>
      </c>
      <c r="D531" s="0" t="s">
        <v>53</v>
      </c>
      <c r="E531" s="0" t="n">
        <v>4</v>
      </c>
      <c r="F531" s="0" t="n">
        <v>15</v>
      </c>
      <c r="G531" s="0" t="n">
        <v>8.3</v>
      </c>
      <c r="H531" s="0" t="n">
        <v>12.9</v>
      </c>
      <c r="I531" s="0" t="n">
        <v>47.1</v>
      </c>
      <c r="J531" s="0" t="n">
        <v>7.1</v>
      </c>
      <c r="K531" s="0" t="n">
        <v>8.90765545949</v>
      </c>
      <c r="L531" s="0" t="n">
        <v>0.828598869445</v>
      </c>
      <c r="M531" s="0" t="n">
        <v>0.106878661982</v>
      </c>
      <c r="N531" s="0" t="n">
        <v>38.9471473201</v>
      </c>
      <c r="O531" s="0" t="n">
        <v>51.2097196889</v>
      </c>
      <c r="P531" s="0" t="n">
        <f aca="false">INDEX($F531:$J531,IF(1&lt;$E531,1,1+1))</f>
        <v>15</v>
      </c>
      <c r="Q531" s="0" t="n">
        <f aca="false">INDEX($F531:$J531,IF(2&lt;$E531,2,2+1))</f>
        <v>8.3</v>
      </c>
      <c r="R531" s="0" t="n">
        <f aca="false">INDEX($F531:$J531,IF(3&lt;$E531,3,3+1))</f>
        <v>12.9</v>
      </c>
      <c r="S531" s="0" t="n">
        <f aca="false">INDEX($F531:$J531,IF(4&lt;$E531,4,4+1))</f>
        <v>7.1</v>
      </c>
      <c r="T531" s="0" t="n">
        <f aca="false">INDEX($K531:$O531,IF(1&lt;$E531,1,1+1))</f>
        <v>8.90765545949</v>
      </c>
      <c r="U531" s="0" t="n">
        <f aca="false">INDEX($K531:$O531,IF(2&lt;$E531,2,2+1))</f>
        <v>0.828598869445</v>
      </c>
      <c r="V531" s="0" t="n">
        <f aca="false">INDEX($K531:$O531,IF(3&lt;$E531,3,3+1))</f>
        <v>0.106878661982</v>
      </c>
      <c r="W531" s="0" t="n">
        <f aca="false">INDEX($K531:$O531,IF(4&lt;$E531,4,4+1))</f>
        <v>51.2097196889</v>
      </c>
      <c r="X531" s="0" t="n">
        <f aca="false">1+COUNTIF($P531:$S531,"&gt;"&amp;$P531)+(COUNTIF($P531:$S531,$P531)-1)/2</f>
        <v>1</v>
      </c>
      <c r="Y531" s="0" t="n">
        <f aca="false">1+COUNTIF($P531:$S531,"&gt;"&amp;$Q531)+(COUNTIF($P531:$S531,$Q531)-1)/2</f>
        <v>3</v>
      </c>
      <c r="Z531" s="0" t="n">
        <f aca="false">1+COUNTIF($P531:$S531,"&gt;"&amp;$R531)+(COUNTIF($P531:$S531,$R531)-1)/2</f>
        <v>2</v>
      </c>
      <c r="AA531" s="0" t="n">
        <f aca="false">1+COUNTIF($P531:$S531,"&gt;"&amp;$S531)+(COUNTIF($P531:$S531,$S531)-1)/2</f>
        <v>4</v>
      </c>
      <c r="AB531" s="0" t="n">
        <f aca="false">1+COUNTIF($T531:$W531,"&gt;"&amp;$T531)+(COUNTIF($T531:$W531,$T531)-1)/2</f>
        <v>2</v>
      </c>
      <c r="AC531" s="0" t="n">
        <f aca="false">1+COUNTIF($T531:$W531,"&gt;"&amp;$U531)+(COUNTIF($T531:$W531,$U531)-1)/2</f>
        <v>3</v>
      </c>
      <c r="AD531" s="0" t="n">
        <f aca="false">1+COUNTIF($T531:$W531,"&gt;"&amp;$V531)+(COUNTIF($T531:$W531,$V531)-1)/2</f>
        <v>4</v>
      </c>
      <c r="AE531" s="0" t="n">
        <f aca="false">1+COUNTIF($T531:$W531,"&gt;"&amp;$W531)+(COUNTIF($T531:$W531,$W531)-1)/2</f>
        <v>1</v>
      </c>
      <c r="AF531" s="0" t="n">
        <f aca="false">IFERROR(CORREL($P531:$S531,$T531:$W531),"")</f>
        <v>-0.570075783746934</v>
      </c>
      <c r="AG531" s="0" t="n">
        <f aca="false">IFERROR(CORREL($X531:$AA531,$AB531:$AE531),"")</f>
        <v>-0.4</v>
      </c>
      <c r="AH531" s="0" t="n">
        <f aca="false">IFERROR((SIGN($P531-$Q531)*SIGN($T531-$U531)+SIGN($P531-$R531)*SIGN($T531-$V531)+SIGN($P531-$S531)*SIGN($T531-$W531)+SIGN($Q531-$R531)*SIGN($U531-$V531)+SIGN($Q531-$S531)*SIGN($U531-$W531)+SIGN($R531-$S531)*SIGN($V531-$W531))/SQRT((6-(($P531=$Q531)*1+($P531=$R531)*1+($P531=$S531)*1+($Q531=$R531)*1+($Q531=$S531)*1+($R531=$S531)*1))*(6-(($T531=$U531)*1+($T531=$V531)*1+($T531=$W531)*1+($U531=$V531)*1+($U531=$W531)*1+($V531=$W531)*1))),"")</f>
        <v>-0.333333333333333</v>
      </c>
      <c r="AI531" s="0" t="n">
        <f aca="false">MATCH(MAX($K531:$O531),$K531:$O531,0)</f>
        <v>5</v>
      </c>
      <c r="AJ531" s="0" t="n">
        <f aca="false">IF(AI531&lt;&gt;$E531,1,0)</f>
        <v>1</v>
      </c>
      <c r="AK531" s="0" t="n">
        <f aca="false">IF(AJ531=1,INDEX($F531:$J531,AI531)/MAX($P531:$S531),"")</f>
        <v>0.473333333333333</v>
      </c>
      <c r="AL531" s="0" t="n">
        <f aca="false">IF(AJ531=1,1+COUNTIF($P531:$S531,"&gt;"&amp;INDEX($F531:$J531,AI531)),"")</f>
        <v>4</v>
      </c>
      <c r="AM531" s="0" t="n">
        <f aca="false">AVERAGE($P531:$S531)/MAX($P531:$S531)</f>
        <v>0.721666666666667</v>
      </c>
      <c r="AN531" s="0" t="n">
        <f aca="false">100-INDEX($F531:$J531,$E531)</f>
        <v>52.9</v>
      </c>
    </row>
    <row r="532" customFormat="false" ht="15" hidden="false" customHeight="false" outlineLevel="0" collapsed="false">
      <c r="A532" s="0" t="s">
        <v>57</v>
      </c>
      <c r="B532" s="0" t="n">
        <v>2013</v>
      </c>
      <c r="C532" s="0" t="s">
        <v>46</v>
      </c>
      <c r="D532" s="0" t="s">
        <v>55</v>
      </c>
      <c r="E532" s="0" t="n">
        <v>4</v>
      </c>
      <c r="F532" s="0" t="n">
        <v>17.5</v>
      </c>
      <c r="G532" s="0" t="n">
        <v>13.3</v>
      </c>
      <c r="H532" s="0" t="n">
        <v>11.7</v>
      </c>
      <c r="I532" s="0" t="n">
        <v>40</v>
      </c>
      <c r="J532" s="0" t="n">
        <v>8.3</v>
      </c>
      <c r="K532" s="0" t="n">
        <v>48.691933223</v>
      </c>
      <c r="L532" s="0" t="n">
        <v>5.22456483164</v>
      </c>
      <c r="M532" s="0" t="n">
        <v>12.3104438714</v>
      </c>
      <c r="N532" s="0" t="n">
        <v>27.1430488561</v>
      </c>
      <c r="O532" s="0" t="n">
        <v>6.63000921791</v>
      </c>
      <c r="P532" s="0" t="n">
        <f aca="false">INDEX($F532:$J532,IF(1&lt;$E532,1,1+1))</f>
        <v>17.5</v>
      </c>
      <c r="Q532" s="0" t="n">
        <f aca="false">INDEX($F532:$J532,IF(2&lt;$E532,2,2+1))</f>
        <v>13.3</v>
      </c>
      <c r="R532" s="0" t="n">
        <f aca="false">INDEX($F532:$J532,IF(3&lt;$E532,3,3+1))</f>
        <v>11.7</v>
      </c>
      <c r="S532" s="0" t="n">
        <f aca="false">INDEX($F532:$J532,IF(4&lt;$E532,4,4+1))</f>
        <v>8.3</v>
      </c>
      <c r="T532" s="0" t="n">
        <f aca="false">INDEX($K532:$O532,IF(1&lt;$E532,1,1+1))</f>
        <v>48.691933223</v>
      </c>
      <c r="U532" s="0" t="n">
        <f aca="false">INDEX($K532:$O532,IF(2&lt;$E532,2,2+1))</f>
        <v>5.22456483164</v>
      </c>
      <c r="V532" s="0" t="n">
        <f aca="false">INDEX($K532:$O532,IF(3&lt;$E532,3,3+1))</f>
        <v>12.3104438714</v>
      </c>
      <c r="W532" s="0" t="n">
        <f aca="false">INDEX($K532:$O532,IF(4&lt;$E532,4,4+1))</f>
        <v>6.63000921791</v>
      </c>
      <c r="X532" s="0" t="n">
        <f aca="false">1+COUNTIF($P532:$S532,"&gt;"&amp;$P532)+(COUNTIF($P532:$S532,$P532)-1)/2</f>
        <v>1</v>
      </c>
      <c r="Y532" s="0" t="n">
        <f aca="false">1+COUNTIF($P532:$S532,"&gt;"&amp;$Q532)+(COUNTIF($P532:$S532,$Q532)-1)/2</f>
        <v>2</v>
      </c>
      <c r="Z532" s="0" t="n">
        <f aca="false">1+COUNTIF($P532:$S532,"&gt;"&amp;$R532)+(COUNTIF($P532:$S532,$R532)-1)/2</f>
        <v>3</v>
      </c>
      <c r="AA532" s="0" t="n">
        <f aca="false">1+COUNTIF($P532:$S532,"&gt;"&amp;$S532)+(COUNTIF($P532:$S532,$S532)-1)/2</f>
        <v>4</v>
      </c>
      <c r="AB532" s="0" t="n">
        <f aca="false">1+COUNTIF($T532:$W532,"&gt;"&amp;$T532)+(COUNTIF($T532:$W532,$T532)-1)/2</f>
        <v>1</v>
      </c>
      <c r="AC532" s="0" t="n">
        <f aca="false">1+COUNTIF($T532:$W532,"&gt;"&amp;$U532)+(COUNTIF($T532:$W532,$U532)-1)/2</f>
        <v>4</v>
      </c>
      <c r="AD532" s="0" t="n">
        <f aca="false">1+COUNTIF($T532:$W532,"&gt;"&amp;$V532)+(COUNTIF($T532:$W532,$V532)-1)/2</f>
        <v>2</v>
      </c>
      <c r="AE532" s="0" t="n">
        <f aca="false">1+COUNTIF($T532:$W532,"&gt;"&amp;$W532)+(COUNTIF($T532:$W532,$W532)-1)/2</f>
        <v>3</v>
      </c>
      <c r="AF532" s="0" t="n">
        <f aca="false">IFERROR(CORREL($P532:$S532,$T532:$W532),"")</f>
        <v>0.82984163490674</v>
      </c>
      <c r="AG532" s="0" t="n">
        <f aca="false">IFERROR(CORREL($X532:$AA532,$AB532:$AE532),"")</f>
        <v>0.4</v>
      </c>
      <c r="AH532" s="0" t="n">
        <f aca="false">IFERROR((SIGN($P532-$Q532)*SIGN($T532-$U532)+SIGN($P532-$R532)*SIGN($T532-$V532)+SIGN($P532-$S532)*SIGN($T532-$W532)+SIGN($Q532-$R532)*SIGN($U532-$V532)+SIGN($Q532-$S532)*SIGN($U532-$W532)+SIGN($R532-$S532)*SIGN($V532-$W532))/SQRT((6-(($P532=$Q532)*1+($P532=$R532)*1+($P532=$S532)*1+($Q532=$R532)*1+($Q532=$S532)*1+($R532=$S532)*1))*(6-(($T532=$U532)*1+($T532=$V532)*1+($T532=$W532)*1+($U532=$V532)*1+($U532=$W532)*1+($V532=$W532)*1))),"")</f>
        <v>0.333333333333333</v>
      </c>
      <c r="AI532" s="0" t="n">
        <f aca="false">MATCH(MAX($K532:$O532),$K532:$O532,0)</f>
        <v>1</v>
      </c>
      <c r="AJ532" s="0" t="n">
        <f aca="false">IF(AI532&lt;&gt;$E532,1,0)</f>
        <v>1</v>
      </c>
      <c r="AK532" s="0" t="n">
        <f aca="false">IF(AJ532=1,INDEX($F532:$J532,AI532)/MAX($P532:$S532),"")</f>
        <v>1</v>
      </c>
      <c r="AL532" s="0" t="n">
        <f aca="false">IF(AJ532=1,1+COUNTIF($P532:$S532,"&gt;"&amp;INDEX($F532:$J532,AI532)),"")</f>
        <v>1</v>
      </c>
      <c r="AM532" s="0" t="n">
        <f aca="false">AVERAGE($P532:$S532)/MAX($P532:$S532)</f>
        <v>0.725714285714286</v>
      </c>
      <c r="AN532" s="0" t="n">
        <f aca="false">100-INDEX($F532:$J532,$E532)</f>
        <v>60</v>
      </c>
    </row>
    <row r="533" customFormat="false" ht="15" hidden="false" customHeight="false" outlineLevel="0" collapsed="false">
      <c r="A533" s="0" t="s">
        <v>61</v>
      </c>
      <c r="B533" s="0" t="n">
        <v>2026</v>
      </c>
      <c r="C533" s="0" t="s">
        <v>46</v>
      </c>
      <c r="D533" s="0" t="s">
        <v>42</v>
      </c>
      <c r="E533" s="0" t="n">
        <v>1</v>
      </c>
      <c r="F533" s="0" t="n">
        <v>36</v>
      </c>
      <c r="G533" s="0" t="n">
        <v>14.6</v>
      </c>
      <c r="H533" s="0" t="n">
        <v>25.7</v>
      </c>
      <c r="I533" s="0" t="n">
        <v>15.1</v>
      </c>
      <c r="J533" s="0" t="n">
        <v>8.6</v>
      </c>
      <c r="K533" s="0" t="n">
        <v>9.91619618197</v>
      </c>
      <c r="L533" s="0" t="n">
        <v>24.5284950377</v>
      </c>
      <c r="M533" s="0" t="n">
        <v>0.112071147653</v>
      </c>
      <c r="N533" s="0" t="n">
        <v>41.9758261253</v>
      </c>
      <c r="O533" s="0" t="n">
        <v>23.4674115074</v>
      </c>
      <c r="P533" s="0" t="n">
        <f aca="false">INDEX($F533:$J533,IF(1&lt;$E533,1,1+1))</f>
        <v>14.6</v>
      </c>
      <c r="Q533" s="0" t="n">
        <f aca="false">INDEX($F533:$J533,IF(2&lt;$E533,2,2+1))</f>
        <v>25.7</v>
      </c>
      <c r="R533" s="0" t="n">
        <f aca="false">INDEX($F533:$J533,IF(3&lt;$E533,3,3+1))</f>
        <v>15.1</v>
      </c>
      <c r="S533" s="0" t="n">
        <f aca="false">INDEX($F533:$J533,IF(4&lt;$E533,4,4+1))</f>
        <v>8.6</v>
      </c>
      <c r="T533" s="0" t="n">
        <f aca="false">INDEX($K533:$O533,IF(1&lt;$E533,1,1+1))</f>
        <v>24.5284950377</v>
      </c>
      <c r="U533" s="0" t="n">
        <f aca="false">INDEX($K533:$O533,IF(2&lt;$E533,2,2+1))</f>
        <v>0.112071147653</v>
      </c>
      <c r="V533" s="0" t="n">
        <f aca="false">INDEX($K533:$O533,IF(3&lt;$E533,3,3+1))</f>
        <v>41.9758261253</v>
      </c>
      <c r="W533" s="0" t="n">
        <f aca="false">INDEX($K533:$O533,IF(4&lt;$E533,4,4+1))</f>
        <v>23.4674115074</v>
      </c>
      <c r="X533" s="0" t="n">
        <f aca="false">1+COUNTIF($P533:$S533,"&gt;"&amp;$P533)+(COUNTIF($P533:$S533,$P533)-1)/2</f>
        <v>3</v>
      </c>
      <c r="Y533" s="0" t="n">
        <f aca="false">1+COUNTIF($P533:$S533,"&gt;"&amp;$Q533)+(COUNTIF($P533:$S533,$Q533)-1)/2</f>
        <v>1</v>
      </c>
      <c r="Z533" s="0" t="n">
        <f aca="false">1+COUNTIF($P533:$S533,"&gt;"&amp;$R533)+(COUNTIF($P533:$S533,$R533)-1)/2</f>
        <v>2</v>
      </c>
      <c r="AA533" s="0" t="n">
        <f aca="false">1+COUNTIF($P533:$S533,"&gt;"&amp;$S533)+(COUNTIF($P533:$S533,$S533)-1)/2</f>
        <v>4</v>
      </c>
      <c r="AB533" s="0" t="n">
        <f aca="false">1+COUNTIF($T533:$W533,"&gt;"&amp;$T533)+(COUNTIF($T533:$W533,$T533)-1)/2</f>
        <v>2</v>
      </c>
      <c r="AC533" s="0" t="n">
        <f aca="false">1+COUNTIF($T533:$W533,"&gt;"&amp;$U533)+(COUNTIF($T533:$W533,$U533)-1)/2</f>
        <v>4</v>
      </c>
      <c r="AD533" s="0" t="n">
        <f aca="false">1+COUNTIF($T533:$W533,"&gt;"&amp;$V533)+(COUNTIF($T533:$W533,$V533)-1)/2</f>
        <v>1</v>
      </c>
      <c r="AE533" s="0" t="n">
        <f aca="false">1+COUNTIF($T533:$W533,"&gt;"&amp;$W533)+(COUNTIF($T533:$W533,$W533)-1)/2</f>
        <v>3</v>
      </c>
      <c r="AF533" s="0" t="n">
        <f aca="false">IFERROR(CORREL($P533:$S533,$T533:$W533),"")</f>
        <v>-0.66776683062624</v>
      </c>
      <c r="AG533" s="0" t="n">
        <f aca="false">IFERROR(CORREL($X533:$AA533,$AB533:$AE533),"")</f>
        <v>-0.2</v>
      </c>
      <c r="AH533" s="0" t="n">
        <f aca="false">IFERROR((SIGN($P533-$Q533)*SIGN($T533-$U533)+SIGN($P533-$R533)*SIGN($T533-$V533)+SIGN($P533-$S533)*SIGN($T533-$W533)+SIGN($Q533-$R533)*SIGN($U533-$V533)+SIGN($Q533-$S533)*SIGN($U533-$W533)+SIGN($R533-$S533)*SIGN($V533-$W533))/SQRT((6-(($P533=$Q533)*1+($P533=$R533)*1+($P533=$S533)*1+($Q533=$R533)*1+($Q533=$S533)*1+($R533=$S533)*1))*(6-(($T533=$U533)*1+($T533=$V533)*1+($T533=$W533)*1+($U533=$V533)*1+($U533=$W533)*1+($V533=$W533)*1))),"")</f>
        <v>0</v>
      </c>
      <c r="AI533" s="0" t="n">
        <f aca="false">MATCH(MAX($K533:$O533),$K533:$O533,0)</f>
        <v>4</v>
      </c>
      <c r="AJ533" s="0" t="n">
        <f aca="false">IF(AI533&lt;&gt;$E533,1,0)</f>
        <v>1</v>
      </c>
      <c r="AK533" s="0" t="n">
        <f aca="false">IF(AJ533=1,INDEX($F533:$J533,AI533)/MAX($P533:$S533),"")</f>
        <v>0.587548638132296</v>
      </c>
      <c r="AL533" s="0" t="n">
        <f aca="false">IF(AJ533=1,1+COUNTIF($P533:$S533,"&gt;"&amp;INDEX($F533:$J533,AI533)),"")</f>
        <v>2</v>
      </c>
      <c r="AM533" s="0" t="n">
        <f aca="false">AVERAGE($P533:$S533)/MAX($P533:$S533)</f>
        <v>0.622568093385214</v>
      </c>
      <c r="AN533" s="0" t="n">
        <f aca="false">100-INDEX($F533:$J533,$E533)</f>
        <v>64</v>
      </c>
    </row>
    <row r="534" customFormat="false" ht="15" hidden="false" customHeight="false" outlineLevel="0" collapsed="false">
      <c r="A534" s="0" t="s">
        <v>61</v>
      </c>
      <c r="B534" s="0" t="n">
        <v>2026</v>
      </c>
      <c r="C534" s="0" t="s">
        <v>46</v>
      </c>
      <c r="D534" s="0" t="s">
        <v>43</v>
      </c>
      <c r="E534" s="0" t="n">
        <v>1</v>
      </c>
      <c r="F534" s="0" t="n">
        <v>40</v>
      </c>
      <c r="G534" s="0" t="n">
        <v>12</v>
      </c>
      <c r="H534" s="0" t="n">
        <v>29.9</v>
      </c>
      <c r="I534" s="0" t="n">
        <v>9.1</v>
      </c>
      <c r="J534" s="0" t="n">
        <v>9.1</v>
      </c>
      <c r="K534" s="0" t="n">
        <v>10.2080404637</v>
      </c>
      <c r="L534" s="0" t="n">
        <v>4.65549330888</v>
      </c>
      <c r="M534" s="0" t="n">
        <v>9.95646801777</v>
      </c>
      <c r="N534" s="0" t="n">
        <v>5.27449893547</v>
      </c>
      <c r="O534" s="0" t="n">
        <v>69.9054992742</v>
      </c>
      <c r="P534" s="0" t="n">
        <f aca="false">INDEX($F534:$J534,IF(1&lt;$E534,1,1+1))</f>
        <v>12</v>
      </c>
      <c r="Q534" s="0" t="n">
        <f aca="false">INDEX($F534:$J534,IF(2&lt;$E534,2,2+1))</f>
        <v>29.9</v>
      </c>
      <c r="R534" s="0" t="n">
        <f aca="false">INDEX($F534:$J534,IF(3&lt;$E534,3,3+1))</f>
        <v>9.1</v>
      </c>
      <c r="S534" s="0" t="n">
        <f aca="false">INDEX($F534:$J534,IF(4&lt;$E534,4,4+1))</f>
        <v>9.1</v>
      </c>
      <c r="T534" s="0" t="n">
        <f aca="false">INDEX($K534:$O534,IF(1&lt;$E534,1,1+1))</f>
        <v>4.65549330888</v>
      </c>
      <c r="U534" s="0" t="n">
        <f aca="false">INDEX($K534:$O534,IF(2&lt;$E534,2,2+1))</f>
        <v>9.95646801777</v>
      </c>
      <c r="V534" s="0" t="n">
        <f aca="false">INDEX($K534:$O534,IF(3&lt;$E534,3,3+1))</f>
        <v>5.27449893547</v>
      </c>
      <c r="W534" s="0" t="n">
        <f aca="false">INDEX($K534:$O534,IF(4&lt;$E534,4,4+1))</f>
        <v>69.9054992742</v>
      </c>
      <c r="X534" s="0" t="n">
        <f aca="false">1+COUNTIF($P534:$S534,"&gt;"&amp;$P534)+(COUNTIF($P534:$S534,$P534)-1)/2</f>
        <v>2</v>
      </c>
      <c r="Y534" s="0" t="n">
        <f aca="false">1+COUNTIF($P534:$S534,"&gt;"&amp;$Q534)+(COUNTIF($P534:$S534,$Q534)-1)/2</f>
        <v>1</v>
      </c>
      <c r="Z534" s="0" t="n">
        <f aca="false">1+COUNTIF($P534:$S534,"&gt;"&amp;$R534)+(COUNTIF($P534:$S534,$R534)-1)/2</f>
        <v>3.5</v>
      </c>
      <c r="AA534" s="0" t="n">
        <f aca="false">1+COUNTIF($P534:$S534,"&gt;"&amp;$S534)+(COUNTIF($P534:$S534,$S534)-1)/2</f>
        <v>3.5</v>
      </c>
      <c r="AB534" s="0" t="n">
        <f aca="false">1+COUNTIF($T534:$W534,"&gt;"&amp;$T534)+(COUNTIF($T534:$W534,$T534)-1)/2</f>
        <v>4</v>
      </c>
      <c r="AC534" s="0" t="n">
        <f aca="false">1+COUNTIF($T534:$W534,"&gt;"&amp;$U534)+(COUNTIF($T534:$W534,$U534)-1)/2</f>
        <v>2</v>
      </c>
      <c r="AD534" s="0" t="n">
        <f aca="false">1+COUNTIF($T534:$W534,"&gt;"&amp;$V534)+(COUNTIF($T534:$W534,$V534)-1)/2</f>
        <v>3</v>
      </c>
      <c r="AE534" s="0" t="n">
        <f aca="false">1+COUNTIF($T534:$W534,"&gt;"&amp;$W534)+(COUNTIF($T534:$W534,$W534)-1)/2</f>
        <v>1</v>
      </c>
      <c r="AF534" s="0" t="n">
        <f aca="false">IFERROR(CORREL($P534:$S534,$T534:$W534),"")</f>
        <v>-0.326850333722109</v>
      </c>
      <c r="AG534" s="0" t="n">
        <f aca="false">IFERROR(CORREL($X534:$AA534,$AB534:$AE534),"")</f>
        <v>-0.210818510677892</v>
      </c>
      <c r="AH534" s="0" t="n">
        <f aca="false">IFERROR((SIGN($P534-$Q534)*SIGN($T534-$U534)+SIGN($P534-$R534)*SIGN($T534-$V534)+SIGN($P534-$S534)*SIGN($T534-$W534)+SIGN($Q534-$R534)*SIGN($U534-$V534)+SIGN($Q534-$S534)*SIGN($U534-$W534)+SIGN($R534-$S534)*SIGN($V534-$W534))/SQRT((6-(($P534=$Q534)*1+($P534=$R534)*1+($P534=$S534)*1+($Q534=$R534)*1+($Q534=$S534)*1+($R534=$S534)*1))*(6-(($T534=$U534)*1+($T534=$V534)*1+($T534=$W534)*1+($U534=$V534)*1+($U534=$W534)*1+($V534=$W534)*1))),"")</f>
        <v>-0.182574185835055</v>
      </c>
      <c r="AI534" s="0" t="n">
        <f aca="false">MATCH(MAX($K534:$O534),$K534:$O534,0)</f>
        <v>5</v>
      </c>
      <c r="AJ534" s="0" t="n">
        <f aca="false">IF(AI534&lt;&gt;$E534,1,0)</f>
        <v>1</v>
      </c>
      <c r="AK534" s="0" t="n">
        <f aca="false">IF(AJ534=1,INDEX($F534:$J534,AI534)/MAX($P534:$S534),"")</f>
        <v>0.304347826086957</v>
      </c>
      <c r="AL534" s="0" t="n">
        <f aca="false">IF(AJ534=1,1+COUNTIF($P534:$S534,"&gt;"&amp;INDEX($F534:$J534,AI534)),"")</f>
        <v>3</v>
      </c>
      <c r="AM534" s="0" t="n">
        <f aca="false">AVERAGE($P534:$S534)/MAX($P534:$S534)</f>
        <v>0.502508361204013</v>
      </c>
      <c r="AN534" s="0" t="n">
        <f aca="false">100-INDEX($F534:$J534,$E534)</f>
        <v>60</v>
      </c>
    </row>
    <row r="535" customFormat="false" ht="15" hidden="false" customHeight="false" outlineLevel="0" collapsed="false">
      <c r="A535" s="0" t="s">
        <v>61</v>
      </c>
      <c r="B535" s="0" t="n">
        <v>2026</v>
      </c>
      <c r="C535" s="0" t="s">
        <v>46</v>
      </c>
      <c r="D535" s="0" t="s">
        <v>44</v>
      </c>
      <c r="E535" s="0" t="n">
        <v>2</v>
      </c>
      <c r="F535" s="0" t="n">
        <v>15.2</v>
      </c>
      <c r="G535" s="0" t="n">
        <v>40.8</v>
      </c>
      <c r="H535" s="0" t="n">
        <v>18.8</v>
      </c>
      <c r="I535" s="0" t="n">
        <v>15</v>
      </c>
      <c r="J535" s="0" t="n">
        <v>10.2</v>
      </c>
      <c r="K535" s="0" t="n">
        <v>26.7299016329</v>
      </c>
      <c r="L535" s="0" t="n">
        <v>31.3976052927</v>
      </c>
      <c r="M535" s="0" t="n">
        <v>13.765476289</v>
      </c>
      <c r="N535" s="0" t="n">
        <v>15.4173469911</v>
      </c>
      <c r="O535" s="0" t="n">
        <v>12.6896697943</v>
      </c>
      <c r="P535" s="0" t="n">
        <f aca="false">INDEX($F535:$J535,IF(1&lt;$E535,1,1+1))</f>
        <v>15.2</v>
      </c>
      <c r="Q535" s="0" t="n">
        <f aca="false">INDEX($F535:$J535,IF(2&lt;$E535,2,2+1))</f>
        <v>18.8</v>
      </c>
      <c r="R535" s="0" t="n">
        <f aca="false">INDEX($F535:$J535,IF(3&lt;$E535,3,3+1))</f>
        <v>15</v>
      </c>
      <c r="S535" s="0" t="n">
        <f aca="false">INDEX($F535:$J535,IF(4&lt;$E535,4,4+1))</f>
        <v>10.2</v>
      </c>
      <c r="T535" s="0" t="n">
        <f aca="false">INDEX($K535:$O535,IF(1&lt;$E535,1,1+1))</f>
        <v>26.7299016329</v>
      </c>
      <c r="U535" s="0" t="n">
        <f aca="false">INDEX($K535:$O535,IF(2&lt;$E535,2,2+1))</f>
        <v>13.765476289</v>
      </c>
      <c r="V535" s="0" t="n">
        <f aca="false">INDEX($K535:$O535,IF(3&lt;$E535,3,3+1))</f>
        <v>15.4173469911</v>
      </c>
      <c r="W535" s="0" t="n">
        <f aca="false">INDEX($K535:$O535,IF(4&lt;$E535,4,4+1))</f>
        <v>12.6896697943</v>
      </c>
      <c r="X535" s="0" t="n">
        <f aca="false">1+COUNTIF($P535:$S535,"&gt;"&amp;$P535)+(COUNTIF($P535:$S535,$P535)-1)/2</f>
        <v>2</v>
      </c>
      <c r="Y535" s="0" t="n">
        <f aca="false">1+COUNTIF($P535:$S535,"&gt;"&amp;$Q535)+(COUNTIF($P535:$S535,$Q535)-1)/2</f>
        <v>1</v>
      </c>
      <c r="Z535" s="0" t="n">
        <f aca="false">1+COUNTIF($P535:$S535,"&gt;"&amp;$R535)+(COUNTIF($P535:$S535,$R535)-1)/2</f>
        <v>3</v>
      </c>
      <c r="AA535" s="0" t="n">
        <f aca="false">1+COUNTIF($P535:$S535,"&gt;"&amp;$S535)+(COUNTIF($P535:$S535,$S535)-1)/2</f>
        <v>4</v>
      </c>
      <c r="AB535" s="0" t="n">
        <f aca="false">1+COUNTIF($T535:$W535,"&gt;"&amp;$T535)+(COUNTIF($T535:$W535,$T535)-1)/2</f>
        <v>1</v>
      </c>
      <c r="AC535" s="0" t="n">
        <f aca="false">1+COUNTIF($T535:$W535,"&gt;"&amp;$U535)+(COUNTIF($T535:$W535,$U535)-1)/2</f>
        <v>3</v>
      </c>
      <c r="AD535" s="0" t="n">
        <f aca="false">1+COUNTIF($T535:$W535,"&gt;"&amp;$V535)+(COUNTIF($T535:$W535,$V535)-1)/2</f>
        <v>2</v>
      </c>
      <c r="AE535" s="0" t="n">
        <f aca="false">1+COUNTIF($T535:$W535,"&gt;"&amp;$W535)+(COUNTIF($T535:$W535,$W535)-1)/2</f>
        <v>4</v>
      </c>
      <c r="AF535" s="0" t="n">
        <f aca="false">IFERROR(CORREL($P535:$S535,$T535:$W535),"")</f>
        <v>0.152449913598961</v>
      </c>
      <c r="AG535" s="0" t="n">
        <f aca="false">IFERROR(CORREL($X535:$AA535,$AB535:$AE535),"")</f>
        <v>0.4</v>
      </c>
      <c r="AH535" s="0" t="n">
        <f aca="false">IFERROR((SIGN($P535-$Q535)*SIGN($T535-$U535)+SIGN($P535-$R535)*SIGN($T535-$V535)+SIGN($P535-$S535)*SIGN($T535-$W535)+SIGN($Q535-$R535)*SIGN($U535-$V535)+SIGN($Q535-$S535)*SIGN($U535-$W535)+SIGN($R535-$S535)*SIGN($V535-$W535))/SQRT((6-(($P535=$Q535)*1+($P535=$R535)*1+($P535=$S535)*1+($Q535=$R535)*1+($Q535=$S535)*1+($R535=$S535)*1))*(6-(($T535=$U535)*1+($T535=$V535)*1+($T535=$W535)*1+($U535=$V535)*1+($U535=$W535)*1+($V535=$W535)*1))),"")</f>
        <v>0.333333333333333</v>
      </c>
      <c r="AI535" s="0" t="n">
        <f aca="false">MATCH(MAX($K535:$O535),$K535:$O535,0)</f>
        <v>2</v>
      </c>
      <c r="AJ535" s="0" t="n">
        <f aca="false">IF(AI535&lt;&gt;$E535,1,0)</f>
        <v>0</v>
      </c>
      <c r="AK535" s="0" t="str">
        <f aca="false">IF(AJ535=1,INDEX($F535:$J535,AI535)/MAX($P535:$S535),"")</f>
        <v/>
      </c>
      <c r="AL535" s="0" t="str">
        <f aca="false">IF(AJ535=1,1+COUNTIF($P535:$S535,"&gt;"&amp;INDEX($F535:$J535,AI535)),"")</f>
        <v/>
      </c>
      <c r="AM535" s="0" t="n">
        <f aca="false">AVERAGE($P535:$S535)/MAX($P535:$S535)</f>
        <v>0.787234042553192</v>
      </c>
      <c r="AN535" s="0" t="n">
        <f aca="false">100-INDEX($F535:$J535,$E535)</f>
        <v>59.2</v>
      </c>
    </row>
    <row r="536" customFormat="false" ht="15" hidden="false" customHeight="false" outlineLevel="0" collapsed="false">
      <c r="A536" s="0" t="s">
        <v>61</v>
      </c>
      <c r="B536" s="0" t="n">
        <v>2026</v>
      </c>
      <c r="C536" s="0" t="s">
        <v>46</v>
      </c>
      <c r="D536" s="0" t="s">
        <v>45</v>
      </c>
      <c r="E536" s="0" t="n">
        <v>1</v>
      </c>
      <c r="F536" s="0" t="n">
        <v>27.2</v>
      </c>
      <c r="G536" s="0" t="n">
        <v>22.4</v>
      </c>
      <c r="H536" s="0" t="n">
        <v>18.8</v>
      </c>
      <c r="I536" s="0" t="n">
        <v>18.8</v>
      </c>
      <c r="J536" s="0" t="n">
        <v>12.8</v>
      </c>
      <c r="K536" s="0" t="n">
        <v>57.5693648219</v>
      </c>
      <c r="L536" s="0" t="n">
        <v>5.84915974045</v>
      </c>
      <c r="M536" s="0" t="n">
        <v>3.2587741959</v>
      </c>
      <c r="N536" s="0" t="n">
        <v>14.0240329872</v>
      </c>
      <c r="O536" s="0" t="n">
        <v>19.2986682546</v>
      </c>
      <c r="P536" s="0" t="n">
        <f aca="false">INDEX($F536:$J536,IF(1&lt;$E536,1,1+1))</f>
        <v>22.4</v>
      </c>
      <c r="Q536" s="0" t="n">
        <f aca="false">INDEX($F536:$J536,IF(2&lt;$E536,2,2+1))</f>
        <v>18.8</v>
      </c>
      <c r="R536" s="0" t="n">
        <f aca="false">INDEX($F536:$J536,IF(3&lt;$E536,3,3+1))</f>
        <v>18.8</v>
      </c>
      <c r="S536" s="0" t="n">
        <f aca="false">INDEX($F536:$J536,IF(4&lt;$E536,4,4+1))</f>
        <v>12.8</v>
      </c>
      <c r="T536" s="0" t="n">
        <f aca="false">INDEX($K536:$O536,IF(1&lt;$E536,1,1+1))</f>
        <v>5.84915974045</v>
      </c>
      <c r="U536" s="0" t="n">
        <f aca="false">INDEX($K536:$O536,IF(2&lt;$E536,2,2+1))</f>
        <v>3.2587741959</v>
      </c>
      <c r="V536" s="0" t="n">
        <f aca="false">INDEX($K536:$O536,IF(3&lt;$E536,3,3+1))</f>
        <v>14.0240329872</v>
      </c>
      <c r="W536" s="0" t="n">
        <f aca="false">INDEX($K536:$O536,IF(4&lt;$E536,4,4+1))</f>
        <v>19.2986682546</v>
      </c>
      <c r="X536" s="0" t="n">
        <f aca="false">1+COUNTIF($P536:$S536,"&gt;"&amp;$P536)+(COUNTIF($P536:$S536,$P536)-1)/2</f>
        <v>1</v>
      </c>
      <c r="Y536" s="0" t="n">
        <f aca="false">1+COUNTIF($P536:$S536,"&gt;"&amp;$Q536)+(COUNTIF($P536:$S536,$Q536)-1)/2</f>
        <v>2.5</v>
      </c>
      <c r="Z536" s="0" t="n">
        <f aca="false">1+COUNTIF($P536:$S536,"&gt;"&amp;$R536)+(COUNTIF($P536:$S536,$R536)-1)/2</f>
        <v>2.5</v>
      </c>
      <c r="AA536" s="0" t="n">
        <f aca="false">1+COUNTIF($P536:$S536,"&gt;"&amp;$S536)+(COUNTIF($P536:$S536,$S536)-1)/2</f>
        <v>4</v>
      </c>
      <c r="AB536" s="0" t="n">
        <f aca="false">1+COUNTIF($T536:$W536,"&gt;"&amp;$T536)+(COUNTIF($T536:$W536,$T536)-1)/2</f>
        <v>3</v>
      </c>
      <c r="AC536" s="0" t="n">
        <f aca="false">1+COUNTIF($T536:$W536,"&gt;"&amp;$U536)+(COUNTIF($T536:$W536,$U536)-1)/2</f>
        <v>4</v>
      </c>
      <c r="AD536" s="0" t="n">
        <f aca="false">1+COUNTIF($T536:$W536,"&gt;"&amp;$V536)+(COUNTIF($T536:$W536,$V536)-1)/2</f>
        <v>2</v>
      </c>
      <c r="AE536" s="0" t="n">
        <f aca="false">1+COUNTIF($T536:$W536,"&gt;"&amp;$W536)+(COUNTIF($T536:$W536,$W536)-1)/2</f>
        <v>1</v>
      </c>
      <c r="AF536" s="0" t="n">
        <f aca="false">IFERROR(CORREL($P536:$S536,$T536:$W536),"")</f>
        <v>-0.785089670730503</v>
      </c>
      <c r="AG536" s="0" t="n">
        <f aca="false">IFERROR(CORREL($X536:$AA536,$AB536:$AE536),"")</f>
        <v>-0.632455532033676</v>
      </c>
      <c r="AH536" s="0" t="n">
        <f aca="false">IFERROR((SIGN($P536-$Q536)*SIGN($T536-$U536)+SIGN($P536-$R536)*SIGN($T536-$V536)+SIGN($P536-$S536)*SIGN($T536-$W536)+SIGN($Q536-$R536)*SIGN($U536-$V536)+SIGN($Q536-$S536)*SIGN($U536-$W536)+SIGN($R536-$S536)*SIGN($V536-$W536))/SQRT((6-(($P536=$Q536)*1+($P536=$R536)*1+($P536=$S536)*1+($Q536=$R536)*1+($Q536=$S536)*1+($R536=$S536)*1))*(6-(($T536=$U536)*1+($T536=$V536)*1+($T536=$W536)*1+($U536=$V536)*1+($U536=$W536)*1+($V536=$W536)*1))),"")</f>
        <v>-0.547722557505166</v>
      </c>
      <c r="AI536" s="0" t="n">
        <f aca="false">MATCH(MAX($K536:$O536),$K536:$O536,0)</f>
        <v>1</v>
      </c>
      <c r="AJ536" s="0" t="n">
        <f aca="false">IF(AI536&lt;&gt;$E536,1,0)</f>
        <v>0</v>
      </c>
      <c r="AK536" s="0" t="str">
        <f aca="false">IF(AJ536=1,INDEX($F536:$J536,AI536)/MAX($P536:$S536),"")</f>
        <v/>
      </c>
      <c r="AL536" s="0" t="str">
        <f aca="false">IF(AJ536=1,1+COUNTIF($P536:$S536,"&gt;"&amp;INDEX($F536:$J536,AI536)),"")</f>
        <v/>
      </c>
      <c r="AM536" s="0" t="n">
        <f aca="false">AVERAGE($P536:$S536)/MAX($P536:$S536)</f>
        <v>0.8125</v>
      </c>
      <c r="AN536" s="0" t="n">
        <f aca="false">100-INDEX($F536:$J536,$E536)</f>
        <v>72.8</v>
      </c>
    </row>
    <row r="537" customFormat="false" ht="15" hidden="false" customHeight="false" outlineLevel="0" collapsed="false">
      <c r="A537" s="0" t="s">
        <v>61</v>
      </c>
      <c r="B537" s="0" t="n">
        <v>2025</v>
      </c>
      <c r="C537" s="0" t="s">
        <v>48</v>
      </c>
      <c r="D537" s="0" t="s">
        <v>42</v>
      </c>
      <c r="E537" s="0" t="n">
        <v>3</v>
      </c>
      <c r="F537" s="0" t="n">
        <v>11.4</v>
      </c>
      <c r="G537" s="0" t="n">
        <v>39.7</v>
      </c>
      <c r="H537" s="0" t="n">
        <v>34.8</v>
      </c>
      <c r="I537" s="0" t="n">
        <v>6.2</v>
      </c>
      <c r="J537" s="0" t="n">
        <v>7.9</v>
      </c>
      <c r="K537" s="0" t="n">
        <v>0.319408485185</v>
      </c>
      <c r="L537" s="0" t="n">
        <v>0.358979793492</v>
      </c>
      <c r="M537" s="0" t="n">
        <v>2.19310448006</v>
      </c>
      <c r="N537" s="0" t="n">
        <v>82.6747311615</v>
      </c>
      <c r="O537" s="0" t="n">
        <v>14.4537760798</v>
      </c>
      <c r="P537" s="0" t="n">
        <f aca="false">INDEX($F537:$J537,IF(1&lt;$E537,1,1+1))</f>
        <v>11.4</v>
      </c>
      <c r="Q537" s="0" t="n">
        <f aca="false">INDEX($F537:$J537,IF(2&lt;$E537,2,2+1))</f>
        <v>39.7</v>
      </c>
      <c r="R537" s="0" t="n">
        <f aca="false">INDEX($F537:$J537,IF(3&lt;$E537,3,3+1))</f>
        <v>6.2</v>
      </c>
      <c r="S537" s="0" t="n">
        <f aca="false">INDEX($F537:$J537,IF(4&lt;$E537,4,4+1))</f>
        <v>7.9</v>
      </c>
      <c r="T537" s="0" t="n">
        <f aca="false">INDEX($K537:$O537,IF(1&lt;$E537,1,1+1))</f>
        <v>0.319408485185</v>
      </c>
      <c r="U537" s="0" t="n">
        <f aca="false">INDEX($K537:$O537,IF(2&lt;$E537,2,2+1))</f>
        <v>0.358979793492</v>
      </c>
      <c r="V537" s="0" t="n">
        <f aca="false">INDEX($K537:$O537,IF(3&lt;$E537,3,3+1))</f>
        <v>82.6747311615</v>
      </c>
      <c r="W537" s="0" t="n">
        <f aca="false">INDEX($K537:$O537,IF(4&lt;$E537,4,4+1))</f>
        <v>14.4537760798</v>
      </c>
      <c r="X537" s="0" t="n">
        <f aca="false">1+COUNTIF($P537:$S537,"&gt;"&amp;$P537)+(COUNTIF($P537:$S537,$P537)-1)/2</f>
        <v>2</v>
      </c>
      <c r="Y537" s="0" t="n">
        <f aca="false">1+COUNTIF($P537:$S537,"&gt;"&amp;$Q537)+(COUNTIF($P537:$S537,$Q537)-1)/2</f>
        <v>1</v>
      </c>
      <c r="Z537" s="0" t="n">
        <f aca="false">1+COUNTIF($P537:$S537,"&gt;"&amp;$R537)+(COUNTIF($P537:$S537,$R537)-1)/2</f>
        <v>4</v>
      </c>
      <c r="AA537" s="0" t="n">
        <f aca="false">1+COUNTIF($P537:$S537,"&gt;"&amp;$S537)+(COUNTIF($P537:$S537,$S537)-1)/2</f>
        <v>3</v>
      </c>
      <c r="AB537" s="0" t="n">
        <f aca="false">1+COUNTIF($T537:$W537,"&gt;"&amp;$T537)+(COUNTIF($T537:$W537,$T537)-1)/2</f>
        <v>4</v>
      </c>
      <c r="AC537" s="0" t="n">
        <f aca="false">1+COUNTIF($T537:$W537,"&gt;"&amp;$U537)+(COUNTIF($T537:$W537,$U537)-1)/2</f>
        <v>3</v>
      </c>
      <c r="AD537" s="0" t="n">
        <f aca="false">1+COUNTIF($T537:$W537,"&gt;"&amp;$V537)+(COUNTIF($T537:$W537,$V537)-1)/2</f>
        <v>1</v>
      </c>
      <c r="AE537" s="0" t="n">
        <f aca="false">1+COUNTIF($T537:$W537,"&gt;"&amp;$W537)+(COUNTIF($T537:$W537,$W537)-1)/2</f>
        <v>2</v>
      </c>
      <c r="AF537" s="0" t="n">
        <f aca="false">IFERROR(CORREL($P537:$S537,$T537:$W537),"")</f>
        <v>-0.510336528198377</v>
      </c>
      <c r="AG537" s="0" t="n">
        <f aca="false">IFERROR(CORREL($X537:$AA537,$AB537:$AE537),"")</f>
        <v>-0.8</v>
      </c>
      <c r="AH537" s="0" t="n">
        <f aca="false">IFERROR((SIGN($P537-$Q537)*SIGN($T537-$U537)+SIGN($P537-$R537)*SIGN($T537-$V537)+SIGN($P537-$S537)*SIGN($T537-$W537)+SIGN($Q537-$R537)*SIGN($U537-$V537)+SIGN($Q537-$S537)*SIGN($U537-$W537)+SIGN($R537-$S537)*SIGN($V537-$W537))/SQRT((6-(($P537=$Q537)*1+($P537=$R537)*1+($P537=$S537)*1+($Q537=$R537)*1+($Q537=$S537)*1+($R537=$S537)*1))*(6-(($T537=$U537)*1+($T537=$V537)*1+($T537=$W537)*1+($U537=$V537)*1+($U537=$W537)*1+($V537=$W537)*1))),"")</f>
        <v>-0.666666666666667</v>
      </c>
      <c r="AI537" s="0" t="n">
        <f aca="false">MATCH(MAX($K537:$O537),$K537:$O537,0)</f>
        <v>4</v>
      </c>
      <c r="AJ537" s="0" t="n">
        <f aca="false">IF(AI537&lt;&gt;$E537,1,0)</f>
        <v>1</v>
      </c>
      <c r="AK537" s="0" t="n">
        <f aca="false">IF(AJ537=1,INDEX($F537:$J537,AI537)/MAX($P537:$S537),"")</f>
        <v>0.156171284634761</v>
      </c>
      <c r="AL537" s="0" t="n">
        <f aca="false">IF(AJ537=1,1+COUNTIF($P537:$S537,"&gt;"&amp;INDEX($F537:$J537,AI537)),"")</f>
        <v>4</v>
      </c>
      <c r="AM537" s="0" t="n">
        <f aca="false">AVERAGE($P537:$S537)/MAX($P537:$S537)</f>
        <v>0.410579345088161</v>
      </c>
      <c r="AN537" s="0" t="n">
        <f aca="false">100-INDEX($F537:$J537,$E537)</f>
        <v>65.2</v>
      </c>
    </row>
    <row r="538" customFormat="false" ht="15" hidden="false" customHeight="false" outlineLevel="0" collapsed="false">
      <c r="A538" s="0" t="s">
        <v>61</v>
      </c>
      <c r="B538" s="0" t="n">
        <v>2025</v>
      </c>
      <c r="C538" s="0" t="s">
        <v>48</v>
      </c>
      <c r="D538" s="0" t="s">
        <v>43</v>
      </c>
      <c r="E538" s="0" t="n">
        <v>1</v>
      </c>
      <c r="F538" s="0" t="n">
        <v>47.7</v>
      </c>
      <c r="G538" s="0" t="n">
        <v>18.8</v>
      </c>
      <c r="H538" s="0" t="n">
        <v>9.3</v>
      </c>
      <c r="I538" s="0" t="n">
        <v>7.7</v>
      </c>
      <c r="J538" s="0" t="n">
        <v>16.6</v>
      </c>
      <c r="K538" s="0" t="n">
        <v>53.6641243462</v>
      </c>
      <c r="L538" s="0" t="n">
        <v>6.48490766012</v>
      </c>
      <c r="M538" s="0" t="n">
        <v>11.1973546334</v>
      </c>
      <c r="N538" s="0" t="n">
        <v>7.5899271155</v>
      </c>
      <c r="O538" s="0" t="n">
        <v>21.0636862448</v>
      </c>
      <c r="P538" s="0" t="n">
        <f aca="false">INDEX($F538:$J538,IF(1&lt;$E538,1,1+1))</f>
        <v>18.8</v>
      </c>
      <c r="Q538" s="0" t="n">
        <f aca="false">INDEX($F538:$J538,IF(2&lt;$E538,2,2+1))</f>
        <v>9.3</v>
      </c>
      <c r="R538" s="0" t="n">
        <f aca="false">INDEX($F538:$J538,IF(3&lt;$E538,3,3+1))</f>
        <v>7.7</v>
      </c>
      <c r="S538" s="0" t="n">
        <f aca="false">INDEX($F538:$J538,IF(4&lt;$E538,4,4+1))</f>
        <v>16.6</v>
      </c>
      <c r="T538" s="0" t="n">
        <f aca="false">INDEX($K538:$O538,IF(1&lt;$E538,1,1+1))</f>
        <v>6.48490766012</v>
      </c>
      <c r="U538" s="0" t="n">
        <f aca="false">INDEX($K538:$O538,IF(2&lt;$E538,2,2+1))</f>
        <v>11.1973546334</v>
      </c>
      <c r="V538" s="0" t="n">
        <f aca="false">INDEX($K538:$O538,IF(3&lt;$E538,3,3+1))</f>
        <v>7.5899271155</v>
      </c>
      <c r="W538" s="0" t="n">
        <f aca="false">INDEX($K538:$O538,IF(4&lt;$E538,4,4+1))</f>
        <v>21.0636862448</v>
      </c>
      <c r="X538" s="0" t="n">
        <f aca="false">1+COUNTIF($P538:$S538,"&gt;"&amp;$P538)+(COUNTIF($P538:$S538,$P538)-1)/2</f>
        <v>1</v>
      </c>
      <c r="Y538" s="0" t="n">
        <f aca="false">1+COUNTIF($P538:$S538,"&gt;"&amp;$Q538)+(COUNTIF($P538:$S538,$Q538)-1)/2</f>
        <v>3</v>
      </c>
      <c r="Z538" s="0" t="n">
        <f aca="false">1+COUNTIF($P538:$S538,"&gt;"&amp;$R538)+(COUNTIF($P538:$S538,$R538)-1)/2</f>
        <v>4</v>
      </c>
      <c r="AA538" s="0" t="n">
        <f aca="false">1+COUNTIF($P538:$S538,"&gt;"&amp;$S538)+(COUNTIF($P538:$S538,$S538)-1)/2</f>
        <v>2</v>
      </c>
      <c r="AB538" s="0" t="n">
        <f aca="false">1+COUNTIF($T538:$W538,"&gt;"&amp;$T538)+(COUNTIF($T538:$W538,$T538)-1)/2</f>
        <v>4</v>
      </c>
      <c r="AC538" s="0" t="n">
        <f aca="false">1+COUNTIF($T538:$W538,"&gt;"&amp;$U538)+(COUNTIF($T538:$W538,$U538)-1)/2</f>
        <v>2</v>
      </c>
      <c r="AD538" s="0" t="n">
        <f aca="false">1+COUNTIF($T538:$W538,"&gt;"&amp;$V538)+(COUNTIF($T538:$W538,$V538)-1)/2</f>
        <v>3</v>
      </c>
      <c r="AE538" s="0" t="n">
        <f aca="false">1+COUNTIF($T538:$W538,"&gt;"&amp;$W538)+(COUNTIF($T538:$W538,$W538)-1)/2</f>
        <v>1</v>
      </c>
      <c r="AF538" s="0" t="n">
        <f aca="false">IFERROR(CORREL($P538:$S538,$T538:$W538),"")</f>
        <v>0.251465898151716</v>
      </c>
      <c r="AG538" s="0" t="n">
        <f aca="false">IFERROR(CORREL($X538:$AA538,$AB538:$AE538),"")</f>
        <v>-0.2</v>
      </c>
      <c r="AH538" s="0" t="n">
        <f aca="false">IFERROR((SIGN($P538-$Q538)*SIGN($T538-$U538)+SIGN($P538-$R538)*SIGN($T538-$V538)+SIGN($P538-$S538)*SIGN($T538-$W538)+SIGN($Q538-$R538)*SIGN($U538-$V538)+SIGN($Q538-$S538)*SIGN($U538-$W538)+SIGN($R538-$S538)*SIGN($V538-$W538))/SQRT((6-(($P538=$Q538)*1+($P538=$R538)*1+($P538=$S538)*1+($Q538=$R538)*1+($Q538=$S538)*1+($R538=$S538)*1))*(6-(($T538=$U538)*1+($T538=$V538)*1+($T538=$W538)*1+($U538=$V538)*1+($U538=$W538)*1+($V538=$W538)*1))),"")</f>
        <v>0</v>
      </c>
      <c r="AI538" s="0" t="n">
        <f aca="false">MATCH(MAX($K538:$O538),$K538:$O538,0)</f>
        <v>1</v>
      </c>
      <c r="AJ538" s="0" t="n">
        <f aca="false">IF(AI538&lt;&gt;$E538,1,0)</f>
        <v>0</v>
      </c>
      <c r="AK538" s="0" t="str">
        <f aca="false">IF(AJ538=1,INDEX($F538:$J538,AI538)/MAX($P538:$S538),"")</f>
        <v/>
      </c>
      <c r="AL538" s="0" t="str">
        <f aca="false">IF(AJ538=1,1+COUNTIF($P538:$S538,"&gt;"&amp;INDEX($F538:$J538,AI538)),"")</f>
        <v/>
      </c>
      <c r="AM538" s="0" t="n">
        <f aca="false">AVERAGE($P538:$S538)/MAX($P538:$S538)</f>
        <v>0.696808510638298</v>
      </c>
      <c r="AN538" s="0" t="n">
        <f aca="false">100-INDEX($F538:$J538,$E538)</f>
        <v>52.3</v>
      </c>
    </row>
    <row r="539" customFormat="false" ht="15" hidden="false" customHeight="false" outlineLevel="0" collapsed="false">
      <c r="A539" s="0" t="s">
        <v>61</v>
      </c>
      <c r="B539" s="0" t="n">
        <v>2025</v>
      </c>
      <c r="C539" s="0" t="s">
        <v>48</v>
      </c>
      <c r="D539" s="0" t="s">
        <v>44</v>
      </c>
      <c r="E539" s="0" t="n">
        <v>2</v>
      </c>
      <c r="F539" s="0" t="n">
        <v>24.7</v>
      </c>
      <c r="G539" s="0" t="n">
        <v>30.7</v>
      </c>
      <c r="H539" s="0" t="n">
        <v>17.8</v>
      </c>
      <c r="I539" s="0" t="n">
        <v>8.2</v>
      </c>
      <c r="J539" s="0" t="n">
        <v>18.5</v>
      </c>
      <c r="K539" s="0" t="n">
        <v>8.12527521507</v>
      </c>
      <c r="L539" s="0" t="n">
        <v>4.61623503367</v>
      </c>
      <c r="M539" s="0" t="n">
        <v>44.9552181425</v>
      </c>
      <c r="N539" s="0" t="n">
        <v>38.0392442933</v>
      </c>
      <c r="O539" s="0" t="n">
        <v>4.26402731547</v>
      </c>
      <c r="P539" s="0" t="n">
        <f aca="false">INDEX($F539:$J539,IF(1&lt;$E539,1,1+1))</f>
        <v>24.7</v>
      </c>
      <c r="Q539" s="0" t="n">
        <f aca="false">INDEX($F539:$J539,IF(2&lt;$E539,2,2+1))</f>
        <v>17.8</v>
      </c>
      <c r="R539" s="0" t="n">
        <f aca="false">INDEX($F539:$J539,IF(3&lt;$E539,3,3+1))</f>
        <v>8.2</v>
      </c>
      <c r="S539" s="0" t="n">
        <f aca="false">INDEX($F539:$J539,IF(4&lt;$E539,4,4+1))</f>
        <v>18.5</v>
      </c>
      <c r="T539" s="0" t="n">
        <f aca="false">INDEX($K539:$O539,IF(1&lt;$E539,1,1+1))</f>
        <v>8.12527521507</v>
      </c>
      <c r="U539" s="0" t="n">
        <f aca="false">INDEX($K539:$O539,IF(2&lt;$E539,2,2+1))</f>
        <v>44.9552181425</v>
      </c>
      <c r="V539" s="0" t="n">
        <f aca="false">INDEX($K539:$O539,IF(3&lt;$E539,3,3+1))</f>
        <v>38.0392442933</v>
      </c>
      <c r="W539" s="0" t="n">
        <f aca="false">INDEX($K539:$O539,IF(4&lt;$E539,4,4+1))</f>
        <v>4.26402731547</v>
      </c>
      <c r="X539" s="0" t="n">
        <f aca="false">1+COUNTIF($P539:$S539,"&gt;"&amp;$P539)+(COUNTIF($P539:$S539,$P539)-1)/2</f>
        <v>1</v>
      </c>
      <c r="Y539" s="0" t="n">
        <f aca="false">1+COUNTIF($P539:$S539,"&gt;"&amp;$Q539)+(COUNTIF($P539:$S539,$Q539)-1)/2</f>
        <v>3</v>
      </c>
      <c r="Z539" s="0" t="n">
        <f aca="false">1+COUNTIF($P539:$S539,"&gt;"&amp;$R539)+(COUNTIF($P539:$S539,$R539)-1)/2</f>
        <v>4</v>
      </c>
      <c r="AA539" s="0" t="n">
        <f aca="false">1+COUNTIF($P539:$S539,"&gt;"&amp;$S539)+(COUNTIF($P539:$S539,$S539)-1)/2</f>
        <v>2</v>
      </c>
      <c r="AB539" s="0" t="n">
        <f aca="false">1+COUNTIF($T539:$W539,"&gt;"&amp;$T539)+(COUNTIF($T539:$W539,$T539)-1)/2</f>
        <v>3</v>
      </c>
      <c r="AC539" s="0" t="n">
        <f aca="false">1+COUNTIF($T539:$W539,"&gt;"&amp;$U539)+(COUNTIF($T539:$W539,$U539)-1)/2</f>
        <v>1</v>
      </c>
      <c r="AD539" s="0" t="n">
        <f aca="false">1+COUNTIF($T539:$W539,"&gt;"&amp;$V539)+(COUNTIF($T539:$W539,$V539)-1)/2</f>
        <v>2</v>
      </c>
      <c r="AE539" s="0" t="n">
        <f aca="false">1+COUNTIF($T539:$W539,"&gt;"&amp;$W539)+(COUNTIF($T539:$W539,$W539)-1)/2</f>
        <v>4</v>
      </c>
      <c r="AF539" s="0" t="n">
        <f aca="false">IFERROR(CORREL($P539:$S539,$T539:$W539),"")</f>
        <v>-0.612681276051294</v>
      </c>
      <c r="AG539" s="0" t="n">
        <f aca="false">IFERROR(CORREL($X539:$AA539,$AB539:$AE539),"")</f>
        <v>-0.6</v>
      </c>
      <c r="AH539" s="0" t="n">
        <f aca="false">IFERROR((SIGN($P539-$Q539)*SIGN($T539-$U539)+SIGN($P539-$R539)*SIGN($T539-$V539)+SIGN($P539-$S539)*SIGN($T539-$W539)+SIGN($Q539-$R539)*SIGN($U539-$V539)+SIGN($Q539-$S539)*SIGN($U539-$W539)+SIGN($R539-$S539)*SIGN($V539-$W539))/SQRT((6-(($P539=$Q539)*1+($P539=$R539)*1+($P539=$S539)*1+($Q539=$R539)*1+($Q539=$S539)*1+($R539=$S539)*1))*(6-(($T539=$U539)*1+($T539=$V539)*1+($T539=$W539)*1+($U539=$V539)*1+($U539=$W539)*1+($V539=$W539)*1))),"")</f>
        <v>-0.333333333333333</v>
      </c>
      <c r="AI539" s="0" t="n">
        <f aca="false">MATCH(MAX($K539:$O539),$K539:$O539,0)</f>
        <v>3</v>
      </c>
      <c r="AJ539" s="0" t="n">
        <f aca="false">IF(AI539&lt;&gt;$E539,1,0)</f>
        <v>1</v>
      </c>
      <c r="AK539" s="0" t="n">
        <f aca="false">IF(AJ539=1,INDEX($F539:$J539,AI539)/MAX($P539:$S539),"")</f>
        <v>0.720647773279352</v>
      </c>
      <c r="AL539" s="0" t="n">
        <f aca="false">IF(AJ539=1,1+COUNTIF($P539:$S539,"&gt;"&amp;INDEX($F539:$J539,AI539)),"")</f>
        <v>3</v>
      </c>
      <c r="AM539" s="0" t="n">
        <f aca="false">AVERAGE($P539:$S539)/MAX($P539:$S539)</f>
        <v>0.700404858299595</v>
      </c>
      <c r="AN539" s="0" t="n">
        <f aca="false">100-INDEX($F539:$J539,$E539)</f>
        <v>69.3</v>
      </c>
    </row>
    <row r="540" customFormat="false" ht="15" hidden="false" customHeight="false" outlineLevel="0" collapsed="false">
      <c r="A540" s="0" t="s">
        <v>61</v>
      </c>
      <c r="B540" s="0" t="n">
        <v>2025</v>
      </c>
      <c r="C540" s="0" t="s">
        <v>48</v>
      </c>
      <c r="D540" s="0" t="s">
        <v>45</v>
      </c>
      <c r="E540" s="0" t="n">
        <v>5</v>
      </c>
      <c r="F540" s="0" t="n">
        <v>12.2</v>
      </c>
      <c r="G540" s="0" t="n">
        <v>12.3</v>
      </c>
      <c r="H540" s="0" t="n">
        <v>11</v>
      </c>
      <c r="I540" s="0" t="n">
        <v>9.5</v>
      </c>
      <c r="J540" s="0" t="n">
        <v>54.9</v>
      </c>
      <c r="K540" s="0" t="n">
        <v>16.045474544</v>
      </c>
      <c r="L540" s="0" t="n">
        <v>26.4426443434</v>
      </c>
      <c r="M540" s="0" t="n">
        <v>23.3960740087</v>
      </c>
      <c r="N540" s="0" t="n">
        <v>16.7930753468</v>
      </c>
      <c r="O540" s="0" t="n">
        <v>17.3227317571</v>
      </c>
      <c r="P540" s="0" t="n">
        <f aca="false">INDEX($F540:$J540,IF(1&lt;$E540,1,1+1))</f>
        <v>12.2</v>
      </c>
      <c r="Q540" s="0" t="n">
        <f aca="false">INDEX($F540:$J540,IF(2&lt;$E540,2,2+1))</f>
        <v>12.3</v>
      </c>
      <c r="R540" s="0" t="n">
        <f aca="false">INDEX($F540:$J540,IF(3&lt;$E540,3,3+1))</f>
        <v>11</v>
      </c>
      <c r="S540" s="0" t="n">
        <f aca="false">INDEX($F540:$J540,IF(4&lt;$E540,4,4+1))</f>
        <v>9.5</v>
      </c>
      <c r="T540" s="0" t="n">
        <f aca="false">INDEX($K540:$O540,IF(1&lt;$E540,1,1+1))</f>
        <v>16.045474544</v>
      </c>
      <c r="U540" s="0" t="n">
        <f aca="false">INDEX($K540:$O540,IF(2&lt;$E540,2,2+1))</f>
        <v>26.4426443434</v>
      </c>
      <c r="V540" s="0" t="n">
        <f aca="false">INDEX($K540:$O540,IF(3&lt;$E540,3,3+1))</f>
        <v>23.3960740087</v>
      </c>
      <c r="W540" s="0" t="n">
        <f aca="false">INDEX($K540:$O540,IF(4&lt;$E540,4,4+1))</f>
        <v>16.7930753468</v>
      </c>
      <c r="X540" s="0" t="n">
        <f aca="false">1+COUNTIF($P540:$S540,"&gt;"&amp;$P540)+(COUNTIF($P540:$S540,$P540)-1)/2</f>
        <v>2</v>
      </c>
      <c r="Y540" s="0" t="n">
        <f aca="false">1+COUNTIF($P540:$S540,"&gt;"&amp;$Q540)+(COUNTIF($P540:$S540,$Q540)-1)/2</f>
        <v>1</v>
      </c>
      <c r="Z540" s="0" t="n">
        <f aca="false">1+COUNTIF($P540:$S540,"&gt;"&amp;$R540)+(COUNTIF($P540:$S540,$R540)-1)/2</f>
        <v>3</v>
      </c>
      <c r="AA540" s="0" t="n">
        <f aca="false">1+COUNTIF($P540:$S540,"&gt;"&amp;$S540)+(COUNTIF($P540:$S540,$S540)-1)/2</f>
        <v>4</v>
      </c>
      <c r="AB540" s="0" t="n">
        <f aca="false">1+COUNTIF($T540:$W540,"&gt;"&amp;$T540)+(COUNTIF($T540:$W540,$T540)-1)/2</f>
        <v>4</v>
      </c>
      <c r="AC540" s="0" t="n">
        <f aca="false">1+COUNTIF($T540:$W540,"&gt;"&amp;$U540)+(COUNTIF($T540:$W540,$U540)-1)/2</f>
        <v>1</v>
      </c>
      <c r="AD540" s="0" t="n">
        <f aca="false">1+COUNTIF($T540:$W540,"&gt;"&amp;$V540)+(COUNTIF($T540:$W540,$V540)-1)/2</f>
        <v>2</v>
      </c>
      <c r="AE540" s="0" t="n">
        <f aca="false">1+COUNTIF($T540:$W540,"&gt;"&amp;$W540)+(COUNTIF($T540:$W540,$W540)-1)/2</f>
        <v>3</v>
      </c>
      <c r="AF540" s="0" t="n">
        <f aca="false">IFERROR(CORREL($P540:$S540,$T540:$W540),"")</f>
        <v>0.390565205999081</v>
      </c>
      <c r="AG540" s="0" t="n">
        <f aca="false">IFERROR(CORREL($X540:$AA540,$AB540:$AE540),"")</f>
        <v>0.4</v>
      </c>
      <c r="AH540" s="0" t="n">
        <f aca="false">IFERROR((SIGN($P540-$Q540)*SIGN($T540-$U540)+SIGN($P540-$R540)*SIGN($T540-$V540)+SIGN($P540-$S540)*SIGN($T540-$W540)+SIGN($Q540-$R540)*SIGN($U540-$V540)+SIGN($Q540-$S540)*SIGN($U540-$W540)+SIGN($R540-$S540)*SIGN($V540-$W540))/SQRT((6-(($P540=$Q540)*1+($P540=$R540)*1+($P540=$S540)*1+($Q540=$R540)*1+($Q540=$S540)*1+($R540=$S540)*1))*(6-(($T540=$U540)*1+($T540=$V540)*1+($T540=$W540)*1+($U540=$V540)*1+($U540=$W540)*1+($V540=$W540)*1))),"")</f>
        <v>0.333333333333333</v>
      </c>
      <c r="AI540" s="0" t="n">
        <f aca="false">MATCH(MAX($K540:$O540),$K540:$O540,0)</f>
        <v>2</v>
      </c>
      <c r="AJ540" s="0" t="n">
        <f aca="false">IF(AI540&lt;&gt;$E540,1,0)</f>
        <v>1</v>
      </c>
      <c r="AK540" s="0" t="n">
        <f aca="false">IF(AJ540=1,INDEX($F540:$J540,AI540)/MAX($P540:$S540),"")</f>
        <v>1</v>
      </c>
      <c r="AL540" s="0" t="n">
        <f aca="false">IF(AJ540=1,1+COUNTIF($P540:$S540,"&gt;"&amp;INDEX($F540:$J540,AI540)),"")</f>
        <v>1</v>
      </c>
      <c r="AM540" s="0" t="n">
        <f aca="false">AVERAGE($P540:$S540)/MAX($P540:$S540)</f>
        <v>0.914634146341463</v>
      </c>
      <c r="AN540" s="0" t="n">
        <f aca="false">100-INDEX($F540:$J540,$E540)</f>
        <v>45.1</v>
      </c>
    </row>
    <row r="541" customFormat="false" ht="15" hidden="false" customHeight="false" outlineLevel="0" collapsed="false">
      <c r="A541" s="0" t="s">
        <v>61</v>
      </c>
      <c r="B541" s="0" t="n">
        <v>2025</v>
      </c>
      <c r="C541" s="0" t="s">
        <v>49</v>
      </c>
      <c r="D541" s="0" t="s">
        <v>42</v>
      </c>
      <c r="E541" s="0" t="n">
        <v>1</v>
      </c>
      <c r="F541" s="0" t="n">
        <v>42.4</v>
      </c>
      <c r="G541" s="0" t="n">
        <v>25.2</v>
      </c>
      <c r="H541" s="0" t="n">
        <v>9.6</v>
      </c>
      <c r="I541" s="0" t="n">
        <v>14.2</v>
      </c>
      <c r="J541" s="0" t="n">
        <v>8.6</v>
      </c>
      <c r="K541" s="0" t="n">
        <v>1.7076523571</v>
      </c>
      <c r="L541" s="0" t="n">
        <v>9.68810366178</v>
      </c>
      <c r="M541" s="0" t="n">
        <v>38.2931464315</v>
      </c>
      <c r="N541" s="0" t="n">
        <v>45.829806896</v>
      </c>
      <c r="O541" s="0" t="n">
        <v>4.48129065368</v>
      </c>
      <c r="P541" s="0" t="n">
        <f aca="false">INDEX($F541:$J541,IF(1&lt;$E541,1,1+1))</f>
        <v>25.2</v>
      </c>
      <c r="Q541" s="0" t="n">
        <f aca="false">INDEX($F541:$J541,IF(2&lt;$E541,2,2+1))</f>
        <v>9.6</v>
      </c>
      <c r="R541" s="0" t="n">
        <f aca="false">INDEX($F541:$J541,IF(3&lt;$E541,3,3+1))</f>
        <v>14.2</v>
      </c>
      <c r="S541" s="0" t="n">
        <f aca="false">INDEX($F541:$J541,IF(4&lt;$E541,4,4+1))</f>
        <v>8.6</v>
      </c>
      <c r="T541" s="0" t="n">
        <f aca="false">INDEX($K541:$O541,IF(1&lt;$E541,1,1+1))</f>
        <v>9.68810366178</v>
      </c>
      <c r="U541" s="0" t="n">
        <f aca="false">INDEX($K541:$O541,IF(2&lt;$E541,2,2+1))</f>
        <v>38.2931464315</v>
      </c>
      <c r="V541" s="0" t="n">
        <f aca="false">INDEX($K541:$O541,IF(3&lt;$E541,3,3+1))</f>
        <v>45.829806896</v>
      </c>
      <c r="W541" s="0" t="n">
        <f aca="false">INDEX($K541:$O541,IF(4&lt;$E541,4,4+1))</f>
        <v>4.48129065368</v>
      </c>
      <c r="X541" s="0" t="n">
        <f aca="false">1+COUNTIF($P541:$S541,"&gt;"&amp;$P541)+(COUNTIF($P541:$S541,$P541)-1)/2</f>
        <v>1</v>
      </c>
      <c r="Y541" s="0" t="n">
        <f aca="false">1+COUNTIF($P541:$S541,"&gt;"&amp;$Q541)+(COUNTIF($P541:$S541,$Q541)-1)/2</f>
        <v>3</v>
      </c>
      <c r="Z541" s="0" t="n">
        <f aca="false">1+COUNTIF($P541:$S541,"&gt;"&amp;$R541)+(COUNTIF($P541:$S541,$R541)-1)/2</f>
        <v>2</v>
      </c>
      <c r="AA541" s="0" t="n">
        <f aca="false">1+COUNTIF($P541:$S541,"&gt;"&amp;$S541)+(COUNTIF($P541:$S541,$S541)-1)/2</f>
        <v>4</v>
      </c>
      <c r="AB541" s="0" t="n">
        <f aca="false">1+COUNTIF($T541:$W541,"&gt;"&amp;$T541)+(COUNTIF($T541:$W541,$T541)-1)/2</f>
        <v>3</v>
      </c>
      <c r="AC541" s="0" t="n">
        <f aca="false">1+COUNTIF($T541:$W541,"&gt;"&amp;$U541)+(COUNTIF($T541:$W541,$U541)-1)/2</f>
        <v>2</v>
      </c>
      <c r="AD541" s="0" t="n">
        <f aca="false">1+COUNTIF($T541:$W541,"&gt;"&amp;$V541)+(COUNTIF($T541:$W541,$V541)-1)/2</f>
        <v>1</v>
      </c>
      <c r="AE541" s="0" t="n">
        <f aca="false">1+COUNTIF($T541:$W541,"&gt;"&amp;$W541)+(COUNTIF($T541:$W541,$W541)-1)/2</f>
        <v>4</v>
      </c>
      <c r="AF541" s="0" t="n">
        <f aca="false">IFERROR(CORREL($P541:$S541,$T541:$W541),"")</f>
        <v>-0.244115390433818</v>
      </c>
      <c r="AG541" s="0" t="n">
        <f aca="false">IFERROR(CORREL($X541:$AA541,$AB541:$AE541),"")</f>
        <v>0.4</v>
      </c>
      <c r="AH541" s="0" t="n">
        <f aca="false">IFERROR((SIGN($P541-$Q541)*SIGN($T541-$U541)+SIGN($P541-$R541)*SIGN($T541-$V541)+SIGN($P541-$S541)*SIGN($T541-$W541)+SIGN($Q541-$R541)*SIGN($U541-$V541)+SIGN($Q541-$S541)*SIGN($U541-$W541)+SIGN($R541-$S541)*SIGN($V541-$W541))/SQRT((6-(($P541=$Q541)*1+($P541=$R541)*1+($P541=$S541)*1+($Q541=$R541)*1+($Q541=$S541)*1+($R541=$S541)*1))*(6-(($T541=$U541)*1+($T541=$V541)*1+($T541=$W541)*1+($U541=$V541)*1+($U541=$W541)*1+($V541=$W541)*1))),"")</f>
        <v>0.333333333333333</v>
      </c>
      <c r="AI541" s="0" t="n">
        <f aca="false">MATCH(MAX($K541:$O541),$K541:$O541,0)</f>
        <v>4</v>
      </c>
      <c r="AJ541" s="0" t="n">
        <f aca="false">IF(AI541&lt;&gt;$E541,1,0)</f>
        <v>1</v>
      </c>
      <c r="AK541" s="0" t="n">
        <f aca="false">IF(AJ541=1,INDEX($F541:$J541,AI541)/MAX($P541:$S541),"")</f>
        <v>0.563492063492064</v>
      </c>
      <c r="AL541" s="0" t="n">
        <f aca="false">IF(AJ541=1,1+COUNTIF($P541:$S541,"&gt;"&amp;INDEX($F541:$J541,AI541)),"")</f>
        <v>2</v>
      </c>
      <c r="AM541" s="0" t="n">
        <f aca="false">AVERAGE($P541:$S541)/MAX($P541:$S541)</f>
        <v>0.571428571428571</v>
      </c>
      <c r="AN541" s="0" t="n">
        <f aca="false">100-INDEX($F541:$J541,$E541)</f>
        <v>57.6</v>
      </c>
    </row>
    <row r="542" customFormat="false" ht="15" hidden="false" customHeight="false" outlineLevel="0" collapsed="false">
      <c r="A542" s="0" t="s">
        <v>61</v>
      </c>
      <c r="B542" s="0" t="n">
        <v>2025</v>
      </c>
      <c r="C542" s="0" t="s">
        <v>49</v>
      </c>
      <c r="D542" s="0" t="s">
        <v>43</v>
      </c>
      <c r="E542" s="0" t="n">
        <v>3</v>
      </c>
      <c r="F542" s="0" t="n">
        <v>28.9</v>
      </c>
      <c r="G542" s="0" t="n">
        <v>6.1</v>
      </c>
      <c r="H542" s="0" t="n">
        <v>19.9</v>
      </c>
      <c r="I542" s="0" t="n">
        <v>23</v>
      </c>
      <c r="J542" s="0" t="n">
        <v>22.1</v>
      </c>
      <c r="K542" s="0" t="n">
        <v>20.4849324165</v>
      </c>
      <c r="L542" s="0" t="n">
        <v>17.6964887113</v>
      </c>
      <c r="M542" s="0" t="n">
        <v>57.5040326505</v>
      </c>
      <c r="N542" s="0" t="n">
        <v>2.31400379101</v>
      </c>
      <c r="O542" s="0" t="n">
        <v>2.00054243072</v>
      </c>
      <c r="P542" s="0" t="n">
        <f aca="false">INDEX($F542:$J542,IF(1&lt;$E542,1,1+1))</f>
        <v>28.9</v>
      </c>
      <c r="Q542" s="0" t="n">
        <f aca="false">INDEX($F542:$J542,IF(2&lt;$E542,2,2+1))</f>
        <v>6.1</v>
      </c>
      <c r="R542" s="0" t="n">
        <f aca="false">INDEX($F542:$J542,IF(3&lt;$E542,3,3+1))</f>
        <v>23</v>
      </c>
      <c r="S542" s="0" t="n">
        <f aca="false">INDEX($F542:$J542,IF(4&lt;$E542,4,4+1))</f>
        <v>22.1</v>
      </c>
      <c r="T542" s="0" t="n">
        <f aca="false">INDEX($K542:$O542,IF(1&lt;$E542,1,1+1))</f>
        <v>20.4849324165</v>
      </c>
      <c r="U542" s="0" t="n">
        <f aca="false">INDEX($K542:$O542,IF(2&lt;$E542,2,2+1))</f>
        <v>17.6964887113</v>
      </c>
      <c r="V542" s="0" t="n">
        <f aca="false">INDEX($K542:$O542,IF(3&lt;$E542,3,3+1))</f>
        <v>2.31400379101</v>
      </c>
      <c r="W542" s="0" t="n">
        <f aca="false">INDEX($K542:$O542,IF(4&lt;$E542,4,4+1))</f>
        <v>2.00054243072</v>
      </c>
      <c r="X542" s="0" t="n">
        <f aca="false">1+COUNTIF($P542:$S542,"&gt;"&amp;$P542)+(COUNTIF($P542:$S542,$P542)-1)/2</f>
        <v>1</v>
      </c>
      <c r="Y542" s="0" t="n">
        <f aca="false">1+COUNTIF($P542:$S542,"&gt;"&amp;$Q542)+(COUNTIF($P542:$S542,$Q542)-1)/2</f>
        <v>4</v>
      </c>
      <c r="Z542" s="0" t="n">
        <f aca="false">1+COUNTIF($P542:$S542,"&gt;"&amp;$R542)+(COUNTIF($P542:$S542,$R542)-1)/2</f>
        <v>2</v>
      </c>
      <c r="AA542" s="0" t="n">
        <f aca="false">1+COUNTIF($P542:$S542,"&gt;"&amp;$S542)+(COUNTIF($P542:$S542,$S542)-1)/2</f>
        <v>3</v>
      </c>
      <c r="AB542" s="0" t="n">
        <f aca="false">1+COUNTIF($T542:$W542,"&gt;"&amp;$T542)+(COUNTIF($T542:$W542,$T542)-1)/2</f>
        <v>1</v>
      </c>
      <c r="AC542" s="0" t="n">
        <f aca="false">1+COUNTIF($T542:$W542,"&gt;"&amp;$U542)+(COUNTIF($T542:$W542,$U542)-1)/2</f>
        <v>2</v>
      </c>
      <c r="AD542" s="0" t="n">
        <f aca="false">1+COUNTIF($T542:$W542,"&gt;"&amp;$V542)+(COUNTIF($T542:$W542,$V542)-1)/2</f>
        <v>3</v>
      </c>
      <c r="AE542" s="0" t="n">
        <f aca="false">1+COUNTIF($T542:$W542,"&gt;"&amp;$W542)+(COUNTIF($T542:$W542,$W542)-1)/2</f>
        <v>4</v>
      </c>
      <c r="AF542" s="0" t="n">
        <f aca="false">IFERROR(CORREL($P542:$S542,$T542:$W542),"")</f>
        <v>-0.18590083489318</v>
      </c>
      <c r="AG542" s="0" t="n">
        <f aca="false">IFERROR(CORREL($X542:$AA542,$AB542:$AE542),"")</f>
        <v>0.4</v>
      </c>
      <c r="AH542" s="0" t="n">
        <f aca="false">IFERROR((SIGN($P542-$Q542)*SIGN($T542-$U542)+SIGN($P542-$R542)*SIGN($T542-$V542)+SIGN($P542-$S542)*SIGN($T542-$W542)+SIGN($Q542-$R542)*SIGN($U542-$V542)+SIGN($Q542-$S542)*SIGN($U542-$W542)+SIGN($R542-$S542)*SIGN($V542-$W542))/SQRT((6-(($P542=$Q542)*1+($P542=$R542)*1+($P542=$S542)*1+($Q542=$R542)*1+($Q542=$S542)*1+($R542=$S542)*1))*(6-(($T542=$U542)*1+($T542=$V542)*1+($T542=$W542)*1+($U542=$V542)*1+($U542=$W542)*1+($V542=$W542)*1))),"")</f>
        <v>0.333333333333333</v>
      </c>
      <c r="AI542" s="0" t="n">
        <f aca="false">MATCH(MAX($K542:$O542),$K542:$O542,0)</f>
        <v>3</v>
      </c>
      <c r="AJ542" s="0" t="n">
        <f aca="false">IF(AI542&lt;&gt;$E542,1,0)</f>
        <v>0</v>
      </c>
      <c r="AK542" s="0" t="str">
        <f aca="false">IF(AJ542=1,INDEX($F542:$J542,AI542)/MAX($P542:$S542),"")</f>
        <v/>
      </c>
      <c r="AL542" s="0" t="str">
        <f aca="false">IF(AJ542=1,1+COUNTIF($P542:$S542,"&gt;"&amp;INDEX($F542:$J542,AI542)),"")</f>
        <v/>
      </c>
      <c r="AM542" s="0" t="n">
        <f aca="false">AVERAGE($P542:$S542)/MAX($P542:$S542)</f>
        <v>0.692906574394464</v>
      </c>
      <c r="AN542" s="0" t="n">
        <f aca="false">100-INDEX($F542:$J542,$E542)</f>
        <v>80.1</v>
      </c>
    </row>
    <row r="543" customFormat="false" ht="15" hidden="false" customHeight="false" outlineLevel="0" collapsed="false">
      <c r="A543" s="0" t="s">
        <v>61</v>
      </c>
      <c r="B543" s="0" t="n">
        <v>2025</v>
      </c>
      <c r="C543" s="0" t="s">
        <v>49</v>
      </c>
      <c r="D543" s="0" t="s">
        <v>44</v>
      </c>
      <c r="E543" s="0" t="n">
        <v>1</v>
      </c>
      <c r="F543" s="0" t="n">
        <v>32.6</v>
      </c>
      <c r="G543" s="0" t="n">
        <v>11.9</v>
      </c>
      <c r="H543" s="0" t="n">
        <v>16</v>
      </c>
      <c r="I543" s="0" t="n">
        <v>23.5</v>
      </c>
      <c r="J543" s="0" t="n">
        <v>16.1</v>
      </c>
      <c r="K543" s="0" t="n">
        <v>35.6839599105</v>
      </c>
      <c r="L543" s="0" t="n">
        <v>25.9147903516</v>
      </c>
      <c r="M543" s="0" t="n">
        <v>30.9829759332</v>
      </c>
      <c r="N543" s="0" t="n">
        <v>4.50648883818</v>
      </c>
      <c r="O543" s="0" t="n">
        <v>2.91178496658</v>
      </c>
      <c r="P543" s="0" t="n">
        <f aca="false">INDEX($F543:$J543,IF(1&lt;$E543,1,1+1))</f>
        <v>11.9</v>
      </c>
      <c r="Q543" s="0" t="n">
        <f aca="false">INDEX($F543:$J543,IF(2&lt;$E543,2,2+1))</f>
        <v>16</v>
      </c>
      <c r="R543" s="0" t="n">
        <f aca="false">INDEX($F543:$J543,IF(3&lt;$E543,3,3+1))</f>
        <v>23.5</v>
      </c>
      <c r="S543" s="0" t="n">
        <f aca="false">INDEX($F543:$J543,IF(4&lt;$E543,4,4+1))</f>
        <v>16.1</v>
      </c>
      <c r="T543" s="0" t="n">
        <f aca="false">INDEX($K543:$O543,IF(1&lt;$E543,1,1+1))</f>
        <v>25.9147903516</v>
      </c>
      <c r="U543" s="0" t="n">
        <f aca="false">INDEX($K543:$O543,IF(2&lt;$E543,2,2+1))</f>
        <v>30.9829759332</v>
      </c>
      <c r="V543" s="0" t="n">
        <f aca="false">INDEX($K543:$O543,IF(3&lt;$E543,3,3+1))</f>
        <v>4.50648883818</v>
      </c>
      <c r="W543" s="0" t="n">
        <f aca="false">INDEX($K543:$O543,IF(4&lt;$E543,4,4+1))</f>
        <v>2.91178496658</v>
      </c>
      <c r="X543" s="0" t="n">
        <f aca="false">1+COUNTIF($P543:$S543,"&gt;"&amp;$P543)+(COUNTIF($P543:$S543,$P543)-1)/2</f>
        <v>4</v>
      </c>
      <c r="Y543" s="0" t="n">
        <f aca="false">1+COUNTIF($P543:$S543,"&gt;"&amp;$Q543)+(COUNTIF($P543:$S543,$Q543)-1)/2</f>
        <v>3</v>
      </c>
      <c r="Z543" s="0" t="n">
        <f aca="false">1+COUNTIF($P543:$S543,"&gt;"&amp;$R543)+(COUNTIF($P543:$S543,$R543)-1)/2</f>
        <v>1</v>
      </c>
      <c r="AA543" s="0" t="n">
        <f aca="false">1+COUNTIF($P543:$S543,"&gt;"&amp;$S543)+(COUNTIF($P543:$S543,$S543)-1)/2</f>
        <v>2</v>
      </c>
      <c r="AB543" s="0" t="n">
        <f aca="false">1+COUNTIF($T543:$W543,"&gt;"&amp;$T543)+(COUNTIF($T543:$W543,$T543)-1)/2</f>
        <v>2</v>
      </c>
      <c r="AC543" s="0" t="n">
        <f aca="false">1+COUNTIF($T543:$W543,"&gt;"&amp;$U543)+(COUNTIF($T543:$W543,$U543)-1)/2</f>
        <v>1</v>
      </c>
      <c r="AD543" s="0" t="n">
        <f aca="false">1+COUNTIF($T543:$W543,"&gt;"&amp;$V543)+(COUNTIF($T543:$W543,$V543)-1)/2</f>
        <v>3</v>
      </c>
      <c r="AE543" s="0" t="n">
        <f aca="false">1+COUNTIF($T543:$W543,"&gt;"&amp;$W543)+(COUNTIF($T543:$W543,$W543)-1)/2</f>
        <v>4</v>
      </c>
      <c r="AF543" s="0" t="n">
        <f aca="false">IFERROR(CORREL($P543:$S543,$T543:$W543),"")</f>
        <v>-0.613441163593757</v>
      </c>
      <c r="AG543" s="0" t="n">
        <f aca="false">IFERROR(CORREL($X543:$AA543,$AB543:$AE543),"")</f>
        <v>-0.6</v>
      </c>
      <c r="AH543" s="0" t="n">
        <f aca="false">IFERROR((SIGN($P543-$Q543)*SIGN($T543-$U543)+SIGN($P543-$R543)*SIGN($T543-$V543)+SIGN($P543-$S543)*SIGN($T543-$W543)+SIGN($Q543-$R543)*SIGN($U543-$V543)+SIGN($Q543-$S543)*SIGN($U543-$W543)+SIGN($R543-$S543)*SIGN($V543-$W543))/SQRT((6-(($P543=$Q543)*1+($P543=$R543)*1+($P543=$S543)*1+($Q543=$R543)*1+($Q543=$S543)*1+($R543=$S543)*1))*(6-(($T543=$U543)*1+($T543=$V543)*1+($T543=$W543)*1+($U543=$V543)*1+($U543=$W543)*1+($V543=$W543)*1))),"")</f>
        <v>-0.333333333333333</v>
      </c>
      <c r="AI543" s="0" t="n">
        <f aca="false">MATCH(MAX($K543:$O543),$K543:$O543,0)</f>
        <v>1</v>
      </c>
      <c r="AJ543" s="0" t="n">
        <f aca="false">IF(AI543&lt;&gt;$E543,1,0)</f>
        <v>0</v>
      </c>
      <c r="AK543" s="0" t="str">
        <f aca="false">IF(AJ543=1,INDEX($F543:$J543,AI543)/MAX($P543:$S543),"")</f>
        <v/>
      </c>
      <c r="AL543" s="0" t="str">
        <f aca="false">IF(AJ543=1,1+COUNTIF($P543:$S543,"&gt;"&amp;INDEX($F543:$J543,AI543)),"")</f>
        <v/>
      </c>
      <c r="AM543" s="0" t="n">
        <f aca="false">AVERAGE($P543:$S543)/MAX($P543:$S543)</f>
        <v>0.718085106382979</v>
      </c>
      <c r="AN543" s="0" t="n">
        <f aca="false">100-INDEX($F543:$J543,$E543)</f>
        <v>67.4</v>
      </c>
    </row>
    <row r="544" customFormat="false" ht="15" hidden="false" customHeight="false" outlineLevel="0" collapsed="false">
      <c r="A544" s="0" t="s">
        <v>61</v>
      </c>
      <c r="B544" s="0" t="n">
        <v>2025</v>
      </c>
      <c r="C544" s="0" t="s">
        <v>49</v>
      </c>
      <c r="D544" s="0" t="s">
        <v>45</v>
      </c>
      <c r="E544" s="0" t="n">
        <v>2</v>
      </c>
      <c r="F544" s="0" t="n">
        <v>15.1</v>
      </c>
      <c r="G544" s="0" t="n">
        <v>43.5</v>
      </c>
      <c r="H544" s="0" t="n">
        <v>13.6</v>
      </c>
      <c r="I544" s="0" t="n">
        <v>20.7</v>
      </c>
      <c r="J544" s="0" t="n">
        <v>7.2</v>
      </c>
      <c r="K544" s="0" t="n">
        <v>24.6926397736</v>
      </c>
      <c r="L544" s="0" t="n">
        <v>30.6074122768</v>
      </c>
      <c r="M544" s="0" t="n">
        <v>7.6222090218</v>
      </c>
      <c r="N544" s="0" t="n">
        <v>35.0759232072</v>
      </c>
      <c r="O544" s="0" t="n">
        <v>2.00181572055</v>
      </c>
      <c r="P544" s="0" t="n">
        <f aca="false">INDEX($F544:$J544,IF(1&lt;$E544,1,1+1))</f>
        <v>15.1</v>
      </c>
      <c r="Q544" s="0" t="n">
        <f aca="false">INDEX($F544:$J544,IF(2&lt;$E544,2,2+1))</f>
        <v>13.6</v>
      </c>
      <c r="R544" s="0" t="n">
        <f aca="false">INDEX($F544:$J544,IF(3&lt;$E544,3,3+1))</f>
        <v>20.7</v>
      </c>
      <c r="S544" s="0" t="n">
        <f aca="false">INDEX($F544:$J544,IF(4&lt;$E544,4,4+1))</f>
        <v>7.2</v>
      </c>
      <c r="T544" s="0" t="n">
        <f aca="false">INDEX($K544:$O544,IF(1&lt;$E544,1,1+1))</f>
        <v>24.6926397736</v>
      </c>
      <c r="U544" s="0" t="n">
        <f aca="false">INDEX($K544:$O544,IF(2&lt;$E544,2,2+1))</f>
        <v>7.6222090218</v>
      </c>
      <c r="V544" s="0" t="n">
        <f aca="false">INDEX($K544:$O544,IF(3&lt;$E544,3,3+1))</f>
        <v>35.0759232072</v>
      </c>
      <c r="W544" s="0" t="n">
        <f aca="false">INDEX($K544:$O544,IF(4&lt;$E544,4,4+1))</f>
        <v>2.00181572055</v>
      </c>
      <c r="X544" s="0" t="n">
        <f aca="false">1+COUNTIF($P544:$S544,"&gt;"&amp;$P544)+(COUNTIF($P544:$S544,$P544)-1)/2</f>
        <v>2</v>
      </c>
      <c r="Y544" s="0" t="n">
        <f aca="false">1+COUNTIF($P544:$S544,"&gt;"&amp;$Q544)+(COUNTIF($P544:$S544,$Q544)-1)/2</f>
        <v>3</v>
      </c>
      <c r="Z544" s="0" t="n">
        <f aca="false">1+COUNTIF($P544:$S544,"&gt;"&amp;$R544)+(COUNTIF($P544:$S544,$R544)-1)/2</f>
        <v>1</v>
      </c>
      <c r="AA544" s="0" t="n">
        <f aca="false">1+COUNTIF($P544:$S544,"&gt;"&amp;$S544)+(COUNTIF($P544:$S544,$S544)-1)/2</f>
        <v>4</v>
      </c>
      <c r="AB544" s="0" t="n">
        <f aca="false">1+COUNTIF($T544:$W544,"&gt;"&amp;$T544)+(COUNTIF($T544:$W544,$T544)-1)/2</f>
        <v>2</v>
      </c>
      <c r="AC544" s="0" t="n">
        <f aca="false">1+COUNTIF($T544:$W544,"&gt;"&amp;$U544)+(COUNTIF($T544:$W544,$U544)-1)/2</f>
        <v>3</v>
      </c>
      <c r="AD544" s="0" t="n">
        <f aca="false">1+COUNTIF($T544:$W544,"&gt;"&amp;$V544)+(COUNTIF($T544:$W544,$V544)-1)/2</f>
        <v>1</v>
      </c>
      <c r="AE544" s="0" t="n">
        <f aca="false">1+COUNTIF($T544:$W544,"&gt;"&amp;$W544)+(COUNTIF($T544:$W544,$W544)-1)/2</f>
        <v>4</v>
      </c>
      <c r="AF544" s="0" t="n">
        <f aca="false">IFERROR(CORREL($P544:$S544,$T544:$W544),"")</f>
        <v>0.925479848618397</v>
      </c>
      <c r="AG544" s="0" t="n">
        <f aca="false">IFERROR(CORREL($X544:$AA544,$AB544:$AE544),"")</f>
        <v>1</v>
      </c>
      <c r="AH544" s="0" t="n">
        <f aca="false">IFERROR((SIGN($P544-$Q544)*SIGN($T544-$U544)+SIGN($P544-$R544)*SIGN($T544-$V544)+SIGN($P544-$S544)*SIGN($T544-$W544)+SIGN($Q544-$R544)*SIGN($U544-$V544)+SIGN($Q544-$S544)*SIGN($U544-$W544)+SIGN($R544-$S544)*SIGN($V544-$W544))/SQRT((6-(($P544=$Q544)*1+($P544=$R544)*1+($P544=$S544)*1+($Q544=$R544)*1+($Q544=$S544)*1+($R544=$S544)*1))*(6-(($T544=$U544)*1+($T544=$V544)*1+($T544=$W544)*1+($U544=$V544)*1+($U544=$W544)*1+($V544=$W544)*1))),"")</f>
        <v>1</v>
      </c>
      <c r="AI544" s="0" t="n">
        <f aca="false">MATCH(MAX($K544:$O544),$K544:$O544,0)</f>
        <v>4</v>
      </c>
      <c r="AJ544" s="0" t="n">
        <f aca="false">IF(AI544&lt;&gt;$E544,1,0)</f>
        <v>1</v>
      </c>
      <c r="AK544" s="0" t="n">
        <f aca="false">IF(AJ544=1,INDEX($F544:$J544,AI544)/MAX($P544:$S544),"")</f>
        <v>1</v>
      </c>
      <c r="AL544" s="0" t="n">
        <f aca="false">IF(AJ544=1,1+COUNTIF($P544:$S544,"&gt;"&amp;INDEX($F544:$J544,AI544)),"")</f>
        <v>1</v>
      </c>
      <c r="AM544" s="0" t="n">
        <f aca="false">AVERAGE($P544:$S544)/MAX($P544:$S544)</f>
        <v>0.683574879227053</v>
      </c>
      <c r="AN544" s="0" t="n">
        <f aca="false">100-INDEX($F544:$J544,$E544)</f>
        <v>56.5</v>
      </c>
    </row>
    <row r="545" customFormat="false" ht="15" hidden="false" customHeight="false" outlineLevel="0" collapsed="false">
      <c r="A545" s="0" t="s">
        <v>61</v>
      </c>
      <c r="B545" s="0" t="n">
        <v>2025</v>
      </c>
      <c r="C545" s="0" t="s">
        <v>51</v>
      </c>
      <c r="D545" s="0" t="s">
        <v>42</v>
      </c>
      <c r="E545" s="0" t="n">
        <v>2</v>
      </c>
      <c r="F545" s="0" t="n">
        <v>6.6</v>
      </c>
      <c r="G545" s="0" t="n">
        <v>53.6</v>
      </c>
      <c r="H545" s="0" t="n">
        <v>25.7</v>
      </c>
      <c r="I545" s="0" t="n">
        <v>8.8</v>
      </c>
      <c r="J545" s="0" t="n">
        <v>5.3</v>
      </c>
      <c r="K545" s="0" t="n">
        <v>1.59576848603</v>
      </c>
      <c r="L545" s="0" t="n">
        <v>2.53055066735</v>
      </c>
      <c r="M545" s="0" t="n">
        <v>4.19145563945</v>
      </c>
      <c r="N545" s="0" t="n">
        <v>89.2358403857</v>
      </c>
      <c r="O545" s="0" t="n">
        <v>2.44638482144</v>
      </c>
      <c r="P545" s="0" t="n">
        <f aca="false">INDEX($F545:$J545,IF(1&lt;$E545,1,1+1))</f>
        <v>6.6</v>
      </c>
      <c r="Q545" s="0" t="n">
        <f aca="false">INDEX($F545:$J545,IF(2&lt;$E545,2,2+1))</f>
        <v>25.7</v>
      </c>
      <c r="R545" s="0" t="n">
        <f aca="false">INDEX($F545:$J545,IF(3&lt;$E545,3,3+1))</f>
        <v>8.8</v>
      </c>
      <c r="S545" s="0" t="n">
        <f aca="false">INDEX($F545:$J545,IF(4&lt;$E545,4,4+1))</f>
        <v>5.3</v>
      </c>
      <c r="T545" s="0" t="n">
        <f aca="false">INDEX($K545:$O545,IF(1&lt;$E545,1,1+1))</f>
        <v>1.59576848603</v>
      </c>
      <c r="U545" s="0" t="n">
        <f aca="false">INDEX($K545:$O545,IF(2&lt;$E545,2,2+1))</f>
        <v>4.19145563945</v>
      </c>
      <c r="V545" s="0" t="n">
        <f aca="false">INDEX($K545:$O545,IF(3&lt;$E545,3,3+1))</f>
        <v>89.2358403857</v>
      </c>
      <c r="W545" s="0" t="n">
        <f aca="false">INDEX($K545:$O545,IF(4&lt;$E545,4,4+1))</f>
        <v>2.44638482144</v>
      </c>
      <c r="X545" s="0" t="n">
        <f aca="false">1+COUNTIF($P545:$S545,"&gt;"&amp;$P545)+(COUNTIF($P545:$S545,$P545)-1)/2</f>
        <v>3</v>
      </c>
      <c r="Y545" s="0" t="n">
        <f aca="false">1+COUNTIF($P545:$S545,"&gt;"&amp;$Q545)+(COUNTIF($P545:$S545,$Q545)-1)/2</f>
        <v>1</v>
      </c>
      <c r="Z545" s="0" t="n">
        <f aca="false">1+COUNTIF($P545:$S545,"&gt;"&amp;$R545)+(COUNTIF($P545:$S545,$R545)-1)/2</f>
        <v>2</v>
      </c>
      <c r="AA545" s="0" t="n">
        <f aca="false">1+COUNTIF($P545:$S545,"&gt;"&amp;$S545)+(COUNTIF($P545:$S545,$S545)-1)/2</f>
        <v>4</v>
      </c>
      <c r="AB545" s="0" t="n">
        <f aca="false">1+COUNTIF($T545:$W545,"&gt;"&amp;$T545)+(COUNTIF($T545:$W545,$T545)-1)/2</f>
        <v>4</v>
      </c>
      <c r="AC545" s="0" t="n">
        <f aca="false">1+COUNTIF($T545:$W545,"&gt;"&amp;$U545)+(COUNTIF($T545:$W545,$U545)-1)/2</f>
        <v>2</v>
      </c>
      <c r="AD545" s="0" t="n">
        <f aca="false">1+COUNTIF($T545:$W545,"&gt;"&amp;$V545)+(COUNTIF($T545:$W545,$V545)-1)/2</f>
        <v>1</v>
      </c>
      <c r="AE545" s="0" t="n">
        <f aca="false">1+COUNTIF($T545:$W545,"&gt;"&amp;$W545)+(COUNTIF($T545:$W545,$W545)-1)/2</f>
        <v>3</v>
      </c>
      <c r="AF545" s="0" t="n">
        <f aca="false">IFERROR(CORREL($P545:$S545,$T545:$W545),"")</f>
        <v>-0.173510768455219</v>
      </c>
      <c r="AG545" s="0" t="n">
        <f aca="false">IFERROR(CORREL($X545:$AA545,$AB545:$AE545),"")</f>
        <v>0.6</v>
      </c>
      <c r="AH545" s="0" t="n">
        <f aca="false">IFERROR((SIGN($P545-$Q545)*SIGN($T545-$U545)+SIGN($P545-$R545)*SIGN($T545-$V545)+SIGN($P545-$S545)*SIGN($T545-$W545)+SIGN($Q545-$R545)*SIGN($U545-$V545)+SIGN($Q545-$S545)*SIGN($U545-$W545)+SIGN($R545-$S545)*SIGN($V545-$W545))/SQRT((6-(($P545=$Q545)*1+($P545=$R545)*1+($P545=$S545)*1+($Q545=$R545)*1+($Q545=$S545)*1+($R545=$S545)*1))*(6-(($T545=$U545)*1+($T545=$V545)*1+($T545=$W545)*1+($U545=$V545)*1+($U545=$W545)*1+($V545=$W545)*1))),"")</f>
        <v>0.333333333333333</v>
      </c>
      <c r="AI545" s="0" t="n">
        <f aca="false">MATCH(MAX($K545:$O545),$K545:$O545,0)</f>
        <v>4</v>
      </c>
      <c r="AJ545" s="0" t="n">
        <f aca="false">IF(AI545&lt;&gt;$E545,1,0)</f>
        <v>1</v>
      </c>
      <c r="AK545" s="0" t="n">
        <f aca="false">IF(AJ545=1,INDEX($F545:$J545,AI545)/MAX($P545:$S545),"")</f>
        <v>0.342412451361868</v>
      </c>
      <c r="AL545" s="0" t="n">
        <f aca="false">IF(AJ545=1,1+COUNTIF($P545:$S545,"&gt;"&amp;INDEX($F545:$J545,AI545)),"")</f>
        <v>2</v>
      </c>
      <c r="AM545" s="0" t="n">
        <f aca="false">AVERAGE($P545:$S545)/MAX($P545:$S545)</f>
        <v>0.45136186770428</v>
      </c>
      <c r="AN545" s="0" t="n">
        <f aca="false">100-INDEX($F545:$J545,$E545)</f>
        <v>46.4</v>
      </c>
    </row>
    <row r="546" customFormat="false" ht="15" hidden="false" customHeight="false" outlineLevel="0" collapsed="false">
      <c r="A546" s="0" t="s">
        <v>61</v>
      </c>
      <c r="B546" s="0" t="n">
        <v>2025</v>
      </c>
      <c r="C546" s="0" t="s">
        <v>51</v>
      </c>
      <c r="D546" s="0" t="s">
        <v>43</v>
      </c>
      <c r="E546" s="0" t="n">
        <v>1</v>
      </c>
      <c r="F546" s="0" t="n">
        <v>50.6</v>
      </c>
      <c r="G546" s="0" t="n">
        <v>22.4</v>
      </c>
      <c r="H546" s="0" t="n">
        <v>13.3</v>
      </c>
      <c r="I546" s="0" t="n">
        <v>6.6</v>
      </c>
      <c r="J546" s="0" t="n">
        <v>7</v>
      </c>
      <c r="K546" s="0" t="n">
        <v>23.3911953058</v>
      </c>
      <c r="L546" s="0" t="n">
        <v>32.4353180676</v>
      </c>
      <c r="M546" s="0" t="n">
        <v>12.5654782858</v>
      </c>
      <c r="N546" s="0" t="n">
        <v>29.2992875942</v>
      </c>
      <c r="O546" s="0" t="n">
        <v>2.30872074654</v>
      </c>
      <c r="P546" s="0" t="n">
        <f aca="false">INDEX($F546:$J546,IF(1&lt;$E546,1,1+1))</f>
        <v>22.4</v>
      </c>
      <c r="Q546" s="0" t="n">
        <f aca="false">INDEX($F546:$J546,IF(2&lt;$E546,2,2+1))</f>
        <v>13.3</v>
      </c>
      <c r="R546" s="0" t="n">
        <f aca="false">INDEX($F546:$J546,IF(3&lt;$E546,3,3+1))</f>
        <v>6.6</v>
      </c>
      <c r="S546" s="0" t="n">
        <f aca="false">INDEX($F546:$J546,IF(4&lt;$E546,4,4+1))</f>
        <v>7</v>
      </c>
      <c r="T546" s="0" t="n">
        <f aca="false">INDEX($K546:$O546,IF(1&lt;$E546,1,1+1))</f>
        <v>32.4353180676</v>
      </c>
      <c r="U546" s="0" t="n">
        <f aca="false">INDEX($K546:$O546,IF(2&lt;$E546,2,2+1))</f>
        <v>12.5654782858</v>
      </c>
      <c r="V546" s="0" t="n">
        <f aca="false">INDEX($K546:$O546,IF(3&lt;$E546,3,3+1))</f>
        <v>29.2992875942</v>
      </c>
      <c r="W546" s="0" t="n">
        <f aca="false">INDEX($K546:$O546,IF(4&lt;$E546,4,4+1))</f>
        <v>2.30872074654</v>
      </c>
      <c r="X546" s="0" t="n">
        <f aca="false">1+COUNTIF($P546:$S546,"&gt;"&amp;$P546)+(COUNTIF($P546:$S546,$P546)-1)/2</f>
        <v>1</v>
      </c>
      <c r="Y546" s="0" t="n">
        <f aca="false">1+COUNTIF($P546:$S546,"&gt;"&amp;$Q546)+(COUNTIF($P546:$S546,$Q546)-1)/2</f>
        <v>2</v>
      </c>
      <c r="Z546" s="0" t="n">
        <f aca="false">1+COUNTIF($P546:$S546,"&gt;"&amp;$R546)+(COUNTIF($P546:$S546,$R546)-1)/2</f>
        <v>4</v>
      </c>
      <c r="AA546" s="0" t="n">
        <f aca="false">1+COUNTIF($P546:$S546,"&gt;"&amp;$S546)+(COUNTIF($P546:$S546,$S546)-1)/2</f>
        <v>3</v>
      </c>
      <c r="AB546" s="0" t="n">
        <f aca="false">1+COUNTIF($T546:$W546,"&gt;"&amp;$T546)+(COUNTIF($T546:$W546,$T546)-1)/2</f>
        <v>1</v>
      </c>
      <c r="AC546" s="0" t="n">
        <f aca="false">1+COUNTIF($T546:$W546,"&gt;"&amp;$U546)+(COUNTIF($T546:$W546,$U546)-1)/2</f>
        <v>3</v>
      </c>
      <c r="AD546" s="0" t="n">
        <f aca="false">1+COUNTIF($T546:$W546,"&gt;"&amp;$V546)+(COUNTIF($T546:$W546,$V546)-1)/2</f>
        <v>2</v>
      </c>
      <c r="AE546" s="0" t="n">
        <f aca="false">1+COUNTIF($T546:$W546,"&gt;"&amp;$W546)+(COUNTIF($T546:$W546,$W546)-1)/2</f>
        <v>4</v>
      </c>
      <c r="AF546" s="0" t="n">
        <f aca="false">IFERROR(CORREL($P546:$S546,$T546:$W546),"")</f>
        <v>0.504803735005783</v>
      </c>
      <c r="AG546" s="0" t="n">
        <f aca="false">IFERROR(CORREL($X546:$AA546,$AB546:$AE546),"")</f>
        <v>0.4</v>
      </c>
      <c r="AH546" s="0" t="n">
        <f aca="false">IFERROR((SIGN($P546-$Q546)*SIGN($T546-$U546)+SIGN($P546-$R546)*SIGN($T546-$V546)+SIGN($P546-$S546)*SIGN($T546-$W546)+SIGN($Q546-$R546)*SIGN($U546-$V546)+SIGN($Q546-$S546)*SIGN($U546-$W546)+SIGN($R546-$S546)*SIGN($V546-$W546))/SQRT((6-(($P546=$Q546)*1+($P546=$R546)*1+($P546=$S546)*1+($Q546=$R546)*1+($Q546=$S546)*1+($R546=$S546)*1))*(6-(($T546=$U546)*1+($T546=$V546)*1+($T546=$W546)*1+($U546=$V546)*1+($U546=$W546)*1+($V546=$W546)*1))),"")</f>
        <v>0.333333333333333</v>
      </c>
      <c r="AI546" s="0" t="n">
        <f aca="false">MATCH(MAX($K546:$O546),$K546:$O546,0)</f>
        <v>2</v>
      </c>
      <c r="AJ546" s="0" t="n">
        <f aca="false">IF(AI546&lt;&gt;$E546,1,0)</f>
        <v>1</v>
      </c>
      <c r="AK546" s="0" t="n">
        <f aca="false">IF(AJ546=1,INDEX($F546:$J546,AI546)/MAX($P546:$S546),"")</f>
        <v>1</v>
      </c>
      <c r="AL546" s="0" t="n">
        <f aca="false">IF(AJ546=1,1+COUNTIF($P546:$S546,"&gt;"&amp;INDEX($F546:$J546,AI546)),"")</f>
        <v>1</v>
      </c>
      <c r="AM546" s="0" t="n">
        <f aca="false">AVERAGE($P546:$S546)/MAX($P546:$S546)</f>
        <v>0.550223214285714</v>
      </c>
      <c r="AN546" s="0" t="n">
        <f aca="false">100-INDEX($F546:$J546,$E546)</f>
        <v>49.4</v>
      </c>
    </row>
    <row r="547" customFormat="false" ht="15" hidden="false" customHeight="false" outlineLevel="0" collapsed="false">
      <c r="A547" s="0" t="s">
        <v>61</v>
      </c>
      <c r="B547" s="0" t="n">
        <v>2025</v>
      </c>
      <c r="C547" s="0" t="s">
        <v>51</v>
      </c>
      <c r="D547" s="0" t="s">
        <v>44</v>
      </c>
      <c r="E547" s="0" t="n">
        <v>2</v>
      </c>
      <c r="F547" s="0" t="n">
        <v>21.2</v>
      </c>
      <c r="G547" s="0" t="n">
        <v>39.5</v>
      </c>
      <c r="H547" s="0" t="n">
        <v>7.7</v>
      </c>
      <c r="I547" s="0" t="n">
        <v>11.7</v>
      </c>
      <c r="J547" s="0" t="n">
        <v>19.8</v>
      </c>
      <c r="K547" s="0" t="n">
        <v>30.4932726354</v>
      </c>
      <c r="L547" s="0" t="n">
        <v>6.86337930825</v>
      </c>
      <c r="M547" s="0" t="n">
        <v>21.6278610567</v>
      </c>
      <c r="N547" s="0" t="n">
        <v>11.7136524386</v>
      </c>
      <c r="O547" s="0" t="n">
        <v>29.3018345611</v>
      </c>
      <c r="P547" s="0" t="n">
        <f aca="false">INDEX($F547:$J547,IF(1&lt;$E547,1,1+1))</f>
        <v>21.2</v>
      </c>
      <c r="Q547" s="0" t="n">
        <f aca="false">INDEX($F547:$J547,IF(2&lt;$E547,2,2+1))</f>
        <v>7.7</v>
      </c>
      <c r="R547" s="0" t="n">
        <f aca="false">INDEX($F547:$J547,IF(3&lt;$E547,3,3+1))</f>
        <v>11.7</v>
      </c>
      <c r="S547" s="0" t="n">
        <f aca="false">INDEX($F547:$J547,IF(4&lt;$E547,4,4+1))</f>
        <v>19.8</v>
      </c>
      <c r="T547" s="0" t="n">
        <f aca="false">INDEX($K547:$O547,IF(1&lt;$E547,1,1+1))</f>
        <v>30.4932726354</v>
      </c>
      <c r="U547" s="0" t="n">
        <f aca="false">INDEX($K547:$O547,IF(2&lt;$E547,2,2+1))</f>
        <v>21.6278610567</v>
      </c>
      <c r="V547" s="0" t="n">
        <f aca="false">INDEX($K547:$O547,IF(3&lt;$E547,3,3+1))</f>
        <v>11.7136524386</v>
      </c>
      <c r="W547" s="0" t="n">
        <f aca="false">INDEX($K547:$O547,IF(4&lt;$E547,4,4+1))</f>
        <v>29.3018345611</v>
      </c>
      <c r="X547" s="0" t="n">
        <f aca="false">1+COUNTIF($P547:$S547,"&gt;"&amp;$P547)+(COUNTIF($P547:$S547,$P547)-1)/2</f>
        <v>1</v>
      </c>
      <c r="Y547" s="0" t="n">
        <f aca="false">1+COUNTIF($P547:$S547,"&gt;"&amp;$Q547)+(COUNTIF($P547:$S547,$Q547)-1)/2</f>
        <v>4</v>
      </c>
      <c r="Z547" s="0" t="n">
        <f aca="false">1+COUNTIF($P547:$S547,"&gt;"&amp;$R547)+(COUNTIF($P547:$S547,$R547)-1)/2</f>
        <v>3</v>
      </c>
      <c r="AA547" s="0" t="n">
        <f aca="false">1+COUNTIF($P547:$S547,"&gt;"&amp;$S547)+(COUNTIF($P547:$S547,$S547)-1)/2</f>
        <v>2</v>
      </c>
      <c r="AB547" s="0" t="n">
        <f aca="false">1+COUNTIF($T547:$W547,"&gt;"&amp;$T547)+(COUNTIF($T547:$W547,$T547)-1)/2</f>
        <v>1</v>
      </c>
      <c r="AC547" s="0" t="n">
        <f aca="false">1+COUNTIF($T547:$W547,"&gt;"&amp;$U547)+(COUNTIF($T547:$W547,$U547)-1)/2</f>
        <v>3</v>
      </c>
      <c r="AD547" s="0" t="n">
        <f aca="false">1+COUNTIF($T547:$W547,"&gt;"&amp;$V547)+(COUNTIF($T547:$W547,$V547)-1)/2</f>
        <v>4</v>
      </c>
      <c r="AE547" s="0" t="n">
        <f aca="false">1+COUNTIF($T547:$W547,"&gt;"&amp;$W547)+(COUNTIF($T547:$W547,$W547)-1)/2</f>
        <v>2</v>
      </c>
      <c r="AF547" s="0" t="n">
        <f aca="false">IFERROR(CORREL($P547:$S547,$T547:$W547),"")</f>
        <v>0.737025342803915</v>
      </c>
      <c r="AG547" s="0" t="n">
        <f aca="false">IFERROR(CORREL($X547:$AA547,$AB547:$AE547),"")</f>
        <v>0.8</v>
      </c>
      <c r="AH547" s="0" t="n">
        <f aca="false">IFERROR((SIGN($P547-$Q547)*SIGN($T547-$U547)+SIGN($P547-$R547)*SIGN($T547-$V547)+SIGN($P547-$S547)*SIGN($T547-$W547)+SIGN($Q547-$R547)*SIGN($U547-$V547)+SIGN($Q547-$S547)*SIGN($U547-$W547)+SIGN($R547-$S547)*SIGN($V547-$W547))/SQRT((6-(($P547=$Q547)*1+($P547=$R547)*1+($P547=$S547)*1+($Q547=$R547)*1+($Q547=$S547)*1+($R547=$S547)*1))*(6-(($T547=$U547)*1+($T547=$V547)*1+($T547=$W547)*1+($U547=$V547)*1+($U547=$W547)*1+($V547=$W547)*1))),"")</f>
        <v>0.666666666666667</v>
      </c>
      <c r="AI547" s="0" t="n">
        <f aca="false">MATCH(MAX($K547:$O547),$K547:$O547,0)</f>
        <v>1</v>
      </c>
      <c r="AJ547" s="0" t="n">
        <f aca="false">IF(AI547&lt;&gt;$E547,1,0)</f>
        <v>1</v>
      </c>
      <c r="AK547" s="0" t="n">
        <f aca="false">IF(AJ547=1,INDEX($F547:$J547,AI547)/MAX($P547:$S547),"")</f>
        <v>1</v>
      </c>
      <c r="AL547" s="0" t="n">
        <f aca="false">IF(AJ547=1,1+COUNTIF($P547:$S547,"&gt;"&amp;INDEX($F547:$J547,AI547)),"")</f>
        <v>1</v>
      </c>
      <c r="AM547" s="0" t="n">
        <f aca="false">AVERAGE($P547:$S547)/MAX($P547:$S547)</f>
        <v>0.712264150943396</v>
      </c>
      <c r="AN547" s="0" t="n">
        <f aca="false">100-INDEX($F547:$J547,$E547)</f>
        <v>60.5</v>
      </c>
    </row>
    <row r="548" customFormat="false" ht="15" hidden="false" customHeight="false" outlineLevel="0" collapsed="false">
      <c r="A548" s="0" t="s">
        <v>61</v>
      </c>
      <c r="B548" s="0" t="n">
        <v>2025</v>
      </c>
      <c r="C548" s="0" t="s">
        <v>51</v>
      </c>
      <c r="D548" s="0" t="s">
        <v>45</v>
      </c>
      <c r="E548" s="0" t="n">
        <v>5</v>
      </c>
      <c r="F548" s="0" t="n">
        <v>11</v>
      </c>
      <c r="G548" s="0" t="n">
        <v>18.5</v>
      </c>
      <c r="H548" s="0" t="n">
        <v>20.2</v>
      </c>
      <c r="I548" s="0" t="n">
        <v>9.8</v>
      </c>
      <c r="J548" s="0" t="n">
        <v>40.5</v>
      </c>
      <c r="K548" s="0" t="n">
        <v>8.33007312361</v>
      </c>
      <c r="L548" s="0" t="n">
        <v>11.3076651362</v>
      </c>
      <c r="M548" s="0" t="n">
        <v>14.0007204281</v>
      </c>
      <c r="N548" s="0" t="n">
        <v>2.12024232276</v>
      </c>
      <c r="O548" s="0" t="n">
        <v>64.2412989893</v>
      </c>
      <c r="P548" s="0" t="n">
        <f aca="false">INDEX($F548:$J548,IF(1&lt;$E548,1,1+1))</f>
        <v>11</v>
      </c>
      <c r="Q548" s="0" t="n">
        <f aca="false">INDEX($F548:$J548,IF(2&lt;$E548,2,2+1))</f>
        <v>18.5</v>
      </c>
      <c r="R548" s="0" t="n">
        <f aca="false">INDEX($F548:$J548,IF(3&lt;$E548,3,3+1))</f>
        <v>20.2</v>
      </c>
      <c r="S548" s="0" t="n">
        <f aca="false">INDEX($F548:$J548,IF(4&lt;$E548,4,4+1))</f>
        <v>9.8</v>
      </c>
      <c r="T548" s="0" t="n">
        <f aca="false">INDEX($K548:$O548,IF(1&lt;$E548,1,1+1))</f>
        <v>8.33007312361</v>
      </c>
      <c r="U548" s="0" t="n">
        <f aca="false">INDEX($K548:$O548,IF(2&lt;$E548,2,2+1))</f>
        <v>11.3076651362</v>
      </c>
      <c r="V548" s="0" t="n">
        <f aca="false">INDEX($K548:$O548,IF(3&lt;$E548,3,3+1))</f>
        <v>14.0007204281</v>
      </c>
      <c r="W548" s="0" t="n">
        <f aca="false">INDEX($K548:$O548,IF(4&lt;$E548,4,4+1))</f>
        <v>2.12024232276</v>
      </c>
      <c r="X548" s="0" t="n">
        <f aca="false">1+COUNTIF($P548:$S548,"&gt;"&amp;$P548)+(COUNTIF($P548:$S548,$P548)-1)/2</f>
        <v>3</v>
      </c>
      <c r="Y548" s="0" t="n">
        <f aca="false">1+COUNTIF($P548:$S548,"&gt;"&amp;$Q548)+(COUNTIF($P548:$S548,$Q548)-1)/2</f>
        <v>2</v>
      </c>
      <c r="Z548" s="0" t="n">
        <f aca="false">1+COUNTIF($P548:$S548,"&gt;"&amp;$R548)+(COUNTIF($P548:$S548,$R548)-1)/2</f>
        <v>1</v>
      </c>
      <c r="AA548" s="0" t="n">
        <f aca="false">1+COUNTIF($P548:$S548,"&gt;"&amp;$S548)+(COUNTIF($P548:$S548,$S548)-1)/2</f>
        <v>4</v>
      </c>
      <c r="AB548" s="0" t="n">
        <f aca="false">1+COUNTIF($T548:$W548,"&gt;"&amp;$T548)+(COUNTIF($T548:$W548,$T548)-1)/2</f>
        <v>3</v>
      </c>
      <c r="AC548" s="0" t="n">
        <f aca="false">1+COUNTIF($T548:$W548,"&gt;"&amp;$U548)+(COUNTIF($T548:$W548,$U548)-1)/2</f>
        <v>2</v>
      </c>
      <c r="AD548" s="0" t="n">
        <f aca="false">1+COUNTIF($T548:$W548,"&gt;"&amp;$V548)+(COUNTIF($T548:$W548,$V548)-1)/2</f>
        <v>1</v>
      </c>
      <c r="AE548" s="0" t="n">
        <f aca="false">1+COUNTIF($T548:$W548,"&gt;"&amp;$W548)+(COUNTIF($T548:$W548,$W548)-1)/2</f>
        <v>4</v>
      </c>
      <c r="AF548" s="0" t="n">
        <f aca="false">IFERROR(CORREL($P548:$S548,$T548:$W548),"")</f>
        <v>0.90455185310889</v>
      </c>
      <c r="AG548" s="0" t="n">
        <f aca="false">IFERROR(CORREL($X548:$AA548,$AB548:$AE548),"")</f>
        <v>1</v>
      </c>
      <c r="AH548" s="0" t="n">
        <f aca="false">IFERROR((SIGN($P548-$Q548)*SIGN($T548-$U548)+SIGN($P548-$R548)*SIGN($T548-$V548)+SIGN($P548-$S548)*SIGN($T548-$W548)+SIGN($Q548-$R548)*SIGN($U548-$V548)+SIGN($Q548-$S548)*SIGN($U548-$W548)+SIGN($R548-$S548)*SIGN($V548-$W548))/SQRT((6-(($P548=$Q548)*1+($P548=$R548)*1+($P548=$S548)*1+($Q548=$R548)*1+($Q548=$S548)*1+($R548=$S548)*1))*(6-(($T548=$U548)*1+($T548=$V548)*1+($T548=$W548)*1+($U548=$V548)*1+($U548=$W548)*1+($V548=$W548)*1))),"")</f>
        <v>1</v>
      </c>
      <c r="AI548" s="0" t="n">
        <f aca="false">MATCH(MAX($K548:$O548),$K548:$O548,0)</f>
        <v>5</v>
      </c>
      <c r="AJ548" s="0" t="n">
        <f aca="false">IF(AI548&lt;&gt;$E548,1,0)</f>
        <v>0</v>
      </c>
      <c r="AK548" s="0" t="str">
        <f aca="false">IF(AJ548=1,INDEX($F548:$J548,AI548)/MAX($P548:$S548),"")</f>
        <v/>
      </c>
      <c r="AL548" s="0" t="str">
        <f aca="false">IF(AJ548=1,1+COUNTIF($P548:$S548,"&gt;"&amp;INDEX($F548:$J548,AI548)),"")</f>
        <v/>
      </c>
      <c r="AM548" s="0" t="n">
        <f aca="false">AVERAGE($P548:$S548)/MAX($P548:$S548)</f>
        <v>0.736386138613861</v>
      </c>
      <c r="AN548" s="0" t="n">
        <f aca="false">100-INDEX($F548:$J548,$E548)</f>
        <v>59.5</v>
      </c>
    </row>
    <row r="549" customFormat="false" ht="15" hidden="false" customHeight="false" outlineLevel="0" collapsed="false">
      <c r="A549" s="0" t="s">
        <v>61</v>
      </c>
      <c r="B549" s="0" t="n">
        <v>2025</v>
      </c>
      <c r="C549" s="0" t="s">
        <v>46</v>
      </c>
      <c r="D549" s="0" t="s">
        <v>42</v>
      </c>
      <c r="E549" s="0" t="n">
        <v>1</v>
      </c>
      <c r="F549" s="0" t="n">
        <v>33.3</v>
      </c>
      <c r="G549" s="0" t="n">
        <v>11.5</v>
      </c>
      <c r="H549" s="0" t="n">
        <v>16.4</v>
      </c>
      <c r="I549" s="0" t="n">
        <v>21.1</v>
      </c>
      <c r="J549" s="0" t="n">
        <v>17.6</v>
      </c>
      <c r="K549" s="0" t="n">
        <v>13.8763416565</v>
      </c>
      <c r="L549" s="0" t="n">
        <v>0.806169642428</v>
      </c>
      <c r="M549" s="0" t="n">
        <v>11.7456558108</v>
      </c>
      <c r="N549" s="0" t="n">
        <v>0.174518920782</v>
      </c>
      <c r="O549" s="0" t="n">
        <v>73.3973139694</v>
      </c>
      <c r="P549" s="0" t="n">
        <f aca="false">INDEX($F549:$J549,IF(1&lt;$E549,1,1+1))</f>
        <v>11.5</v>
      </c>
      <c r="Q549" s="0" t="n">
        <f aca="false">INDEX($F549:$J549,IF(2&lt;$E549,2,2+1))</f>
        <v>16.4</v>
      </c>
      <c r="R549" s="0" t="n">
        <f aca="false">INDEX($F549:$J549,IF(3&lt;$E549,3,3+1))</f>
        <v>21.1</v>
      </c>
      <c r="S549" s="0" t="n">
        <f aca="false">INDEX($F549:$J549,IF(4&lt;$E549,4,4+1))</f>
        <v>17.6</v>
      </c>
      <c r="T549" s="0" t="n">
        <f aca="false">INDEX($K549:$O549,IF(1&lt;$E549,1,1+1))</f>
        <v>0.806169642428</v>
      </c>
      <c r="U549" s="0" t="n">
        <f aca="false">INDEX($K549:$O549,IF(2&lt;$E549,2,2+1))</f>
        <v>11.7456558108</v>
      </c>
      <c r="V549" s="0" t="n">
        <f aca="false">INDEX($K549:$O549,IF(3&lt;$E549,3,3+1))</f>
        <v>0.174518920782</v>
      </c>
      <c r="W549" s="0" t="n">
        <f aca="false">INDEX($K549:$O549,IF(4&lt;$E549,4,4+1))</f>
        <v>73.3973139694</v>
      </c>
      <c r="X549" s="0" t="n">
        <f aca="false">1+COUNTIF($P549:$S549,"&gt;"&amp;$P549)+(COUNTIF($P549:$S549,$P549)-1)/2</f>
        <v>4</v>
      </c>
      <c r="Y549" s="0" t="n">
        <f aca="false">1+COUNTIF($P549:$S549,"&gt;"&amp;$Q549)+(COUNTIF($P549:$S549,$Q549)-1)/2</f>
        <v>3</v>
      </c>
      <c r="Z549" s="0" t="n">
        <f aca="false">1+COUNTIF($P549:$S549,"&gt;"&amp;$R549)+(COUNTIF($P549:$S549,$R549)-1)/2</f>
        <v>1</v>
      </c>
      <c r="AA549" s="0" t="n">
        <f aca="false">1+COUNTIF($P549:$S549,"&gt;"&amp;$S549)+(COUNTIF($P549:$S549,$S549)-1)/2</f>
        <v>2</v>
      </c>
      <c r="AB549" s="0" t="n">
        <f aca="false">1+COUNTIF($T549:$W549,"&gt;"&amp;$T549)+(COUNTIF($T549:$W549,$T549)-1)/2</f>
        <v>3</v>
      </c>
      <c r="AC549" s="0" t="n">
        <f aca="false">1+COUNTIF($T549:$W549,"&gt;"&amp;$U549)+(COUNTIF($T549:$W549,$U549)-1)/2</f>
        <v>2</v>
      </c>
      <c r="AD549" s="0" t="n">
        <f aca="false">1+COUNTIF($T549:$W549,"&gt;"&amp;$V549)+(COUNTIF($T549:$W549,$V549)-1)/2</f>
        <v>4</v>
      </c>
      <c r="AE549" s="0" t="n">
        <f aca="false">1+COUNTIF($T549:$W549,"&gt;"&amp;$W549)+(COUNTIF($T549:$W549,$W549)-1)/2</f>
        <v>1</v>
      </c>
      <c r="AF549" s="0" t="n">
        <f aca="false">IFERROR(CORREL($P549:$S549,$T549:$W549),"")</f>
        <v>0.152192200471271</v>
      </c>
      <c r="AG549" s="0" t="n">
        <f aca="false">IFERROR(CORREL($X549:$AA549,$AB549:$AE549),"")</f>
        <v>-0.2</v>
      </c>
      <c r="AH549" s="0" t="n">
        <f aca="false">IFERROR((SIGN($P549-$Q549)*SIGN($T549-$U549)+SIGN($P549-$R549)*SIGN($T549-$V549)+SIGN($P549-$S549)*SIGN($T549-$W549)+SIGN($Q549-$R549)*SIGN($U549-$V549)+SIGN($Q549-$S549)*SIGN($U549-$W549)+SIGN($R549-$S549)*SIGN($V549-$W549))/SQRT((6-(($P549=$Q549)*1+($P549=$R549)*1+($P549=$S549)*1+($Q549=$R549)*1+($Q549=$S549)*1+($R549=$S549)*1))*(6-(($T549=$U549)*1+($T549=$V549)*1+($T549=$W549)*1+($U549=$V549)*1+($U549=$W549)*1+($V549=$W549)*1))),"")</f>
        <v>0</v>
      </c>
      <c r="AI549" s="0" t="n">
        <f aca="false">MATCH(MAX($K549:$O549),$K549:$O549,0)</f>
        <v>5</v>
      </c>
      <c r="AJ549" s="0" t="n">
        <f aca="false">IF(AI549&lt;&gt;$E549,1,0)</f>
        <v>1</v>
      </c>
      <c r="AK549" s="0" t="n">
        <f aca="false">IF(AJ549=1,INDEX($F549:$J549,AI549)/MAX($P549:$S549),"")</f>
        <v>0.834123222748815</v>
      </c>
      <c r="AL549" s="0" t="n">
        <f aca="false">IF(AJ549=1,1+COUNTIF($P549:$S549,"&gt;"&amp;INDEX($F549:$J549,AI549)),"")</f>
        <v>2</v>
      </c>
      <c r="AM549" s="0" t="n">
        <f aca="false">AVERAGE($P549:$S549)/MAX($P549:$S549)</f>
        <v>0.789099526066351</v>
      </c>
      <c r="AN549" s="0" t="n">
        <f aca="false">100-INDEX($F549:$J549,$E549)</f>
        <v>66.7</v>
      </c>
    </row>
    <row r="550" customFormat="false" ht="15" hidden="false" customHeight="false" outlineLevel="0" collapsed="false">
      <c r="A550" s="0" t="s">
        <v>61</v>
      </c>
      <c r="B550" s="0" t="n">
        <v>2025</v>
      </c>
      <c r="C550" s="0" t="s">
        <v>46</v>
      </c>
      <c r="D550" s="0" t="s">
        <v>43</v>
      </c>
      <c r="E550" s="0" t="n">
        <v>3</v>
      </c>
      <c r="F550" s="0" t="n">
        <v>11.8</v>
      </c>
      <c r="G550" s="0" t="n">
        <v>18</v>
      </c>
      <c r="H550" s="0" t="n">
        <v>48.9</v>
      </c>
      <c r="I550" s="0" t="n">
        <v>9.4</v>
      </c>
      <c r="J550" s="0" t="n">
        <v>11.9</v>
      </c>
      <c r="K550" s="0" t="n">
        <v>2.74292690117</v>
      </c>
      <c r="L550" s="0" t="n">
        <v>10.4289078366</v>
      </c>
      <c r="M550" s="0" t="n">
        <v>2.82963540382</v>
      </c>
      <c r="N550" s="0" t="n">
        <v>45.8457525742</v>
      </c>
      <c r="O550" s="0" t="n">
        <v>38.1527772842</v>
      </c>
      <c r="P550" s="0" t="n">
        <f aca="false">INDEX($F550:$J550,IF(1&lt;$E550,1,1+1))</f>
        <v>11.8</v>
      </c>
      <c r="Q550" s="0" t="n">
        <f aca="false">INDEX($F550:$J550,IF(2&lt;$E550,2,2+1))</f>
        <v>18</v>
      </c>
      <c r="R550" s="0" t="n">
        <f aca="false">INDEX($F550:$J550,IF(3&lt;$E550,3,3+1))</f>
        <v>9.4</v>
      </c>
      <c r="S550" s="0" t="n">
        <f aca="false">INDEX($F550:$J550,IF(4&lt;$E550,4,4+1))</f>
        <v>11.9</v>
      </c>
      <c r="T550" s="0" t="n">
        <f aca="false">INDEX($K550:$O550,IF(1&lt;$E550,1,1+1))</f>
        <v>2.74292690117</v>
      </c>
      <c r="U550" s="0" t="n">
        <f aca="false">INDEX($K550:$O550,IF(2&lt;$E550,2,2+1))</f>
        <v>10.4289078366</v>
      </c>
      <c r="V550" s="0" t="n">
        <f aca="false">INDEX($K550:$O550,IF(3&lt;$E550,3,3+1))</f>
        <v>45.8457525742</v>
      </c>
      <c r="W550" s="0" t="n">
        <f aca="false">INDEX($K550:$O550,IF(4&lt;$E550,4,4+1))</f>
        <v>38.1527772842</v>
      </c>
      <c r="X550" s="0" t="n">
        <f aca="false">1+COUNTIF($P550:$S550,"&gt;"&amp;$P550)+(COUNTIF($P550:$S550,$P550)-1)/2</f>
        <v>3</v>
      </c>
      <c r="Y550" s="0" t="n">
        <f aca="false">1+COUNTIF($P550:$S550,"&gt;"&amp;$Q550)+(COUNTIF($P550:$S550,$Q550)-1)/2</f>
        <v>1</v>
      </c>
      <c r="Z550" s="0" t="n">
        <f aca="false">1+COUNTIF($P550:$S550,"&gt;"&amp;$R550)+(COUNTIF($P550:$S550,$R550)-1)/2</f>
        <v>4</v>
      </c>
      <c r="AA550" s="0" t="n">
        <f aca="false">1+COUNTIF($P550:$S550,"&gt;"&amp;$S550)+(COUNTIF($P550:$S550,$S550)-1)/2</f>
        <v>2</v>
      </c>
      <c r="AB550" s="0" t="n">
        <f aca="false">1+COUNTIF($T550:$W550,"&gt;"&amp;$T550)+(COUNTIF($T550:$W550,$T550)-1)/2</f>
        <v>4</v>
      </c>
      <c r="AC550" s="0" t="n">
        <f aca="false">1+COUNTIF($T550:$W550,"&gt;"&amp;$U550)+(COUNTIF($T550:$W550,$U550)-1)/2</f>
        <v>3</v>
      </c>
      <c r="AD550" s="0" t="n">
        <f aca="false">1+COUNTIF($T550:$W550,"&gt;"&amp;$V550)+(COUNTIF($T550:$W550,$V550)-1)/2</f>
        <v>1</v>
      </c>
      <c r="AE550" s="0" t="n">
        <f aca="false">1+COUNTIF($T550:$W550,"&gt;"&amp;$W550)+(COUNTIF($T550:$W550,$W550)-1)/2</f>
        <v>2</v>
      </c>
      <c r="AF550" s="0" t="n">
        <f aca="false">IFERROR(CORREL($P550:$S550,$T550:$W550),"")</f>
        <v>-0.591673982461412</v>
      </c>
      <c r="AG550" s="0" t="n">
        <f aca="false">IFERROR(CORREL($X550:$AA550,$AB550:$AE550),"")</f>
        <v>-0.4</v>
      </c>
      <c r="AH550" s="0" t="n">
        <f aca="false">IFERROR((SIGN($P550-$Q550)*SIGN($T550-$U550)+SIGN($P550-$R550)*SIGN($T550-$V550)+SIGN($P550-$S550)*SIGN($T550-$W550)+SIGN($Q550-$R550)*SIGN($U550-$V550)+SIGN($Q550-$S550)*SIGN($U550-$W550)+SIGN($R550-$S550)*SIGN($V550-$W550))/SQRT((6-(($P550=$Q550)*1+($P550=$R550)*1+($P550=$S550)*1+($Q550=$R550)*1+($Q550=$S550)*1+($R550=$S550)*1))*(6-(($T550=$U550)*1+($T550=$V550)*1+($T550=$W550)*1+($U550=$V550)*1+($U550=$W550)*1+($V550=$W550)*1))),"")</f>
        <v>-0.333333333333333</v>
      </c>
      <c r="AI550" s="0" t="n">
        <f aca="false">MATCH(MAX($K550:$O550),$K550:$O550,0)</f>
        <v>4</v>
      </c>
      <c r="AJ550" s="0" t="n">
        <f aca="false">IF(AI550&lt;&gt;$E550,1,0)</f>
        <v>1</v>
      </c>
      <c r="AK550" s="0" t="n">
        <f aca="false">IF(AJ550=1,INDEX($F550:$J550,AI550)/MAX($P550:$S550),"")</f>
        <v>0.522222222222222</v>
      </c>
      <c r="AL550" s="0" t="n">
        <f aca="false">IF(AJ550=1,1+COUNTIF($P550:$S550,"&gt;"&amp;INDEX($F550:$J550,AI550)),"")</f>
        <v>4</v>
      </c>
      <c r="AM550" s="0" t="n">
        <f aca="false">AVERAGE($P550:$S550)/MAX($P550:$S550)</f>
        <v>0.709722222222222</v>
      </c>
      <c r="AN550" s="0" t="n">
        <f aca="false">100-INDEX($F550:$J550,$E550)</f>
        <v>51.1</v>
      </c>
    </row>
    <row r="551" customFormat="false" ht="15" hidden="false" customHeight="false" outlineLevel="0" collapsed="false">
      <c r="A551" s="0" t="s">
        <v>61</v>
      </c>
      <c r="B551" s="0" t="n">
        <v>2025</v>
      </c>
      <c r="C551" s="0" t="s">
        <v>46</v>
      </c>
      <c r="D551" s="0" t="s">
        <v>44</v>
      </c>
      <c r="E551" s="0" t="n">
        <v>4</v>
      </c>
      <c r="F551" s="0" t="n">
        <v>7.6</v>
      </c>
      <c r="G551" s="0" t="n">
        <v>21.7</v>
      </c>
      <c r="H551" s="0" t="n">
        <v>23.9</v>
      </c>
      <c r="I551" s="0" t="n">
        <v>39.6</v>
      </c>
      <c r="J551" s="0" t="n">
        <v>7.2</v>
      </c>
      <c r="K551" s="0" t="n">
        <v>0.418222546909</v>
      </c>
      <c r="L551" s="0" t="n">
        <v>19.8084315631</v>
      </c>
      <c r="M551" s="0" t="n">
        <v>4.73492884882</v>
      </c>
      <c r="N551" s="0" t="n">
        <v>73.3458150761</v>
      </c>
      <c r="O551" s="0" t="n">
        <v>1.69260196503</v>
      </c>
      <c r="P551" s="0" t="n">
        <f aca="false">INDEX($F551:$J551,IF(1&lt;$E551,1,1+1))</f>
        <v>7.6</v>
      </c>
      <c r="Q551" s="0" t="n">
        <f aca="false">INDEX($F551:$J551,IF(2&lt;$E551,2,2+1))</f>
        <v>21.7</v>
      </c>
      <c r="R551" s="0" t="n">
        <f aca="false">INDEX($F551:$J551,IF(3&lt;$E551,3,3+1))</f>
        <v>23.9</v>
      </c>
      <c r="S551" s="0" t="n">
        <f aca="false">INDEX($F551:$J551,IF(4&lt;$E551,4,4+1))</f>
        <v>7.2</v>
      </c>
      <c r="T551" s="0" t="n">
        <f aca="false">INDEX($K551:$O551,IF(1&lt;$E551,1,1+1))</f>
        <v>0.418222546909</v>
      </c>
      <c r="U551" s="0" t="n">
        <f aca="false">INDEX($K551:$O551,IF(2&lt;$E551,2,2+1))</f>
        <v>19.8084315631</v>
      </c>
      <c r="V551" s="0" t="n">
        <f aca="false">INDEX($K551:$O551,IF(3&lt;$E551,3,3+1))</f>
        <v>4.73492884882</v>
      </c>
      <c r="W551" s="0" t="n">
        <f aca="false">INDEX($K551:$O551,IF(4&lt;$E551,4,4+1))</f>
        <v>1.69260196503</v>
      </c>
      <c r="X551" s="0" t="n">
        <f aca="false">1+COUNTIF($P551:$S551,"&gt;"&amp;$P551)+(COUNTIF($P551:$S551,$P551)-1)/2</f>
        <v>3</v>
      </c>
      <c r="Y551" s="0" t="n">
        <f aca="false">1+COUNTIF($P551:$S551,"&gt;"&amp;$Q551)+(COUNTIF($P551:$S551,$Q551)-1)/2</f>
        <v>2</v>
      </c>
      <c r="Z551" s="0" t="n">
        <f aca="false">1+COUNTIF($P551:$S551,"&gt;"&amp;$R551)+(COUNTIF($P551:$S551,$R551)-1)/2</f>
        <v>1</v>
      </c>
      <c r="AA551" s="0" t="n">
        <f aca="false">1+COUNTIF($P551:$S551,"&gt;"&amp;$S551)+(COUNTIF($P551:$S551,$S551)-1)/2</f>
        <v>4</v>
      </c>
      <c r="AB551" s="0" t="n">
        <f aca="false">1+COUNTIF($T551:$W551,"&gt;"&amp;$T551)+(COUNTIF($T551:$W551,$T551)-1)/2</f>
        <v>4</v>
      </c>
      <c r="AC551" s="0" t="n">
        <f aca="false">1+COUNTIF($T551:$W551,"&gt;"&amp;$U551)+(COUNTIF($T551:$W551,$U551)-1)/2</f>
        <v>1</v>
      </c>
      <c r="AD551" s="0" t="n">
        <f aca="false">1+COUNTIF($T551:$W551,"&gt;"&amp;$V551)+(COUNTIF($T551:$W551,$V551)-1)/2</f>
        <v>2</v>
      </c>
      <c r="AE551" s="0" t="n">
        <f aca="false">1+COUNTIF($T551:$W551,"&gt;"&amp;$W551)+(COUNTIF($T551:$W551,$W551)-1)/2</f>
        <v>3</v>
      </c>
      <c r="AF551" s="0" t="n">
        <f aca="false">IFERROR(CORREL($P551:$S551,$T551:$W551),"")</f>
        <v>0.649721919602001</v>
      </c>
      <c r="AG551" s="0" t="n">
        <f aca="false">IFERROR(CORREL($X551:$AA551,$AB551:$AE551),"")</f>
        <v>0.6</v>
      </c>
      <c r="AH551" s="0" t="n">
        <f aca="false">IFERROR((SIGN($P551-$Q551)*SIGN($T551-$U551)+SIGN($P551-$R551)*SIGN($T551-$V551)+SIGN($P551-$S551)*SIGN($T551-$W551)+SIGN($Q551-$R551)*SIGN($U551-$V551)+SIGN($Q551-$S551)*SIGN($U551-$W551)+SIGN($R551-$S551)*SIGN($V551-$W551))/SQRT((6-(($P551=$Q551)*1+($P551=$R551)*1+($P551=$S551)*1+($Q551=$R551)*1+($Q551=$S551)*1+($R551=$S551)*1))*(6-(($T551=$U551)*1+($T551=$V551)*1+($T551=$W551)*1+($U551=$V551)*1+($U551=$W551)*1+($V551=$W551)*1))),"")</f>
        <v>0.333333333333333</v>
      </c>
      <c r="AI551" s="0" t="n">
        <f aca="false">MATCH(MAX($K551:$O551),$K551:$O551,0)</f>
        <v>4</v>
      </c>
      <c r="AJ551" s="0" t="n">
        <f aca="false">IF(AI551&lt;&gt;$E551,1,0)</f>
        <v>0</v>
      </c>
      <c r="AK551" s="0" t="str">
        <f aca="false">IF(AJ551=1,INDEX($F551:$J551,AI551)/MAX($P551:$S551),"")</f>
        <v/>
      </c>
      <c r="AL551" s="0" t="str">
        <f aca="false">IF(AJ551=1,1+COUNTIF($P551:$S551,"&gt;"&amp;INDEX($F551:$J551,AI551)),"")</f>
        <v/>
      </c>
      <c r="AM551" s="0" t="n">
        <f aca="false">AVERAGE($P551:$S551)/MAX($P551:$S551)</f>
        <v>0.631799163179916</v>
      </c>
      <c r="AN551" s="0" t="n">
        <f aca="false">100-INDEX($F551:$J551,$E551)</f>
        <v>60.4</v>
      </c>
    </row>
    <row r="552" customFormat="false" ht="15" hidden="false" customHeight="false" outlineLevel="0" collapsed="false">
      <c r="A552" s="0" t="s">
        <v>61</v>
      </c>
      <c r="B552" s="0" t="n">
        <v>2025</v>
      </c>
      <c r="C552" s="0" t="s">
        <v>46</v>
      </c>
      <c r="D552" s="0" t="s">
        <v>45</v>
      </c>
      <c r="E552" s="0" t="n">
        <v>1</v>
      </c>
      <c r="F552" s="0" t="n">
        <v>52.5</v>
      </c>
      <c r="G552" s="0" t="n">
        <v>13.1</v>
      </c>
      <c r="H552" s="0" t="n">
        <v>12.1</v>
      </c>
      <c r="I552" s="0" t="n">
        <v>15.7</v>
      </c>
      <c r="J552" s="0" t="n">
        <v>6.6</v>
      </c>
      <c r="K552" s="0" t="n">
        <v>53.9549426123</v>
      </c>
      <c r="L552" s="0" t="n">
        <v>6.76403076028</v>
      </c>
      <c r="M552" s="0" t="n">
        <v>5.86602500395</v>
      </c>
      <c r="N552" s="0" t="n">
        <v>30.4080884275</v>
      </c>
      <c r="O552" s="0" t="n">
        <v>3.00691319603</v>
      </c>
      <c r="P552" s="0" t="n">
        <f aca="false">INDEX($F552:$J552,IF(1&lt;$E552,1,1+1))</f>
        <v>13.1</v>
      </c>
      <c r="Q552" s="0" t="n">
        <f aca="false">INDEX($F552:$J552,IF(2&lt;$E552,2,2+1))</f>
        <v>12.1</v>
      </c>
      <c r="R552" s="0" t="n">
        <f aca="false">INDEX($F552:$J552,IF(3&lt;$E552,3,3+1))</f>
        <v>15.7</v>
      </c>
      <c r="S552" s="0" t="n">
        <f aca="false">INDEX($F552:$J552,IF(4&lt;$E552,4,4+1))</f>
        <v>6.6</v>
      </c>
      <c r="T552" s="0" t="n">
        <f aca="false">INDEX($K552:$O552,IF(1&lt;$E552,1,1+1))</f>
        <v>6.76403076028</v>
      </c>
      <c r="U552" s="0" t="n">
        <f aca="false">INDEX($K552:$O552,IF(2&lt;$E552,2,2+1))</f>
        <v>5.86602500395</v>
      </c>
      <c r="V552" s="0" t="n">
        <f aca="false">INDEX($K552:$O552,IF(3&lt;$E552,3,3+1))</f>
        <v>30.4080884275</v>
      </c>
      <c r="W552" s="0" t="n">
        <f aca="false">INDEX($K552:$O552,IF(4&lt;$E552,4,4+1))</f>
        <v>3.00691319603</v>
      </c>
      <c r="X552" s="0" t="n">
        <f aca="false">1+COUNTIF($P552:$S552,"&gt;"&amp;$P552)+(COUNTIF($P552:$S552,$P552)-1)/2</f>
        <v>2</v>
      </c>
      <c r="Y552" s="0" t="n">
        <f aca="false">1+COUNTIF($P552:$S552,"&gt;"&amp;$Q552)+(COUNTIF($P552:$S552,$Q552)-1)/2</f>
        <v>3</v>
      </c>
      <c r="Z552" s="0" t="n">
        <f aca="false">1+COUNTIF($P552:$S552,"&gt;"&amp;$R552)+(COUNTIF($P552:$S552,$R552)-1)/2</f>
        <v>1</v>
      </c>
      <c r="AA552" s="0" t="n">
        <f aca="false">1+COUNTIF($P552:$S552,"&gt;"&amp;$S552)+(COUNTIF($P552:$S552,$S552)-1)/2</f>
        <v>4</v>
      </c>
      <c r="AB552" s="0" t="n">
        <f aca="false">1+COUNTIF($T552:$W552,"&gt;"&amp;$T552)+(COUNTIF($T552:$W552,$T552)-1)/2</f>
        <v>2</v>
      </c>
      <c r="AC552" s="0" t="n">
        <f aca="false">1+COUNTIF($T552:$W552,"&gt;"&amp;$U552)+(COUNTIF($T552:$W552,$U552)-1)/2</f>
        <v>3</v>
      </c>
      <c r="AD552" s="0" t="n">
        <f aca="false">1+COUNTIF($T552:$W552,"&gt;"&amp;$V552)+(COUNTIF($T552:$W552,$V552)-1)/2</f>
        <v>1</v>
      </c>
      <c r="AE552" s="0" t="n">
        <f aca="false">1+COUNTIF($T552:$W552,"&gt;"&amp;$W552)+(COUNTIF($T552:$W552,$W552)-1)/2</f>
        <v>4</v>
      </c>
      <c r="AF552" s="0" t="n">
        <f aca="false">IFERROR(CORREL($P552:$S552,$T552:$W552),"")</f>
        <v>0.754233914344457</v>
      </c>
      <c r="AG552" s="0" t="n">
        <f aca="false">IFERROR(CORREL($X552:$AA552,$AB552:$AE552),"")</f>
        <v>1</v>
      </c>
      <c r="AH552" s="0" t="n">
        <f aca="false">IFERROR((SIGN($P552-$Q552)*SIGN($T552-$U552)+SIGN($P552-$R552)*SIGN($T552-$V552)+SIGN($P552-$S552)*SIGN($T552-$W552)+SIGN($Q552-$R552)*SIGN($U552-$V552)+SIGN($Q552-$S552)*SIGN($U552-$W552)+SIGN($R552-$S552)*SIGN($V552-$W552))/SQRT((6-(($P552=$Q552)*1+($P552=$R552)*1+($P552=$S552)*1+($Q552=$R552)*1+($Q552=$S552)*1+($R552=$S552)*1))*(6-(($T552=$U552)*1+($T552=$V552)*1+($T552=$W552)*1+($U552=$V552)*1+($U552=$W552)*1+($V552=$W552)*1))),"")</f>
        <v>1</v>
      </c>
      <c r="AI552" s="0" t="n">
        <f aca="false">MATCH(MAX($K552:$O552),$K552:$O552,0)</f>
        <v>1</v>
      </c>
      <c r="AJ552" s="0" t="n">
        <f aca="false">IF(AI552&lt;&gt;$E552,1,0)</f>
        <v>0</v>
      </c>
      <c r="AK552" s="0" t="str">
        <f aca="false">IF(AJ552=1,INDEX($F552:$J552,AI552)/MAX($P552:$S552),"")</f>
        <v/>
      </c>
      <c r="AL552" s="0" t="str">
        <f aca="false">IF(AJ552=1,1+COUNTIF($P552:$S552,"&gt;"&amp;INDEX($F552:$J552,AI552)),"")</f>
        <v/>
      </c>
      <c r="AM552" s="0" t="n">
        <f aca="false">AVERAGE($P552:$S552)/MAX($P552:$S552)</f>
        <v>0.756369426751592</v>
      </c>
      <c r="AN552" s="0" t="n">
        <f aca="false">100-INDEX($F552:$J552,$E552)</f>
        <v>47.5</v>
      </c>
    </row>
    <row r="553" customFormat="false" ht="15" hidden="false" customHeight="false" outlineLevel="0" collapsed="false">
      <c r="A553" s="0" t="s">
        <v>61</v>
      </c>
      <c r="B553" s="0" t="n">
        <v>2024</v>
      </c>
      <c r="C553" s="0" t="s">
        <v>48</v>
      </c>
      <c r="D553" s="0" t="s">
        <v>42</v>
      </c>
      <c r="E553" s="0" t="n">
        <v>2</v>
      </c>
      <c r="F553" s="0" t="n">
        <v>14.8</v>
      </c>
      <c r="G553" s="0" t="n">
        <v>32</v>
      </c>
      <c r="H553" s="0" t="n">
        <v>17</v>
      </c>
      <c r="I553" s="0" t="n">
        <v>31.6</v>
      </c>
      <c r="J553" s="0" t="n">
        <v>4.6</v>
      </c>
      <c r="K553" s="0" t="n">
        <v>13.7512172776</v>
      </c>
      <c r="L553" s="0" t="n">
        <v>20.7449378314</v>
      </c>
      <c r="M553" s="0" t="n">
        <v>38.0648484347</v>
      </c>
      <c r="N553" s="0" t="n">
        <v>15.5612648886</v>
      </c>
      <c r="O553" s="0" t="n">
        <v>11.8777315677</v>
      </c>
      <c r="P553" s="0" t="n">
        <f aca="false">INDEX($F553:$J553,IF(1&lt;$E553,1,1+1))</f>
        <v>14.8</v>
      </c>
      <c r="Q553" s="0" t="n">
        <f aca="false">INDEX($F553:$J553,IF(2&lt;$E553,2,2+1))</f>
        <v>17</v>
      </c>
      <c r="R553" s="0" t="n">
        <f aca="false">INDEX($F553:$J553,IF(3&lt;$E553,3,3+1))</f>
        <v>31.6</v>
      </c>
      <c r="S553" s="0" t="n">
        <f aca="false">INDEX($F553:$J553,IF(4&lt;$E553,4,4+1))</f>
        <v>4.6</v>
      </c>
      <c r="T553" s="0" t="n">
        <f aca="false">INDEX($K553:$O553,IF(1&lt;$E553,1,1+1))</f>
        <v>13.7512172776</v>
      </c>
      <c r="U553" s="0" t="n">
        <f aca="false">INDEX($K553:$O553,IF(2&lt;$E553,2,2+1))</f>
        <v>38.0648484347</v>
      </c>
      <c r="V553" s="0" t="n">
        <f aca="false">INDEX($K553:$O553,IF(3&lt;$E553,3,3+1))</f>
        <v>15.5612648886</v>
      </c>
      <c r="W553" s="0" t="n">
        <f aca="false">INDEX($K553:$O553,IF(4&lt;$E553,4,4+1))</f>
        <v>11.8777315677</v>
      </c>
      <c r="X553" s="0" t="n">
        <f aca="false">1+COUNTIF($P553:$S553,"&gt;"&amp;$P553)+(COUNTIF($P553:$S553,$P553)-1)/2</f>
        <v>3</v>
      </c>
      <c r="Y553" s="0" t="n">
        <f aca="false">1+COUNTIF($P553:$S553,"&gt;"&amp;$Q553)+(COUNTIF($P553:$S553,$Q553)-1)/2</f>
        <v>2</v>
      </c>
      <c r="Z553" s="0" t="n">
        <f aca="false">1+COUNTIF($P553:$S553,"&gt;"&amp;$R553)+(COUNTIF($P553:$S553,$R553)-1)/2</f>
        <v>1</v>
      </c>
      <c r="AA553" s="0" t="n">
        <f aca="false">1+COUNTIF($P553:$S553,"&gt;"&amp;$S553)+(COUNTIF($P553:$S553,$S553)-1)/2</f>
        <v>4</v>
      </c>
      <c r="AB553" s="0" t="n">
        <f aca="false">1+COUNTIF($T553:$W553,"&gt;"&amp;$T553)+(COUNTIF($T553:$W553,$T553)-1)/2</f>
        <v>3</v>
      </c>
      <c r="AC553" s="0" t="n">
        <f aca="false">1+COUNTIF($T553:$W553,"&gt;"&amp;$U553)+(COUNTIF($T553:$W553,$U553)-1)/2</f>
        <v>1</v>
      </c>
      <c r="AD553" s="0" t="n">
        <f aca="false">1+COUNTIF($T553:$W553,"&gt;"&amp;$V553)+(COUNTIF($T553:$W553,$V553)-1)/2</f>
        <v>2</v>
      </c>
      <c r="AE553" s="0" t="n">
        <f aca="false">1+COUNTIF($T553:$W553,"&gt;"&amp;$W553)+(COUNTIF($T553:$W553,$W553)-1)/2</f>
        <v>4</v>
      </c>
      <c r="AF553" s="0" t="n">
        <f aca="false">IFERROR(CORREL($P553:$S553,$T553:$W553),"")</f>
        <v>0.121284970434702</v>
      </c>
      <c r="AG553" s="0" t="n">
        <f aca="false">IFERROR(CORREL($X553:$AA553,$AB553:$AE553),"")</f>
        <v>0.8</v>
      </c>
      <c r="AH553" s="0" t="n">
        <f aca="false">IFERROR((SIGN($P553-$Q553)*SIGN($T553-$U553)+SIGN($P553-$R553)*SIGN($T553-$V553)+SIGN($P553-$S553)*SIGN($T553-$W553)+SIGN($Q553-$R553)*SIGN($U553-$V553)+SIGN($Q553-$S553)*SIGN($U553-$W553)+SIGN($R553-$S553)*SIGN($V553-$W553))/SQRT((6-(($P553=$Q553)*1+($P553=$R553)*1+($P553=$S553)*1+($Q553=$R553)*1+($Q553=$S553)*1+($R553=$S553)*1))*(6-(($T553=$U553)*1+($T553=$V553)*1+($T553=$W553)*1+($U553=$V553)*1+($U553=$W553)*1+($V553=$W553)*1))),"")</f>
        <v>0.666666666666667</v>
      </c>
      <c r="AI553" s="0" t="n">
        <f aca="false">MATCH(MAX($K553:$O553),$K553:$O553,0)</f>
        <v>3</v>
      </c>
      <c r="AJ553" s="0" t="n">
        <f aca="false">IF(AI553&lt;&gt;$E553,1,0)</f>
        <v>1</v>
      </c>
      <c r="AK553" s="0" t="n">
        <f aca="false">IF(AJ553=1,INDEX($F553:$J553,AI553)/MAX($P553:$S553),"")</f>
        <v>0.537974683544304</v>
      </c>
      <c r="AL553" s="0" t="n">
        <f aca="false">IF(AJ553=1,1+COUNTIF($P553:$S553,"&gt;"&amp;INDEX($F553:$J553,AI553)),"")</f>
        <v>2</v>
      </c>
      <c r="AM553" s="0" t="n">
        <f aca="false">AVERAGE($P553:$S553)/MAX($P553:$S553)</f>
        <v>0.537974683544304</v>
      </c>
      <c r="AN553" s="0" t="n">
        <f aca="false">100-INDEX($F553:$J553,$E553)</f>
        <v>68</v>
      </c>
    </row>
    <row r="554" customFormat="false" ht="15" hidden="false" customHeight="false" outlineLevel="0" collapsed="false">
      <c r="A554" s="0" t="s">
        <v>61</v>
      </c>
      <c r="B554" s="0" t="n">
        <v>2024</v>
      </c>
      <c r="C554" s="0" t="s">
        <v>48</v>
      </c>
      <c r="D554" s="0" t="s">
        <v>43</v>
      </c>
      <c r="E554" s="0" t="n">
        <v>2</v>
      </c>
      <c r="F554" s="0" t="n">
        <v>21.1</v>
      </c>
      <c r="G554" s="0" t="n">
        <v>46.3</v>
      </c>
      <c r="H554" s="0" t="n">
        <v>14.7</v>
      </c>
      <c r="I554" s="0" t="n">
        <v>9</v>
      </c>
      <c r="J554" s="0" t="n">
        <v>9</v>
      </c>
      <c r="K554" s="0" t="n">
        <v>51.0153950056</v>
      </c>
      <c r="L554" s="0" t="n">
        <v>16.9223822397</v>
      </c>
      <c r="M554" s="0" t="n">
        <v>17.2791551209</v>
      </c>
      <c r="N554" s="0" t="n">
        <v>7.91758676589</v>
      </c>
      <c r="O554" s="0" t="n">
        <v>6.86548086793</v>
      </c>
      <c r="P554" s="0" t="n">
        <f aca="false">INDEX($F554:$J554,IF(1&lt;$E554,1,1+1))</f>
        <v>21.1</v>
      </c>
      <c r="Q554" s="0" t="n">
        <f aca="false">INDEX($F554:$J554,IF(2&lt;$E554,2,2+1))</f>
        <v>14.7</v>
      </c>
      <c r="R554" s="0" t="n">
        <f aca="false">INDEX($F554:$J554,IF(3&lt;$E554,3,3+1))</f>
        <v>9</v>
      </c>
      <c r="S554" s="0" t="n">
        <f aca="false">INDEX($F554:$J554,IF(4&lt;$E554,4,4+1))</f>
        <v>9</v>
      </c>
      <c r="T554" s="0" t="n">
        <f aca="false">INDEX($K554:$O554,IF(1&lt;$E554,1,1+1))</f>
        <v>51.0153950056</v>
      </c>
      <c r="U554" s="0" t="n">
        <f aca="false">INDEX($K554:$O554,IF(2&lt;$E554,2,2+1))</f>
        <v>17.2791551209</v>
      </c>
      <c r="V554" s="0" t="n">
        <f aca="false">INDEX($K554:$O554,IF(3&lt;$E554,3,3+1))</f>
        <v>7.91758676589</v>
      </c>
      <c r="W554" s="0" t="n">
        <f aca="false">INDEX($K554:$O554,IF(4&lt;$E554,4,4+1))</f>
        <v>6.86548086793</v>
      </c>
      <c r="X554" s="0" t="n">
        <f aca="false">1+COUNTIF($P554:$S554,"&gt;"&amp;$P554)+(COUNTIF($P554:$S554,$P554)-1)/2</f>
        <v>1</v>
      </c>
      <c r="Y554" s="0" t="n">
        <f aca="false">1+COUNTIF($P554:$S554,"&gt;"&amp;$Q554)+(COUNTIF($P554:$S554,$Q554)-1)/2</f>
        <v>2</v>
      </c>
      <c r="Z554" s="0" t="n">
        <f aca="false">1+COUNTIF($P554:$S554,"&gt;"&amp;$R554)+(COUNTIF($P554:$S554,$R554)-1)/2</f>
        <v>3.5</v>
      </c>
      <c r="AA554" s="0" t="n">
        <f aca="false">1+COUNTIF($P554:$S554,"&gt;"&amp;$S554)+(COUNTIF($P554:$S554,$S554)-1)/2</f>
        <v>3.5</v>
      </c>
      <c r="AB554" s="0" t="n">
        <f aca="false">1+COUNTIF($T554:$W554,"&gt;"&amp;$T554)+(COUNTIF($T554:$W554,$T554)-1)/2</f>
        <v>1</v>
      </c>
      <c r="AC554" s="0" t="n">
        <f aca="false">1+COUNTIF($T554:$W554,"&gt;"&amp;$U554)+(COUNTIF($T554:$W554,$U554)-1)/2</f>
        <v>2</v>
      </c>
      <c r="AD554" s="0" t="n">
        <f aca="false">1+COUNTIF($T554:$W554,"&gt;"&amp;$V554)+(COUNTIF($T554:$W554,$V554)-1)/2</f>
        <v>3</v>
      </c>
      <c r="AE554" s="0" t="n">
        <f aca="false">1+COUNTIF($T554:$W554,"&gt;"&amp;$W554)+(COUNTIF($T554:$W554,$W554)-1)/2</f>
        <v>4</v>
      </c>
      <c r="AF554" s="0" t="n">
        <f aca="false">IFERROR(CORREL($P554:$S554,$T554:$W554),"")</f>
        <v>0.966760567502582</v>
      </c>
      <c r="AG554" s="0" t="n">
        <f aca="false">IFERROR(CORREL($X554:$AA554,$AB554:$AE554),"")</f>
        <v>0.948683298050514</v>
      </c>
      <c r="AH554" s="0" t="n">
        <f aca="false">IFERROR((SIGN($P554-$Q554)*SIGN($T554-$U554)+SIGN($P554-$R554)*SIGN($T554-$V554)+SIGN($P554-$S554)*SIGN($T554-$W554)+SIGN($Q554-$R554)*SIGN($U554-$V554)+SIGN($Q554-$S554)*SIGN($U554-$W554)+SIGN($R554-$S554)*SIGN($V554-$W554))/SQRT((6-(($P554=$Q554)*1+($P554=$R554)*1+($P554=$S554)*1+($Q554=$R554)*1+($Q554=$S554)*1+($R554=$S554)*1))*(6-(($T554=$U554)*1+($T554=$V554)*1+($T554=$W554)*1+($U554=$V554)*1+($U554=$W554)*1+($V554=$W554)*1))),"")</f>
        <v>0.912870929175277</v>
      </c>
      <c r="AI554" s="0" t="n">
        <f aca="false">MATCH(MAX($K554:$O554),$K554:$O554,0)</f>
        <v>1</v>
      </c>
      <c r="AJ554" s="0" t="n">
        <f aca="false">IF(AI554&lt;&gt;$E554,1,0)</f>
        <v>1</v>
      </c>
      <c r="AK554" s="0" t="n">
        <f aca="false">IF(AJ554=1,INDEX($F554:$J554,AI554)/MAX($P554:$S554),"")</f>
        <v>1</v>
      </c>
      <c r="AL554" s="0" t="n">
        <f aca="false">IF(AJ554=1,1+COUNTIF($P554:$S554,"&gt;"&amp;INDEX($F554:$J554,AI554)),"")</f>
        <v>1</v>
      </c>
      <c r="AM554" s="0" t="n">
        <f aca="false">AVERAGE($P554:$S554)/MAX($P554:$S554)</f>
        <v>0.637440758293839</v>
      </c>
      <c r="AN554" s="0" t="n">
        <f aca="false">100-INDEX($F554:$J554,$E554)</f>
        <v>53.7</v>
      </c>
    </row>
    <row r="555" customFormat="false" ht="15" hidden="false" customHeight="false" outlineLevel="0" collapsed="false">
      <c r="A555" s="0" t="s">
        <v>61</v>
      </c>
      <c r="B555" s="0" t="n">
        <v>2024</v>
      </c>
      <c r="C555" s="0" t="s">
        <v>48</v>
      </c>
      <c r="D555" s="0" t="s">
        <v>44</v>
      </c>
      <c r="E555" s="0" t="n">
        <v>1</v>
      </c>
      <c r="F555" s="0" t="n">
        <v>40.9</v>
      </c>
      <c r="G555" s="0" t="n">
        <v>19.8</v>
      </c>
      <c r="H555" s="0" t="n">
        <v>13.8</v>
      </c>
      <c r="I555" s="0" t="n">
        <v>14.5</v>
      </c>
      <c r="J555" s="0" t="n">
        <v>11.1</v>
      </c>
      <c r="K555" s="0" t="n">
        <v>36.4891284764</v>
      </c>
      <c r="L555" s="0" t="n">
        <v>20.237999567</v>
      </c>
      <c r="M555" s="0" t="n">
        <v>6.89760153271</v>
      </c>
      <c r="N555" s="0" t="n">
        <v>33.562884092</v>
      </c>
      <c r="O555" s="0" t="n">
        <v>2.81238633199</v>
      </c>
      <c r="P555" s="0" t="n">
        <f aca="false">INDEX($F555:$J555,IF(1&lt;$E555,1,1+1))</f>
        <v>19.8</v>
      </c>
      <c r="Q555" s="0" t="n">
        <f aca="false">INDEX($F555:$J555,IF(2&lt;$E555,2,2+1))</f>
        <v>13.8</v>
      </c>
      <c r="R555" s="0" t="n">
        <f aca="false">INDEX($F555:$J555,IF(3&lt;$E555,3,3+1))</f>
        <v>14.5</v>
      </c>
      <c r="S555" s="0" t="n">
        <f aca="false">INDEX($F555:$J555,IF(4&lt;$E555,4,4+1))</f>
        <v>11.1</v>
      </c>
      <c r="T555" s="0" t="n">
        <f aca="false">INDEX($K555:$O555,IF(1&lt;$E555,1,1+1))</f>
        <v>20.237999567</v>
      </c>
      <c r="U555" s="0" t="n">
        <f aca="false">INDEX($K555:$O555,IF(2&lt;$E555,2,2+1))</f>
        <v>6.89760153271</v>
      </c>
      <c r="V555" s="0" t="n">
        <f aca="false">INDEX($K555:$O555,IF(3&lt;$E555,3,3+1))</f>
        <v>33.562884092</v>
      </c>
      <c r="W555" s="0" t="n">
        <f aca="false">INDEX($K555:$O555,IF(4&lt;$E555,4,4+1))</f>
        <v>2.81238633199</v>
      </c>
      <c r="X555" s="0" t="n">
        <f aca="false">1+COUNTIF($P555:$S555,"&gt;"&amp;$P555)+(COUNTIF($P555:$S555,$P555)-1)/2</f>
        <v>1</v>
      </c>
      <c r="Y555" s="0" t="n">
        <f aca="false">1+COUNTIF($P555:$S555,"&gt;"&amp;$Q555)+(COUNTIF($P555:$S555,$Q555)-1)/2</f>
        <v>3</v>
      </c>
      <c r="Z555" s="0" t="n">
        <f aca="false">1+COUNTIF($P555:$S555,"&gt;"&amp;$R555)+(COUNTIF($P555:$S555,$R555)-1)/2</f>
        <v>2</v>
      </c>
      <c r="AA555" s="0" t="n">
        <f aca="false">1+COUNTIF($P555:$S555,"&gt;"&amp;$S555)+(COUNTIF($P555:$S555,$S555)-1)/2</f>
        <v>4</v>
      </c>
      <c r="AB555" s="0" t="n">
        <f aca="false">1+COUNTIF($T555:$W555,"&gt;"&amp;$T555)+(COUNTIF($T555:$W555,$T555)-1)/2</f>
        <v>2</v>
      </c>
      <c r="AC555" s="0" t="n">
        <f aca="false">1+COUNTIF($T555:$W555,"&gt;"&amp;$U555)+(COUNTIF($T555:$W555,$U555)-1)/2</f>
        <v>3</v>
      </c>
      <c r="AD555" s="0" t="n">
        <f aca="false">1+COUNTIF($T555:$W555,"&gt;"&amp;$V555)+(COUNTIF($T555:$W555,$V555)-1)/2</f>
        <v>1</v>
      </c>
      <c r="AE555" s="0" t="n">
        <f aca="false">1+COUNTIF($T555:$W555,"&gt;"&amp;$W555)+(COUNTIF($T555:$W555,$W555)-1)/2</f>
        <v>4</v>
      </c>
      <c r="AF555" s="0" t="n">
        <f aca="false">IFERROR(CORREL($P555:$S555,$T555:$W555),"")</f>
        <v>0.484672318053391</v>
      </c>
      <c r="AG555" s="0" t="n">
        <f aca="false">IFERROR(CORREL($X555:$AA555,$AB555:$AE555),"")</f>
        <v>0.8</v>
      </c>
      <c r="AH555" s="0" t="n">
        <f aca="false">IFERROR((SIGN($P555-$Q555)*SIGN($T555-$U555)+SIGN($P555-$R555)*SIGN($T555-$V555)+SIGN($P555-$S555)*SIGN($T555-$W555)+SIGN($Q555-$R555)*SIGN($U555-$V555)+SIGN($Q555-$S555)*SIGN($U555-$W555)+SIGN($R555-$S555)*SIGN($V555-$W555))/SQRT((6-(($P555=$Q555)*1+($P555=$R555)*1+($P555=$S555)*1+($Q555=$R555)*1+($Q555=$S555)*1+($R555=$S555)*1))*(6-(($T555=$U555)*1+($T555=$V555)*1+($T555=$W555)*1+($U555=$V555)*1+($U555=$W555)*1+($V555=$W555)*1))),"")</f>
        <v>0.666666666666667</v>
      </c>
      <c r="AI555" s="0" t="n">
        <f aca="false">MATCH(MAX($K555:$O555),$K555:$O555,0)</f>
        <v>1</v>
      </c>
      <c r="AJ555" s="0" t="n">
        <f aca="false">IF(AI555&lt;&gt;$E555,1,0)</f>
        <v>0</v>
      </c>
      <c r="AK555" s="0" t="str">
        <f aca="false">IF(AJ555=1,INDEX($F555:$J555,AI555)/MAX($P555:$S555),"")</f>
        <v/>
      </c>
      <c r="AL555" s="0" t="str">
        <f aca="false">IF(AJ555=1,1+COUNTIF($P555:$S555,"&gt;"&amp;INDEX($F555:$J555,AI555)),"")</f>
        <v/>
      </c>
      <c r="AM555" s="0" t="n">
        <f aca="false">AVERAGE($P555:$S555)/MAX($P555:$S555)</f>
        <v>0.747474747474748</v>
      </c>
      <c r="AN555" s="0" t="n">
        <f aca="false">100-INDEX($F555:$J555,$E555)</f>
        <v>59.1</v>
      </c>
    </row>
    <row r="556" customFormat="false" ht="15" hidden="false" customHeight="false" outlineLevel="0" collapsed="false">
      <c r="A556" s="0" t="s">
        <v>61</v>
      </c>
      <c r="B556" s="0" t="n">
        <v>2024</v>
      </c>
      <c r="C556" s="0" t="s">
        <v>48</v>
      </c>
      <c r="D556" s="0" t="s">
        <v>45</v>
      </c>
      <c r="E556" s="0" t="n">
        <v>2</v>
      </c>
      <c r="F556" s="0" t="n">
        <v>16.7</v>
      </c>
      <c r="G556" s="0" t="n">
        <v>32</v>
      </c>
      <c r="H556" s="0" t="n">
        <v>14.4</v>
      </c>
      <c r="I556" s="0" t="n">
        <v>26.6</v>
      </c>
      <c r="J556" s="0" t="n">
        <v>10.3</v>
      </c>
      <c r="K556" s="0" t="n">
        <v>10.9019314395</v>
      </c>
      <c r="L556" s="0" t="n">
        <v>42.9299279818</v>
      </c>
      <c r="M556" s="0" t="n">
        <v>7.21056269065</v>
      </c>
      <c r="N556" s="0" t="n">
        <v>21.9463915928</v>
      </c>
      <c r="O556" s="0" t="n">
        <v>17.0111862952</v>
      </c>
      <c r="P556" s="0" t="n">
        <f aca="false">INDEX($F556:$J556,IF(1&lt;$E556,1,1+1))</f>
        <v>16.7</v>
      </c>
      <c r="Q556" s="0" t="n">
        <f aca="false">INDEX($F556:$J556,IF(2&lt;$E556,2,2+1))</f>
        <v>14.4</v>
      </c>
      <c r="R556" s="0" t="n">
        <f aca="false">INDEX($F556:$J556,IF(3&lt;$E556,3,3+1))</f>
        <v>26.6</v>
      </c>
      <c r="S556" s="0" t="n">
        <f aca="false">INDEX($F556:$J556,IF(4&lt;$E556,4,4+1))</f>
        <v>10.3</v>
      </c>
      <c r="T556" s="0" t="n">
        <f aca="false">INDEX($K556:$O556,IF(1&lt;$E556,1,1+1))</f>
        <v>10.9019314395</v>
      </c>
      <c r="U556" s="0" t="n">
        <f aca="false">INDEX($K556:$O556,IF(2&lt;$E556,2,2+1))</f>
        <v>7.21056269065</v>
      </c>
      <c r="V556" s="0" t="n">
        <f aca="false">INDEX($K556:$O556,IF(3&lt;$E556,3,3+1))</f>
        <v>21.9463915928</v>
      </c>
      <c r="W556" s="0" t="n">
        <f aca="false">INDEX($K556:$O556,IF(4&lt;$E556,4,4+1))</f>
        <v>17.0111862952</v>
      </c>
      <c r="X556" s="0" t="n">
        <f aca="false">1+COUNTIF($P556:$S556,"&gt;"&amp;$P556)+(COUNTIF($P556:$S556,$P556)-1)/2</f>
        <v>2</v>
      </c>
      <c r="Y556" s="0" t="n">
        <f aca="false">1+COUNTIF($P556:$S556,"&gt;"&amp;$Q556)+(COUNTIF($P556:$S556,$Q556)-1)/2</f>
        <v>3</v>
      </c>
      <c r="Z556" s="0" t="n">
        <f aca="false">1+COUNTIF($P556:$S556,"&gt;"&amp;$R556)+(COUNTIF($P556:$S556,$R556)-1)/2</f>
        <v>1</v>
      </c>
      <c r="AA556" s="0" t="n">
        <f aca="false">1+COUNTIF($P556:$S556,"&gt;"&amp;$S556)+(COUNTIF($P556:$S556,$S556)-1)/2</f>
        <v>4</v>
      </c>
      <c r="AB556" s="0" t="n">
        <f aca="false">1+COUNTIF($T556:$W556,"&gt;"&amp;$T556)+(COUNTIF($T556:$W556,$T556)-1)/2</f>
        <v>3</v>
      </c>
      <c r="AC556" s="0" t="n">
        <f aca="false">1+COUNTIF($T556:$W556,"&gt;"&amp;$U556)+(COUNTIF($T556:$W556,$U556)-1)/2</f>
        <v>4</v>
      </c>
      <c r="AD556" s="0" t="n">
        <f aca="false">1+COUNTIF($T556:$W556,"&gt;"&amp;$V556)+(COUNTIF($T556:$W556,$V556)-1)/2</f>
        <v>1</v>
      </c>
      <c r="AE556" s="0" t="n">
        <f aca="false">1+COUNTIF($T556:$W556,"&gt;"&amp;$W556)+(COUNTIF($T556:$W556,$W556)-1)/2</f>
        <v>2</v>
      </c>
      <c r="AF556" s="0" t="n">
        <f aca="false">IFERROR(CORREL($P556:$S556,$T556:$W556),"")</f>
        <v>0.551169825017258</v>
      </c>
      <c r="AG556" s="0" t="n">
        <f aca="false">IFERROR(CORREL($X556:$AA556,$AB556:$AE556),"")</f>
        <v>0.4</v>
      </c>
      <c r="AH556" s="0" t="n">
        <f aca="false">IFERROR((SIGN($P556-$Q556)*SIGN($T556-$U556)+SIGN($P556-$R556)*SIGN($T556-$V556)+SIGN($P556-$S556)*SIGN($T556-$W556)+SIGN($Q556-$R556)*SIGN($U556-$V556)+SIGN($Q556-$S556)*SIGN($U556-$W556)+SIGN($R556-$S556)*SIGN($V556-$W556))/SQRT((6-(($P556=$Q556)*1+($P556=$R556)*1+($P556=$S556)*1+($Q556=$R556)*1+($Q556=$S556)*1+($R556=$S556)*1))*(6-(($T556=$U556)*1+($T556=$V556)*1+($T556=$W556)*1+($U556=$V556)*1+($U556=$W556)*1+($V556=$W556)*1))),"")</f>
        <v>0.333333333333333</v>
      </c>
      <c r="AI556" s="0" t="n">
        <f aca="false">MATCH(MAX($K556:$O556),$K556:$O556,0)</f>
        <v>2</v>
      </c>
      <c r="AJ556" s="0" t="n">
        <f aca="false">IF(AI556&lt;&gt;$E556,1,0)</f>
        <v>0</v>
      </c>
      <c r="AK556" s="0" t="str">
        <f aca="false">IF(AJ556=1,INDEX($F556:$J556,AI556)/MAX($P556:$S556),"")</f>
        <v/>
      </c>
      <c r="AL556" s="0" t="str">
        <f aca="false">IF(AJ556=1,1+COUNTIF($P556:$S556,"&gt;"&amp;INDEX($F556:$J556,AI556)),"")</f>
        <v/>
      </c>
      <c r="AM556" s="0" t="n">
        <f aca="false">AVERAGE($P556:$S556)/MAX($P556:$S556)</f>
        <v>0.639097744360902</v>
      </c>
      <c r="AN556" s="0" t="n">
        <f aca="false">100-INDEX($F556:$J556,$E556)</f>
        <v>68</v>
      </c>
    </row>
    <row r="557" customFormat="false" ht="15" hidden="false" customHeight="false" outlineLevel="0" collapsed="false">
      <c r="A557" s="0" t="s">
        <v>61</v>
      </c>
      <c r="B557" s="0" t="n">
        <v>2024</v>
      </c>
      <c r="C557" s="0" t="s">
        <v>49</v>
      </c>
      <c r="D557" s="0" t="s">
        <v>42</v>
      </c>
      <c r="E557" s="0" t="n">
        <v>2</v>
      </c>
      <c r="F557" s="0" t="n">
        <v>12.5</v>
      </c>
      <c r="G557" s="0" t="n">
        <v>27.1</v>
      </c>
      <c r="H557" s="0" t="n">
        <v>27.9</v>
      </c>
      <c r="I557" s="0" t="n">
        <v>16.4</v>
      </c>
      <c r="J557" s="0" t="n">
        <v>16</v>
      </c>
      <c r="K557" s="0" t="n">
        <v>0.698382719018</v>
      </c>
      <c r="L557" s="0" t="n">
        <v>97.4837446975</v>
      </c>
      <c r="M557" s="0" t="n">
        <v>0.569311349541</v>
      </c>
      <c r="N557" s="0" t="n">
        <v>0.212154879555</v>
      </c>
      <c r="O557" s="0" t="n">
        <v>1.03640635438</v>
      </c>
      <c r="P557" s="0" t="n">
        <f aca="false">INDEX($F557:$J557,IF(1&lt;$E557,1,1+1))</f>
        <v>12.5</v>
      </c>
      <c r="Q557" s="0" t="n">
        <f aca="false">INDEX($F557:$J557,IF(2&lt;$E557,2,2+1))</f>
        <v>27.9</v>
      </c>
      <c r="R557" s="0" t="n">
        <f aca="false">INDEX($F557:$J557,IF(3&lt;$E557,3,3+1))</f>
        <v>16.4</v>
      </c>
      <c r="S557" s="0" t="n">
        <f aca="false">INDEX($F557:$J557,IF(4&lt;$E557,4,4+1))</f>
        <v>16</v>
      </c>
      <c r="T557" s="0" t="n">
        <f aca="false">INDEX($K557:$O557,IF(1&lt;$E557,1,1+1))</f>
        <v>0.698382719018</v>
      </c>
      <c r="U557" s="0" t="n">
        <f aca="false">INDEX($K557:$O557,IF(2&lt;$E557,2,2+1))</f>
        <v>0.569311349541</v>
      </c>
      <c r="V557" s="0" t="n">
        <f aca="false">INDEX($K557:$O557,IF(3&lt;$E557,3,3+1))</f>
        <v>0.212154879555</v>
      </c>
      <c r="W557" s="0" t="n">
        <f aca="false">INDEX($K557:$O557,IF(4&lt;$E557,4,4+1))</f>
        <v>1.03640635438</v>
      </c>
      <c r="X557" s="0" t="n">
        <f aca="false">1+COUNTIF($P557:$S557,"&gt;"&amp;$P557)+(COUNTIF($P557:$S557,$P557)-1)/2</f>
        <v>4</v>
      </c>
      <c r="Y557" s="0" t="n">
        <f aca="false">1+COUNTIF($P557:$S557,"&gt;"&amp;$Q557)+(COUNTIF($P557:$S557,$Q557)-1)/2</f>
        <v>1</v>
      </c>
      <c r="Z557" s="0" t="n">
        <f aca="false">1+COUNTIF($P557:$S557,"&gt;"&amp;$R557)+(COUNTIF($P557:$S557,$R557)-1)/2</f>
        <v>2</v>
      </c>
      <c r="AA557" s="0" t="n">
        <f aca="false">1+COUNTIF($P557:$S557,"&gt;"&amp;$S557)+(COUNTIF($P557:$S557,$S557)-1)/2</f>
        <v>3</v>
      </c>
      <c r="AB557" s="0" t="n">
        <f aca="false">1+COUNTIF($T557:$W557,"&gt;"&amp;$T557)+(COUNTIF($T557:$W557,$T557)-1)/2</f>
        <v>2</v>
      </c>
      <c r="AC557" s="0" t="n">
        <f aca="false">1+COUNTIF($T557:$W557,"&gt;"&amp;$U557)+(COUNTIF($T557:$W557,$U557)-1)/2</f>
        <v>3</v>
      </c>
      <c r="AD557" s="0" t="n">
        <f aca="false">1+COUNTIF($T557:$W557,"&gt;"&amp;$V557)+(COUNTIF($T557:$W557,$V557)-1)/2</f>
        <v>4</v>
      </c>
      <c r="AE557" s="0" t="n">
        <f aca="false">1+COUNTIF($T557:$W557,"&gt;"&amp;$W557)+(COUNTIF($T557:$W557,$W557)-1)/2</f>
        <v>1</v>
      </c>
      <c r="AF557" s="0" t="n">
        <f aca="false">IFERROR(CORREL($P557:$S557,$T557:$W557),"")</f>
        <v>-0.16364575844842</v>
      </c>
      <c r="AG557" s="0" t="n">
        <f aca="false">IFERROR(CORREL($X557:$AA557,$AB557:$AE557),"")</f>
        <v>-0.6</v>
      </c>
      <c r="AH557" s="0" t="n">
        <f aca="false">IFERROR((SIGN($P557-$Q557)*SIGN($T557-$U557)+SIGN($P557-$R557)*SIGN($T557-$V557)+SIGN($P557-$S557)*SIGN($T557-$W557)+SIGN($Q557-$R557)*SIGN($U557-$V557)+SIGN($Q557-$S557)*SIGN($U557-$W557)+SIGN($R557-$S557)*SIGN($V557-$W557))/SQRT((6-(($P557=$Q557)*1+($P557=$R557)*1+($P557=$S557)*1+($Q557=$R557)*1+($Q557=$S557)*1+($R557=$S557)*1))*(6-(($T557=$U557)*1+($T557=$V557)*1+($T557=$W557)*1+($U557=$V557)*1+($U557=$W557)*1+($V557=$W557)*1))),"")</f>
        <v>-0.333333333333333</v>
      </c>
      <c r="AI557" s="0" t="n">
        <f aca="false">MATCH(MAX($K557:$O557),$K557:$O557,0)</f>
        <v>2</v>
      </c>
      <c r="AJ557" s="0" t="n">
        <f aca="false">IF(AI557&lt;&gt;$E557,1,0)</f>
        <v>0</v>
      </c>
      <c r="AK557" s="0" t="str">
        <f aca="false">IF(AJ557=1,INDEX($F557:$J557,AI557)/MAX($P557:$S557),"")</f>
        <v/>
      </c>
      <c r="AL557" s="0" t="str">
        <f aca="false">IF(AJ557=1,1+COUNTIF($P557:$S557,"&gt;"&amp;INDEX($F557:$J557,AI557)),"")</f>
        <v/>
      </c>
      <c r="AM557" s="0" t="n">
        <f aca="false">AVERAGE($P557:$S557)/MAX($P557:$S557)</f>
        <v>0.652329749103943</v>
      </c>
      <c r="AN557" s="0" t="n">
        <f aca="false">100-INDEX($F557:$J557,$E557)</f>
        <v>72.9</v>
      </c>
    </row>
    <row r="558" customFormat="false" ht="15" hidden="false" customHeight="false" outlineLevel="0" collapsed="false">
      <c r="A558" s="0" t="s">
        <v>61</v>
      </c>
      <c r="B558" s="0" t="n">
        <v>2024</v>
      </c>
      <c r="C558" s="0" t="s">
        <v>49</v>
      </c>
      <c r="D558" s="0" t="s">
        <v>43</v>
      </c>
      <c r="E558" s="0" t="n">
        <v>1</v>
      </c>
      <c r="F558" s="0" t="n">
        <v>41.5</v>
      </c>
      <c r="G558" s="0" t="n">
        <v>19.1</v>
      </c>
      <c r="H558" s="0" t="n">
        <v>12.7</v>
      </c>
      <c r="I558" s="0" t="n">
        <v>15.7</v>
      </c>
      <c r="J558" s="0" t="n">
        <v>11</v>
      </c>
      <c r="K558" s="0" t="n">
        <v>82.4111238003</v>
      </c>
      <c r="L558" s="0" t="n">
        <v>3.46622950142</v>
      </c>
      <c r="M558" s="0" t="n">
        <v>2.37836012301</v>
      </c>
      <c r="N558" s="0" t="n">
        <v>11.1824715244</v>
      </c>
      <c r="O558" s="0" t="n">
        <v>0.561815050866</v>
      </c>
      <c r="P558" s="0" t="n">
        <f aca="false">INDEX($F558:$J558,IF(1&lt;$E558,1,1+1))</f>
        <v>19.1</v>
      </c>
      <c r="Q558" s="0" t="n">
        <f aca="false">INDEX($F558:$J558,IF(2&lt;$E558,2,2+1))</f>
        <v>12.7</v>
      </c>
      <c r="R558" s="0" t="n">
        <f aca="false">INDEX($F558:$J558,IF(3&lt;$E558,3,3+1))</f>
        <v>15.7</v>
      </c>
      <c r="S558" s="0" t="n">
        <f aca="false">INDEX($F558:$J558,IF(4&lt;$E558,4,4+1))</f>
        <v>11</v>
      </c>
      <c r="T558" s="0" t="n">
        <f aca="false">INDEX($K558:$O558,IF(1&lt;$E558,1,1+1))</f>
        <v>3.46622950142</v>
      </c>
      <c r="U558" s="0" t="n">
        <f aca="false">INDEX($K558:$O558,IF(2&lt;$E558,2,2+1))</f>
        <v>2.37836012301</v>
      </c>
      <c r="V558" s="0" t="n">
        <f aca="false">INDEX($K558:$O558,IF(3&lt;$E558,3,3+1))</f>
        <v>11.1824715244</v>
      </c>
      <c r="W558" s="0" t="n">
        <f aca="false">INDEX($K558:$O558,IF(4&lt;$E558,4,4+1))</f>
        <v>0.561815050866</v>
      </c>
      <c r="X558" s="0" t="n">
        <f aca="false">1+COUNTIF($P558:$S558,"&gt;"&amp;$P558)+(COUNTIF($P558:$S558,$P558)-1)/2</f>
        <v>1</v>
      </c>
      <c r="Y558" s="0" t="n">
        <f aca="false">1+COUNTIF($P558:$S558,"&gt;"&amp;$Q558)+(COUNTIF($P558:$S558,$Q558)-1)/2</f>
        <v>3</v>
      </c>
      <c r="Z558" s="0" t="n">
        <f aca="false">1+COUNTIF($P558:$S558,"&gt;"&amp;$R558)+(COUNTIF($P558:$S558,$R558)-1)/2</f>
        <v>2</v>
      </c>
      <c r="AA558" s="0" t="n">
        <f aca="false">1+COUNTIF($P558:$S558,"&gt;"&amp;$S558)+(COUNTIF($P558:$S558,$S558)-1)/2</f>
        <v>4</v>
      </c>
      <c r="AB558" s="0" t="n">
        <f aca="false">1+COUNTIF($T558:$W558,"&gt;"&amp;$T558)+(COUNTIF($T558:$W558,$T558)-1)/2</f>
        <v>2</v>
      </c>
      <c r="AC558" s="0" t="n">
        <f aca="false">1+COUNTIF($T558:$W558,"&gt;"&amp;$U558)+(COUNTIF($T558:$W558,$U558)-1)/2</f>
        <v>3</v>
      </c>
      <c r="AD558" s="0" t="n">
        <f aca="false">1+COUNTIF($T558:$W558,"&gt;"&amp;$V558)+(COUNTIF($T558:$W558,$V558)-1)/2</f>
        <v>1</v>
      </c>
      <c r="AE558" s="0" t="n">
        <f aca="false">1+COUNTIF($T558:$W558,"&gt;"&amp;$W558)+(COUNTIF($T558:$W558,$W558)-1)/2</f>
        <v>4</v>
      </c>
      <c r="AF558" s="0" t="n">
        <f aca="false">IFERROR(CORREL($P558:$S558,$T558:$W558),"")</f>
        <v>0.41850945700936</v>
      </c>
      <c r="AG558" s="0" t="n">
        <f aca="false">IFERROR(CORREL($X558:$AA558,$AB558:$AE558),"")</f>
        <v>0.8</v>
      </c>
      <c r="AH558" s="0" t="n">
        <f aca="false">IFERROR((SIGN($P558-$Q558)*SIGN($T558-$U558)+SIGN($P558-$R558)*SIGN($T558-$V558)+SIGN($P558-$S558)*SIGN($T558-$W558)+SIGN($Q558-$R558)*SIGN($U558-$V558)+SIGN($Q558-$S558)*SIGN($U558-$W558)+SIGN($R558-$S558)*SIGN($V558-$W558))/SQRT((6-(($P558=$Q558)*1+($P558=$R558)*1+($P558=$S558)*1+($Q558=$R558)*1+($Q558=$S558)*1+($R558=$S558)*1))*(6-(($T558=$U558)*1+($T558=$V558)*1+($T558=$W558)*1+($U558=$V558)*1+($U558=$W558)*1+($V558=$W558)*1))),"")</f>
        <v>0.666666666666667</v>
      </c>
      <c r="AI558" s="0" t="n">
        <f aca="false">MATCH(MAX($K558:$O558),$K558:$O558,0)</f>
        <v>1</v>
      </c>
      <c r="AJ558" s="0" t="n">
        <f aca="false">IF(AI558&lt;&gt;$E558,1,0)</f>
        <v>0</v>
      </c>
      <c r="AK558" s="0" t="str">
        <f aca="false">IF(AJ558=1,INDEX($F558:$J558,AI558)/MAX($P558:$S558),"")</f>
        <v/>
      </c>
      <c r="AL558" s="0" t="str">
        <f aca="false">IF(AJ558=1,1+COUNTIF($P558:$S558,"&gt;"&amp;INDEX($F558:$J558,AI558)),"")</f>
        <v/>
      </c>
      <c r="AM558" s="0" t="n">
        <f aca="false">AVERAGE($P558:$S558)/MAX($P558:$S558)</f>
        <v>0.765706806282723</v>
      </c>
      <c r="AN558" s="0" t="n">
        <f aca="false">100-INDEX($F558:$J558,$E558)</f>
        <v>58.5</v>
      </c>
    </row>
    <row r="559" customFormat="false" ht="15" hidden="false" customHeight="false" outlineLevel="0" collapsed="false">
      <c r="A559" s="0" t="s">
        <v>61</v>
      </c>
      <c r="B559" s="0" t="n">
        <v>2024</v>
      </c>
      <c r="C559" s="0" t="s">
        <v>49</v>
      </c>
      <c r="D559" s="0" t="s">
        <v>44</v>
      </c>
      <c r="E559" s="0" t="n">
        <v>1</v>
      </c>
      <c r="F559" s="0" t="n">
        <v>40.5</v>
      </c>
      <c r="G559" s="0" t="n">
        <v>16.2</v>
      </c>
      <c r="H559" s="0" t="n">
        <v>15.8</v>
      </c>
      <c r="I559" s="0" t="n">
        <v>11.1</v>
      </c>
      <c r="J559" s="0" t="n">
        <v>16.4</v>
      </c>
      <c r="K559" s="0" t="n">
        <v>46.8290974881</v>
      </c>
      <c r="L559" s="0" t="n">
        <v>9.38875153499</v>
      </c>
      <c r="M559" s="0" t="n">
        <v>9.296149878</v>
      </c>
      <c r="N559" s="0" t="n">
        <v>3.24143654095</v>
      </c>
      <c r="O559" s="0" t="n">
        <v>31.244564558</v>
      </c>
      <c r="P559" s="0" t="n">
        <f aca="false">INDEX($F559:$J559,IF(1&lt;$E559,1,1+1))</f>
        <v>16.2</v>
      </c>
      <c r="Q559" s="0" t="n">
        <f aca="false">INDEX($F559:$J559,IF(2&lt;$E559,2,2+1))</f>
        <v>15.8</v>
      </c>
      <c r="R559" s="0" t="n">
        <f aca="false">INDEX($F559:$J559,IF(3&lt;$E559,3,3+1))</f>
        <v>11.1</v>
      </c>
      <c r="S559" s="0" t="n">
        <f aca="false">INDEX($F559:$J559,IF(4&lt;$E559,4,4+1))</f>
        <v>16.4</v>
      </c>
      <c r="T559" s="0" t="n">
        <f aca="false">INDEX($K559:$O559,IF(1&lt;$E559,1,1+1))</f>
        <v>9.38875153499</v>
      </c>
      <c r="U559" s="0" t="n">
        <f aca="false">INDEX($K559:$O559,IF(2&lt;$E559,2,2+1))</f>
        <v>9.296149878</v>
      </c>
      <c r="V559" s="0" t="n">
        <f aca="false">INDEX($K559:$O559,IF(3&lt;$E559,3,3+1))</f>
        <v>3.24143654095</v>
      </c>
      <c r="W559" s="0" t="n">
        <f aca="false">INDEX($K559:$O559,IF(4&lt;$E559,4,4+1))</f>
        <v>31.244564558</v>
      </c>
      <c r="X559" s="0" t="n">
        <f aca="false">1+COUNTIF($P559:$S559,"&gt;"&amp;$P559)+(COUNTIF($P559:$S559,$P559)-1)/2</f>
        <v>2</v>
      </c>
      <c r="Y559" s="0" t="n">
        <f aca="false">1+COUNTIF($P559:$S559,"&gt;"&amp;$Q559)+(COUNTIF($P559:$S559,$Q559)-1)/2</f>
        <v>3</v>
      </c>
      <c r="Z559" s="0" t="n">
        <f aca="false">1+COUNTIF($P559:$S559,"&gt;"&amp;$R559)+(COUNTIF($P559:$S559,$R559)-1)/2</f>
        <v>4</v>
      </c>
      <c r="AA559" s="0" t="n">
        <f aca="false">1+COUNTIF($P559:$S559,"&gt;"&amp;$S559)+(COUNTIF($P559:$S559,$S559)-1)/2</f>
        <v>1</v>
      </c>
      <c r="AB559" s="0" t="n">
        <f aca="false">1+COUNTIF($T559:$W559,"&gt;"&amp;$T559)+(COUNTIF($T559:$W559,$T559)-1)/2</f>
        <v>2</v>
      </c>
      <c r="AC559" s="0" t="n">
        <f aca="false">1+COUNTIF($T559:$W559,"&gt;"&amp;$U559)+(COUNTIF($T559:$W559,$U559)-1)/2</f>
        <v>3</v>
      </c>
      <c r="AD559" s="0" t="n">
        <f aca="false">1+COUNTIF($T559:$W559,"&gt;"&amp;$V559)+(COUNTIF($T559:$W559,$V559)-1)/2</f>
        <v>4</v>
      </c>
      <c r="AE559" s="0" t="n">
        <f aca="false">1+COUNTIF($T559:$W559,"&gt;"&amp;$W559)+(COUNTIF($T559:$W559,$W559)-1)/2</f>
        <v>1</v>
      </c>
      <c r="AF559" s="0" t="n">
        <f aca="false">IFERROR(CORREL($P559:$S559,$T559:$W559),"")</f>
        <v>0.604487274345671</v>
      </c>
      <c r="AG559" s="0" t="n">
        <f aca="false">IFERROR(CORREL($X559:$AA559,$AB559:$AE559),"")</f>
        <v>1</v>
      </c>
      <c r="AH559" s="0" t="n">
        <f aca="false">IFERROR((SIGN($P559-$Q559)*SIGN($T559-$U559)+SIGN($P559-$R559)*SIGN($T559-$V559)+SIGN($P559-$S559)*SIGN($T559-$W559)+SIGN($Q559-$R559)*SIGN($U559-$V559)+SIGN($Q559-$S559)*SIGN($U559-$W559)+SIGN($R559-$S559)*SIGN($V559-$W559))/SQRT((6-(($P559=$Q559)*1+($P559=$R559)*1+($P559=$S559)*1+($Q559=$R559)*1+($Q559=$S559)*1+($R559=$S559)*1))*(6-(($T559=$U559)*1+($T559=$V559)*1+($T559=$W559)*1+($U559=$V559)*1+($U559=$W559)*1+($V559=$W559)*1))),"")</f>
        <v>1</v>
      </c>
      <c r="AI559" s="0" t="n">
        <f aca="false">MATCH(MAX($K559:$O559),$K559:$O559,0)</f>
        <v>1</v>
      </c>
      <c r="AJ559" s="0" t="n">
        <f aca="false">IF(AI559&lt;&gt;$E559,1,0)</f>
        <v>0</v>
      </c>
      <c r="AK559" s="0" t="str">
        <f aca="false">IF(AJ559=1,INDEX($F559:$J559,AI559)/MAX($P559:$S559),"")</f>
        <v/>
      </c>
      <c r="AL559" s="0" t="str">
        <f aca="false">IF(AJ559=1,1+COUNTIF($P559:$S559,"&gt;"&amp;INDEX($F559:$J559,AI559)),"")</f>
        <v/>
      </c>
      <c r="AM559" s="0" t="n">
        <f aca="false">AVERAGE($P559:$S559)/MAX($P559:$S559)</f>
        <v>0.907012195121951</v>
      </c>
      <c r="AN559" s="0" t="n">
        <f aca="false">100-INDEX($F559:$J559,$E559)</f>
        <v>59.5</v>
      </c>
    </row>
    <row r="560" customFormat="false" ht="15" hidden="false" customHeight="false" outlineLevel="0" collapsed="false">
      <c r="A560" s="0" t="s">
        <v>61</v>
      </c>
      <c r="B560" s="0" t="n">
        <v>2024</v>
      </c>
      <c r="C560" s="0" t="s">
        <v>49</v>
      </c>
      <c r="D560" s="0" t="s">
        <v>45</v>
      </c>
      <c r="E560" s="0" t="n">
        <v>4</v>
      </c>
      <c r="F560" s="0" t="n">
        <v>22.4</v>
      </c>
      <c r="G560" s="0" t="n">
        <v>14.2</v>
      </c>
      <c r="H560" s="0" t="n">
        <v>18.6</v>
      </c>
      <c r="I560" s="0" t="n">
        <v>31.7</v>
      </c>
      <c r="J560" s="0" t="n">
        <v>13</v>
      </c>
      <c r="K560" s="0" t="n">
        <v>33.7436733106</v>
      </c>
      <c r="L560" s="0" t="n">
        <v>12.7643231009</v>
      </c>
      <c r="M560" s="0" t="n">
        <v>14.5137168818</v>
      </c>
      <c r="N560" s="0" t="n">
        <v>32.100973131</v>
      </c>
      <c r="O560" s="0" t="n">
        <v>6.87731357575</v>
      </c>
      <c r="P560" s="0" t="n">
        <f aca="false">INDEX($F560:$J560,IF(1&lt;$E560,1,1+1))</f>
        <v>22.4</v>
      </c>
      <c r="Q560" s="0" t="n">
        <f aca="false">INDEX($F560:$J560,IF(2&lt;$E560,2,2+1))</f>
        <v>14.2</v>
      </c>
      <c r="R560" s="0" t="n">
        <f aca="false">INDEX($F560:$J560,IF(3&lt;$E560,3,3+1))</f>
        <v>18.6</v>
      </c>
      <c r="S560" s="0" t="n">
        <f aca="false">INDEX($F560:$J560,IF(4&lt;$E560,4,4+1))</f>
        <v>13</v>
      </c>
      <c r="T560" s="0" t="n">
        <f aca="false">INDEX($K560:$O560,IF(1&lt;$E560,1,1+1))</f>
        <v>33.7436733106</v>
      </c>
      <c r="U560" s="0" t="n">
        <f aca="false">INDEX($K560:$O560,IF(2&lt;$E560,2,2+1))</f>
        <v>12.7643231009</v>
      </c>
      <c r="V560" s="0" t="n">
        <f aca="false">INDEX($K560:$O560,IF(3&lt;$E560,3,3+1))</f>
        <v>14.5137168818</v>
      </c>
      <c r="W560" s="0" t="n">
        <f aca="false">INDEX($K560:$O560,IF(4&lt;$E560,4,4+1))</f>
        <v>6.87731357575</v>
      </c>
      <c r="X560" s="0" t="n">
        <f aca="false">1+COUNTIF($P560:$S560,"&gt;"&amp;$P560)+(COUNTIF($P560:$S560,$P560)-1)/2</f>
        <v>1</v>
      </c>
      <c r="Y560" s="0" t="n">
        <f aca="false">1+COUNTIF($P560:$S560,"&gt;"&amp;$Q560)+(COUNTIF($P560:$S560,$Q560)-1)/2</f>
        <v>3</v>
      </c>
      <c r="Z560" s="0" t="n">
        <f aca="false">1+COUNTIF($P560:$S560,"&gt;"&amp;$R560)+(COUNTIF($P560:$S560,$R560)-1)/2</f>
        <v>2</v>
      </c>
      <c r="AA560" s="0" t="n">
        <f aca="false">1+COUNTIF($P560:$S560,"&gt;"&amp;$S560)+(COUNTIF($P560:$S560,$S560)-1)/2</f>
        <v>4</v>
      </c>
      <c r="AB560" s="0" t="n">
        <f aca="false">1+COUNTIF($T560:$W560,"&gt;"&amp;$T560)+(COUNTIF($T560:$W560,$T560)-1)/2</f>
        <v>1</v>
      </c>
      <c r="AC560" s="0" t="n">
        <f aca="false">1+COUNTIF($T560:$W560,"&gt;"&amp;$U560)+(COUNTIF($T560:$W560,$U560)-1)/2</f>
        <v>3</v>
      </c>
      <c r="AD560" s="0" t="n">
        <f aca="false">1+COUNTIF($T560:$W560,"&gt;"&amp;$V560)+(COUNTIF($T560:$W560,$V560)-1)/2</f>
        <v>2</v>
      </c>
      <c r="AE560" s="0" t="n">
        <f aca="false">1+COUNTIF($T560:$W560,"&gt;"&amp;$W560)+(COUNTIF($T560:$W560,$W560)-1)/2</f>
        <v>4</v>
      </c>
      <c r="AF560" s="0" t="n">
        <f aca="false">IFERROR(CORREL($P560:$S560,$T560:$W560),"")</f>
        <v>0.92312847022462</v>
      </c>
      <c r="AG560" s="0" t="n">
        <f aca="false">IFERROR(CORREL($X560:$AA560,$AB560:$AE560),"")</f>
        <v>1</v>
      </c>
      <c r="AH560" s="0" t="n">
        <f aca="false">IFERROR((SIGN($P560-$Q560)*SIGN($T560-$U560)+SIGN($P560-$R560)*SIGN($T560-$V560)+SIGN($P560-$S560)*SIGN($T560-$W560)+SIGN($Q560-$R560)*SIGN($U560-$V560)+SIGN($Q560-$S560)*SIGN($U560-$W560)+SIGN($R560-$S560)*SIGN($V560-$W560))/SQRT((6-(($P560=$Q560)*1+($P560=$R560)*1+($P560=$S560)*1+($Q560=$R560)*1+($Q560=$S560)*1+($R560=$S560)*1))*(6-(($T560=$U560)*1+($T560=$V560)*1+($T560=$W560)*1+($U560=$V560)*1+($U560=$W560)*1+($V560=$W560)*1))),"")</f>
        <v>1</v>
      </c>
      <c r="AI560" s="0" t="n">
        <f aca="false">MATCH(MAX($K560:$O560),$K560:$O560,0)</f>
        <v>1</v>
      </c>
      <c r="AJ560" s="0" t="n">
        <f aca="false">IF(AI560&lt;&gt;$E560,1,0)</f>
        <v>1</v>
      </c>
      <c r="AK560" s="0" t="n">
        <f aca="false">IF(AJ560=1,INDEX($F560:$J560,AI560)/MAX($P560:$S560),"")</f>
        <v>1</v>
      </c>
      <c r="AL560" s="0" t="n">
        <f aca="false">IF(AJ560=1,1+COUNTIF($P560:$S560,"&gt;"&amp;INDEX($F560:$J560,AI560)),"")</f>
        <v>1</v>
      </c>
      <c r="AM560" s="0" t="n">
        <f aca="false">AVERAGE($P560:$S560)/MAX($P560:$S560)</f>
        <v>0.761160714285714</v>
      </c>
      <c r="AN560" s="0" t="n">
        <f aca="false">100-INDEX($F560:$J560,$E560)</f>
        <v>68.3</v>
      </c>
    </row>
    <row r="561" customFormat="false" ht="15" hidden="false" customHeight="false" outlineLevel="0" collapsed="false">
      <c r="A561" s="0" t="s">
        <v>61</v>
      </c>
      <c r="B561" s="0" t="n">
        <v>2024</v>
      </c>
      <c r="C561" s="0" t="s">
        <v>51</v>
      </c>
      <c r="D561" s="0" t="s">
        <v>42</v>
      </c>
      <c r="E561" s="0" t="n">
        <v>2</v>
      </c>
      <c r="F561" s="0" t="n">
        <v>12.3</v>
      </c>
      <c r="G561" s="0" t="n">
        <v>45.2</v>
      </c>
      <c r="H561" s="0" t="n">
        <v>16.6</v>
      </c>
      <c r="I561" s="0" t="n">
        <v>17.6</v>
      </c>
      <c r="J561" s="0" t="n">
        <v>8.3</v>
      </c>
      <c r="K561" s="0" t="n">
        <v>84.2047613678</v>
      </c>
      <c r="L561" s="0" t="n">
        <v>15.0984642562</v>
      </c>
      <c r="M561" s="0" t="n">
        <v>0.136799030206</v>
      </c>
      <c r="N561" s="0" t="n">
        <v>0.470846890728</v>
      </c>
      <c r="O561" s="0" t="n">
        <v>0.0891284549967</v>
      </c>
      <c r="P561" s="0" t="n">
        <f aca="false">INDEX($F561:$J561,IF(1&lt;$E561,1,1+1))</f>
        <v>12.3</v>
      </c>
      <c r="Q561" s="0" t="n">
        <f aca="false">INDEX($F561:$J561,IF(2&lt;$E561,2,2+1))</f>
        <v>16.6</v>
      </c>
      <c r="R561" s="0" t="n">
        <f aca="false">INDEX($F561:$J561,IF(3&lt;$E561,3,3+1))</f>
        <v>17.6</v>
      </c>
      <c r="S561" s="0" t="n">
        <f aca="false">INDEX($F561:$J561,IF(4&lt;$E561,4,4+1))</f>
        <v>8.3</v>
      </c>
      <c r="T561" s="0" t="n">
        <f aca="false">INDEX($K561:$O561,IF(1&lt;$E561,1,1+1))</f>
        <v>84.2047613678</v>
      </c>
      <c r="U561" s="0" t="n">
        <f aca="false">INDEX($K561:$O561,IF(2&lt;$E561,2,2+1))</f>
        <v>0.136799030206</v>
      </c>
      <c r="V561" s="0" t="n">
        <f aca="false">INDEX($K561:$O561,IF(3&lt;$E561,3,3+1))</f>
        <v>0.470846890728</v>
      </c>
      <c r="W561" s="0" t="n">
        <f aca="false">INDEX($K561:$O561,IF(4&lt;$E561,4,4+1))</f>
        <v>0.0891284549967</v>
      </c>
      <c r="X561" s="0" t="n">
        <f aca="false">1+COUNTIF($P561:$S561,"&gt;"&amp;$P561)+(COUNTIF($P561:$S561,$P561)-1)/2</f>
        <v>3</v>
      </c>
      <c r="Y561" s="0" t="n">
        <f aca="false">1+COUNTIF($P561:$S561,"&gt;"&amp;$Q561)+(COUNTIF($P561:$S561,$Q561)-1)/2</f>
        <v>2</v>
      </c>
      <c r="Z561" s="0" t="n">
        <f aca="false">1+COUNTIF($P561:$S561,"&gt;"&amp;$R561)+(COUNTIF($P561:$S561,$R561)-1)/2</f>
        <v>1</v>
      </c>
      <c r="AA561" s="0" t="n">
        <f aca="false">1+COUNTIF($P561:$S561,"&gt;"&amp;$S561)+(COUNTIF($P561:$S561,$S561)-1)/2</f>
        <v>4</v>
      </c>
      <c r="AB561" s="0" t="n">
        <f aca="false">1+COUNTIF($T561:$W561,"&gt;"&amp;$T561)+(COUNTIF($T561:$W561,$T561)-1)/2</f>
        <v>1</v>
      </c>
      <c r="AC561" s="0" t="n">
        <f aca="false">1+COUNTIF($T561:$W561,"&gt;"&amp;$U561)+(COUNTIF($T561:$W561,$U561)-1)/2</f>
        <v>3</v>
      </c>
      <c r="AD561" s="0" t="n">
        <f aca="false">1+COUNTIF($T561:$W561,"&gt;"&amp;$V561)+(COUNTIF($T561:$W561,$V561)-1)/2</f>
        <v>2</v>
      </c>
      <c r="AE561" s="0" t="n">
        <f aca="false">1+COUNTIF($T561:$W561,"&gt;"&amp;$W561)+(COUNTIF($T561:$W561,$W561)-1)/2</f>
        <v>4</v>
      </c>
      <c r="AF561" s="0" t="n">
        <f aca="false">IFERROR(CORREL($P561:$S561,$T561:$W561),"")</f>
        <v>-0.215843620643422</v>
      </c>
      <c r="AG561" s="0" t="n">
        <f aca="false">IFERROR(CORREL($X561:$AA561,$AB561:$AE561),"")</f>
        <v>0.4</v>
      </c>
      <c r="AH561" s="0" t="n">
        <f aca="false">IFERROR((SIGN($P561-$Q561)*SIGN($T561-$U561)+SIGN($P561-$R561)*SIGN($T561-$V561)+SIGN($P561-$S561)*SIGN($T561-$W561)+SIGN($Q561-$R561)*SIGN($U561-$V561)+SIGN($Q561-$S561)*SIGN($U561-$W561)+SIGN($R561-$S561)*SIGN($V561-$W561))/SQRT((6-(($P561=$Q561)*1+($P561=$R561)*1+($P561=$S561)*1+($Q561=$R561)*1+($Q561=$S561)*1+($R561=$S561)*1))*(6-(($T561=$U561)*1+($T561=$V561)*1+($T561=$W561)*1+($U561=$V561)*1+($U561=$W561)*1+($V561=$W561)*1))),"")</f>
        <v>0.333333333333333</v>
      </c>
      <c r="AI561" s="0" t="n">
        <f aca="false">MATCH(MAX($K561:$O561),$K561:$O561,0)</f>
        <v>1</v>
      </c>
      <c r="AJ561" s="0" t="n">
        <f aca="false">IF(AI561&lt;&gt;$E561,1,0)</f>
        <v>1</v>
      </c>
      <c r="AK561" s="0" t="n">
        <f aca="false">IF(AJ561=1,INDEX($F561:$J561,AI561)/MAX($P561:$S561),"")</f>
        <v>0.698863636363636</v>
      </c>
      <c r="AL561" s="0" t="n">
        <f aca="false">IF(AJ561=1,1+COUNTIF($P561:$S561,"&gt;"&amp;INDEX($F561:$J561,AI561)),"")</f>
        <v>3</v>
      </c>
      <c r="AM561" s="0" t="n">
        <f aca="false">AVERAGE($P561:$S561)/MAX($P561:$S561)</f>
        <v>0.778409090909091</v>
      </c>
      <c r="AN561" s="0" t="n">
        <f aca="false">100-INDEX($F561:$J561,$E561)</f>
        <v>54.8</v>
      </c>
    </row>
    <row r="562" customFormat="false" ht="15" hidden="false" customHeight="false" outlineLevel="0" collapsed="false">
      <c r="A562" s="0" t="s">
        <v>61</v>
      </c>
      <c r="B562" s="0" t="n">
        <v>2024</v>
      </c>
      <c r="C562" s="0" t="s">
        <v>51</v>
      </c>
      <c r="D562" s="0" t="s">
        <v>43</v>
      </c>
      <c r="E562" s="0" t="n">
        <v>2</v>
      </c>
      <c r="F562" s="0" t="n">
        <v>13</v>
      </c>
      <c r="G562" s="0" t="n">
        <v>53.4</v>
      </c>
      <c r="H562" s="0" t="n">
        <v>7.9</v>
      </c>
      <c r="I562" s="0" t="n">
        <v>15.1</v>
      </c>
      <c r="J562" s="0" t="n">
        <v>10.5</v>
      </c>
      <c r="K562" s="0" t="n">
        <v>21.3868245783</v>
      </c>
      <c r="L562" s="0" t="n">
        <v>29.2395740201</v>
      </c>
      <c r="M562" s="0" t="n">
        <v>3.5591935478</v>
      </c>
      <c r="N562" s="0" t="n">
        <v>4.88260269455</v>
      </c>
      <c r="O562" s="0" t="n">
        <v>40.9318051593</v>
      </c>
      <c r="P562" s="0" t="n">
        <f aca="false">INDEX($F562:$J562,IF(1&lt;$E562,1,1+1))</f>
        <v>13</v>
      </c>
      <c r="Q562" s="0" t="n">
        <f aca="false">INDEX($F562:$J562,IF(2&lt;$E562,2,2+1))</f>
        <v>7.9</v>
      </c>
      <c r="R562" s="0" t="n">
        <f aca="false">INDEX($F562:$J562,IF(3&lt;$E562,3,3+1))</f>
        <v>15.1</v>
      </c>
      <c r="S562" s="0" t="n">
        <f aca="false">INDEX($F562:$J562,IF(4&lt;$E562,4,4+1))</f>
        <v>10.5</v>
      </c>
      <c r="T562" s="0" t="n">
        <f aca="false">INDEX($K562:$O562,IF(1&lt;$E562,1,1+1))</f>
        <v>21.3868245783</v>
      </c>
      <c r="U562" s="0" t="n">
        <f aca="false">INDEX($K562:$O562,IF(2&lt;$E562,2,2+1))</f>
        <v>3.5591935478</v>
      </c>
      <c r="V562" s="0" t="n">
        <f aca="false">INDEX($K562:$O562,IF(3&lt;$E562,3,3+1))</f>
        <v>4.88260269455</v>
      </c>
      <c r="W562" s="0" t="n">
        <f aca="false">INDEX($K562:$O562,IF(4&lt;$E562,4,4+1))</f>
        <v>40.9318051593</v>
      </c>
      <c r="X562" s="0" t="n">
        <f aca="false">1+COUNTIF($P562:$S562,"&gt;"&amp;$P562)+(COUNTIF($P562:$S562,$P562)-1)/2</f>
        <v>2</v>
      </c>
      <c r="Y562" s="0" t="n">
        <f aca="false">1+COUNTIF($P562:$S562,"&gt;"&amp;$Q562)+(COUNTIF($P562:$S562,$Q562)-1)/2</f>
        <v>4</v>
      </c>
      <c r="Z562" s="0" t="n">
        <f aca="false">1+COUNTIF($P562:$S562,"&gt;"&amp;$R562)+(COUNTIF($P562:$S562,$R562)-1)/2</f>
        <v>1</v>
      </c>
      <c r="AA562" s="0" t="n">
        <f aca="false">1+COUNTIF($P562:$S562,"&gt;"&amp;$S562)+(COUNTIF($P562:$S562,$S562)-1)/2</f>
        <v>3</v>
      </c>
      <c r="AB562" s="0" t="n">
        <f aca="false">1+COUNTIF($T562:$W562,"&gt;"&amp;$T562)+(COUNTIF($T562:$W562,$T562)-1)/2</f>
        <v>2</v>
      </c>
      <c r="AC562" s="0" t="n">
        <f aca="false">1+COUNTIF($T562:$W562,"&gt;"&amp;$U562)+(COUNTIF($T562:$W562,$U562)-1)/2</f>
        <v>4</v>
      </c>
      <c r="AD562" s="0" t="n">
        <f aca="false">1+COUNTIF($T562:$W562,"&gt;"&amp;$V562)+(COUNTIF($T562:$W562,$V562)-1)/2</f>
        <v>3</v>
      </c>
      <c r="AE562" s="0" t="n">
        <f aca="false">1+COUNTIF($T562:$W562,"&gt;"&amp;$W562)+(COUNTIF($T562:$W562,$W562)-1)/2</f>
        <v>1</v>
      </c>
      <c r="AF562" s="0" t="n">
        <f aca="false">IFERROR(CORREL($P562:$S562,$T562:$W562),"")</f>
        <v>-0.0791331386758567</v>
      </c>
      <c r="AG562" s="0" t="n">
        <f aca="false">IFERROR(CORREL($X562:$AA562,$AB562:$AE562),"")</f>
        <v>0.2</v>
      </c>
      <c r="AH562" s="0" t="n">
        <f aca="false">IFERROR((SIGN($P562-$Q562)*SIGN($T562-$U562)+SIGN($P562-$R562)*SIGN($T562-$V562)+SIGN($P562-$S562)*SIGN($T562-$W562)+SIGN($Q562-$R562)*SIGN($U562-$V562)+SIGN($Q562-$S562)*SIGN($U562-$W562)+SIGN($R562-$S562)*SIGN($V562-$W562))/SQRT((6-(($P562=$Q562)*1+($P562=$R562)*1+($P562=$S562)*1+($Q562=$R562)*1+($Q562=$S562)*1+($R562=$S562)*1))*(6-(($T562=$U562)*1+($T562=$V562)*1+($T562=$W562)*1+($U562=$V562)*1+($U562=$W562)*1+($V562=$W562)*1))),"")</f>
        <v>0</v>
      </c>
      <c r="AI562" s="0" t="n">
        <f aca="false">MATCH(MAX($K562:$O562),$K562:$O562,0)</f>
        <v>5</v>
      </c>
      <c r="AJ562" s="0" t="n">
        <f aca="false">IF(AI562&lt;&gt;$E562,1,0)</f>
        <v>1</v>
      </c>
      <c r="AK562" s="0" t="n">
        <f aca="false">IF(AJ562=1,INDEX($F562:$J562,AI562)/MAX($P562:$S562),"")</f>
        <v>0.695364238410596</v>
      </c>
      <c r="AL562" s="0" t="n">
        <f aca="false">IF(AJ562=1,1+COUNTIF($P562:$S562,"&gt;"&amp;INDEX($F562:$J562,AI562)),"")</f>
        <v>3</v>
      </c>
      <c r="AM562" s="0" t="n">
        <f aca="false">AVERAGE($P562:$S562)/MAX($P562:$S562)</f>
        <v>0.769867549668874</v>
      </c>
      <c r="AN562" s="0" t="n">
        <f aca="false">100-INDEX($F562:$J562,$E562)</f>
        <v>46.6</v>
      </c>
    </row>
    <row r="563" customFormat="false" ht="15" hidden="false" customHeight="false" outlineLevel="0" collapsed="false">
      <c r="A563" s="0" t="s">
        <v>61</v>
      </c>
      <c r="B563" s="0" t="n">
        <v>2024</v>
      </c>
      <c r="C563" s="0" t="s">
        <v>51</v>
      </c>
      <c r="D563" s="0" t="s">
        <v>44</v>
      </c>
      <c r="E563" s="0" t="n">
        <v>5</v>
      </c>
      <c r="F563" s="0" t="n">
        <v>11.3</v>
      </c>
      <c r="G563" s="0" t="n">
        <v>12.7</v>
      </c>
      <c r="H563" s="0" t="n">
        <v>12.4</v>
      </c>
      <c r="I563" s="0" t="n">
        <v>16.8</v>
      </c>
      <c r="J563" s="0" t="n">
        <v>46.7</v>
      </c>
      <c r="K563" s="0" t="n">
        <v>6.93767454724</v>
      </c>
      <c r="L563" s="0" t="n">
        <v>7.95660050433</v>
      </c>
      <c r="M563" s="0" t="n">
        <v>27.3307314132</v>
      </c>
      <c r="N563" s="0" t="n">
        <v>20.0655968434</v>
      </c>
      <c r="O563" s="0" t="n">
        <v>37.7093966919</v>
      </c>
      <c r="P563" s="0" t="n">
        <f aca="false">INDEX($F563:$J563,IF(1&lt;$E563,1,1+1))</f>
        <v>11.3</v>
      </c>
      <c r="Q563" s="0" t="n">
        <f aca="false">INDEX($F563:$J563,IF(2&lt;$E563,2,2+1))</f>
        <v>12.7</v>
      </c>
      <c r="R563" s="0" t="n">
        <f aca="false">INDEX($F563:$J563,IF(3&lt;$E563,3,3+1))</f>
        <v>12.4</v>
      </c>
      <c r="S563" s="0" t="n">
        <f aca="false">INDEX($F563:$J563,IF(4&lt;$E563,4,4+1))</f>
        <v>16.8</v>
      </c>
      <c r="T563" s="0" t="n">
        <f aca="false">INDEX($K563:$O563,IF(1&lt;$E563,1,1+1))</f>
        <v>6.93767454724</v>
      </c>
      <c r="U563" s="0" t="n">
        <f aca="false">INDEX($K563:$O563,IF(2&lt;$E563,2,2+1))</f>
        <v>7.95660050433</v>
      </c>
      <c r="V563" s="0" t="n">
        <f aca="false">INDEX($K563:$O563,IF(3&lt;$E563,3,3+1))</f>
        <v>27.3307314132</v>
      </c>
      <c r="W563" s="0" t="n">
        <f aca="false">INDEX($K563:$O563,IF(4&lt;$E563,4,4+1))</f>
        <v>20.0655968434</v>
      </c>
      <c r="X563" s="0" t="n">
        <f aca="false">1+COUNTIF($P563:$S563,"&gt;"&amp;$P563)+(COUNTIF($P563:$S563,$P563)-1)/2</f>
        <v>4</v>
      </c>
      <c r="Y563" s="0" t="n">
        <f aca="false">1+COUNTIF($P563:$S563,"&gt;"&amp;$Q563)+(COUNTIF($P563:$S563,$Q563)-1)/2</f>
        <v>2</v>
      </c>
      <c r="Z563" s="0" t="n">
        <f aca="false">1+COUNTIF($P563:$S563,"&gt;"&amp;$R563)+(COUNTIF($P563:$S563,$R563)-1)/2</f>
        <v>3</v>
      </c>
      <c r="AA563" s="0" t="n">
        <f aca="false">1+COUNTIF($P563:$S563,"&gt;"&amp;$S563)+(COUNTIF($P563:$S563,$S563)-1)/2</f>
        <v>1</v>
      </c>
      <c r="AB563" s="0" t="n">
        <f aca="false">1+COUNTIF($T563:$W563,"&gt;"&amp;$T563)+(COUNTIF($T563:$W563,$T563)-1)/2</f>
        <v>4</v>
      </c>
      <c r="AC563" s="0" t="n">
        <f aca="false">1+COUNTIF($T563:$W563,"&gt;"&amp;$U563)+(COUNTIF($T563:$W563,$U563)-1)/2</f>
        <v>3</v>
      </c>
      <c r="AD563" s="0" t="n">
        <f aca="false">1+COUNTIF($T563:$W563,"&gt;"&amp;$V563)+(COUNTIF($T563:$W563,$V563)-1)/2</f>
        <v>1</v>
      </c>
      <c r="AE563" s="0" t="n">
        <f aca="false">1+COUNTIF($T563:$W563,"&gt;"&amp;$W563)+(COUNTIF($T563:$W563,$W563)-1)/2</f>
        <v>2</v>
      </c>
      <c r="AF563" s="0" t="n">
        <f aca="false">IFERROR(CORREL($P563:$S563,$T563:$W563),"")</f>
        <v>0.378973676887268</v>
      </c>
      <c r="AG563" s="0" t="n">
        <f aca="false">IFERROR(CORREL($X563:$AA563,$AB563:$AE563),"")</f>
        <v>0.4</v>
      </c>
      <c r="AH563" s="0" t="n">
        <f aca="false">IFERROR((SIGN($P563-$Q563)*SIGN($T563-$U563)+SIGN($P563-$R563)*SIGN($T563-$V563)+SIGN($P563-$S563)*SIGN($T563-$W563)+SIGN($Q563-$R563)*SIGN($U563-$V563)+SIGN($Q563-$S563)*SIGN($U563-$W563)+SIGN($R563-$S563)*SIGN($V563-$W563))/SQRT((6-(($P563=$Q563)*1+($P563=$R563)*1+($P563=$S563)*1+($Q563=$R563)*1+($Q563=$S563)*1+($R563=$S563)*1))*(6-(($T563=$U563)*1+($T563=$V563)*1+($T563=$W563)*1+($U563=$V563)*1+($U563=$W563)*1+($V563=$W563)*1))),"")</f>
        <v>0.333333333333333</v>
      </c>
      <c r="AI563" s="0" t="n">
        <f aca="false">MATCH(MAX($K563:$O563),$K563:$O563,0)</f>
        <v>5</v>
      </c>
      <c r="AJ563" s="0" t="n">
        <f aca="false">IF(AI563&lt;&gt;$E563,1,0)</f>
        <v>0</v>
      </c>
      <c r="AK563" s="0" t="str">
        <f aca="false">IF(AJ563=1,INDEX($F563:$J563,AI563)/MAX($P563:$S563),"")</f>
        <v/>
      </c>
      <c r="AL563" s="0" t="str">
        <f aca="false">IF(AJ563=1,1+COUNTIF($P563:$S563,"&gt;"&amp;INDEX($F563:$J563,AI563)),"")</f>
        <v/>
      </c>
      <c r="AM563" s="0" t="n">
        <f aca="false">AVERAGE($P563:$S563)/MAX($P563:$S563)</f>
        <v>0.791666666666667</v>
      </c>
      <c r="AN563" s="0" t="n">
        <f aca="false">100-INDEX($F563:$J563,$E563)</f>
        <v>53.3</v>
      </c>
    </row>
    <row r="564" customFormat="false" ht="15" hidden="false" customHeight="false" outlineLevel="0" collapsed="false">
      <c r="A564" s="0" t="s">
        <v>61</v>
      </c>
      <c r="B564" s="0" t="n">
        <v>2024</v>
      </c>
      <c r="C564" s="0" t="s">
        <v>51</v>
      </c>
      <c r="D564" s="0" t="s">
        <v>45</v>
      </c>
      <c r="E564" s="0" t="n">
        <v>1</v>
      </c>
      <c r="F564" s="0" t="n">
        <v>36.3</v>
      </c>
      <c r="G564" s="0" t="n">
        <v>20.4</v>
      </c>
      <c r="H564" s="0" t="n">
        <v>15.4</v>
      </c>
      <c r="I564" s="0" t="n">
        <v>19.3</v>
      </c>
      <c r="J564" s="0" t="n">
        <v>8.6</v>
      </c>
      <c r="K564" s="0" t="n">
        <v>8.39092422766</v>
      </c>
      <c r="L564" s="0" t="n">
        <v>12.2527164408</v>
      </c>
      <c r="M564" s="0" t="n">
        <v>45.2777300421</v>
      </c>
      <c r="N564" s="0" t="n">
        <v>26.715955787</v>
      </c>
      <c r="O564" s="0" t="n">
        <v>7.36267350248</v>
      </c>
      <c r="P564" s="0" t="n">
        <f aca="false">INDEX($F564:$J564,IF(1&lt;$E564,1,1+1))</f>
        <v>20.4</v>
      </c>
      <c r="Q564" s="0" t="n">
        <f aca="false">INDEX($F564:$J564,IF(2&lt;$E564,2,2+1))</f>
        <v>15.4</v>
      </c>
      <c r="R564" s="0" t="n">
        <f aca="false">INDEX($F564:$J564,IF(3&lt;$E564,3,3+1))</f>
        <v>19.3</v>
      </c>
      <c r="S564" s="0" t="n">
        <f aca="false">INDEX($F564:$J564,IF(4&lt;$E564,4,4+1))</f>
        <v>8.6</v>
      </c>
      <c r="T564" s="0" t="n">
        <f aca="false">INDEX($K564:$O564,IF(1&lt;$E564,1,1+1))</f>
        <v>12.2527164408</v>
      </c>
      <c r="U564" s="0" t="n">
        <f aca="false">INDEX($K564:$O564,IF(2&lt;$E564,2,2+1))</f>
        <v>45.2777300421</v>
      </c>
      <c r="V564" s="0" t="n">
        <f aca="false">INDEX($K564:$O564,IF(3&lt;$E564,3,3+1))</f>
        <v>26.715955787</v>
      </c>
      <c r="W564" s="0" t="n">
        <f aca="false">INDEX($K564:$O564,IF(4&lt;$E564,4,4+1))</f>
        <v>7.36267350248</v>
      </c>
      <c r="X564" s="0" t="n">
        <f aca="false">1+COUNTIF($P564:$S564,"&gt;"&amp;$P564)+(COUNTIF($P564:$S564,$P564)-1)/2</f>
        <v>1</v>
      </c>
      <c r="Y564" s="0" t="n">
        <f aca="false">1+COUNTIF($P564:$S564,"&gt;"&amp;$Q564)+(COUNTIF($P564:$S564,$Q564)-1)/2</f>
        <v>3</v>
      </c>
      <c r="Z564" s="0" t="n">
        <f aca="false">1+COUNTIF($P564:$S564,"&gt;"&amp;$R564)+(COUNTIF($P564:$S564,$R564)-1)/2</f>
        <v>2</v>
      </c>
      <c r="AA564" s="0" t="n">
        <f aca="false">1+COUNTIF($P564:$S564,"&gt;"&amp;$S564)+(COUNTIF($P564:$S564,$S564)-1)/2</f>
        <v>4</v>
      </c>
      <c r="AB564" s="0" t="n">
        <f aca="false">1+COUNTIF($T564:$W564,"&gt;"&amp;$T564)+(COUNTIF($T564:$W564,$T564)-1)/2</f>
        <v>3</v>
      </c>
      <c r="AC564" s="0" t="n">
        <f aca="false">1+COUNTIF($T564:$W564,"&gt;"&amp;$U564)+(COUNTIF($T564:$W564,$U564)-1)/2</f>
        <v>1</v>
      </c>
      <c r="AD564" s="0" t="n">
        <f aca="false">1+COUNTIF($T564:$W564,"&gt;"&amp;$V564)+(COUNTIF($T564:$W564,$V564)-1)/2</f>
        <v>2</v>
      </c>
      <c r="AE564" s="0" t="n">
        <f aca="false">1+COUNTIF($T564:$W564,"&gt;"&amp;$W564)+(COUNTIF($T564:$W564,$W564)-1)/2</f>
        <v>4</v>
      </c>
      <c r="AF564" s="0" t="n">
        <f aca="false">IFERROR(CORREL($P564:$S564,$T564:$W564),"")</f>
        <v>0.24694632892232</v>
      </c>
      <c r="AG564" s="0" t="n">
        <f aca="false">IFERROR(CORREL($X564:$AA564,$AB564:$AE564),"")</f>
        <v>0.2</v>
      </c>
      <c r="AH564" s="0" t="n">
        <f aca="false">IFERROR((SIGN($P564-$Q564)*SIGN($T564-$U564)+SIGN($P564-$R564)*SIGN($T564-$V564)+SIGN($P564-$S564)*SIGN($T564-$W564)+SIGN($Q564-$R564)*SIGN($U564-$V564)+SIGN($Q564-$S564)*SIGN($U564-$W564)+SIGN($R564-$S564)*SIGN($V564-$W564))/SQRT((6-(($P564=$Q564)*1+($P564=$R564)*1+($P564=$S564)*1+($Q564=$R564)*1+($Q564=$S564)*1+($R564=$S564)*1))*(6-(($T564=$U564)*1+($T564=$V564)*1+($T564=$W564)*1+($U564=$V564)*1+($U564=$W564)*1+($V564=$W564)*1))),"")</f>
        <v>0</v>
      </c>
      <c r="AI564" s="0" t="n">
        <f aca="false">MATCH(MAX($K564:$O564),$K564:$O564,0)</f>
        <v>3</v>
      </c>
      <c r="AJ564" s="0" t="n">
        <f aca="false">IF(AI564&lt;&gt;$E564,1,0)</f>
        <v>1</v>
      </c>
      <c r="AK564" s="0" t="n">
        <f aca="false">IF(AJ564=1,INDEX($F564:$J564,AI564)/MAX($P564:$S564),"")</f>
        <v>0.754901960784314</v>
      </c>
      <c r="AL564" s="0" t="n">
        <f aca="false">IF(AJ564=1,1+COUNTIF($P564:$S564,"&gt;"&amp;INDEX($F564:$J564,AI564)),"")</f>
        <v>3</v>
      </c>
      <c r="AM564" s="0" t="n">
        <f aca="false">AVERAGE($P564:$S564)/MAX($P564:$S564)</f>
        <v>0.780637254901961</v>
      </c>
      <c r="AN564" s="0" t="n">
        <f aca="false">100-INDEX($F564:$J564,$E564)</f>
        <v>63.7</v>
      </c>
    </row>
    <row r="565" customFormat="false" ht="15" hidden="false" customHeight="false" outlineLevel="0" collapsed="false">
      <c r="A565" s="0" t="s">
        <v>61</v>
      </c>
      <c r="B565" s="0" t="n">
        <v>2024</v>
      </c>
      <c r="C565" s="0" t="s">
        <v>46</v>
      </c>
      <c r="D565" s="0" t="s">
        <v>42</v>
      </c>
      <c r="E565" s="0" t="n">
        <v>2</v>
      </c>
      <c r="F565" s="0" t="n">
        <v>16.2</v>
      </c>
      <c r="G565" s="0" t="n">
        <v>42.3</v>
      </c>
      <c r="H565" s="0" t="n">
        <v>18.7</v>
      </c>
      <c r="I565" s="0" t="n">
        <v>17.5</v>
      </c>
      <c r="J565" s="0" t="n">
        <v>5.2</v>
      </c>
      <c r="K565" s="0" t="n">
        <v>9.85085239422</v>
      </c>
      <c r="L565" s="0" t="n">
        <v>68.4201122731</v>
      </c>
      <c r="M565" s="0" t="n">
        <v>3.11546728259</v>
      </c>
      <c r="N565" s="0" t="n">
        <v>17.6555341802</v>
      </c>
      <c r="O565" s="0" t="n">
        <v>0.958033869898</v>
      </c>
      <c r="P565" s="0" t="n">
        <f aca="false">INDEX($F565:$J565,IF(1&lt;$E565,1,1+1))</f>
        <v>16.2</v>
      </c>
      <c r="Q565" s="0" t="n">
        <f aca="false">INDEX($F565:$J565,IF(2&lt;$E565,2,2+1))</f>
        <v>18.7</v>
      </c>
      <c r="R565" s="0" t="n">
        <f aca="false">INDEX($F565:$J565,IF(3&lt;$E565,3,3+1))</f>
        <v>17.5</v>
      </c>
      <c r="S565" s="0" t="n">
        <f aca="false">INDEX($F565:$J565,IF(4&lt;$E565,4,4+1))</f>
        <v>5.2</v>
      </c>
      <c r="T565" s="0" t="n">
        <f aca="false">INDEX($K565:$O565,IF(1&lt;$E565,1,1+1))</f>
        <v>9.85085239422</v>
      </c>
      <c r="U565" s="0" t="n">
        <f aca="false">INDEX($K565:$O565,IF(2&lt;$E565,2,2+1))</f>
        <v>3.11546728259</v>
      </c>
      <c r="V565" s="0" t="n">
        <f aca="false">INDEX($K565:$O565,IF(3&lt;$E565,3,3+1))</f>
        <v>17.6555341802</v>
      </c>
      <c r="W565" s="0" t="n">
        <f aca="false">INDEX($K565:$O565,IF(4&lt;$E565,4,4+1))</f>
        <v>0.958033869898</v>
      </c>
      <c r="X565" s="0" t="n">
        <f aca="false">1+COUNTIF($P565:$S565,"&gt;"&amp;$P565)+(COUNTIF($P565:$S565,$P565)-1)/2</f>
        <v>3</v>
      </c>
      <c r="Y565" s="0" t="n">
        <f aca="false">1+COUNTIF($P565:$S565,"&gt;"&amp;$Q565)+(COUNTIF($P565:$S565,$Q565)-1)/2</f>
        <v>1</v>
      </c>
      <c r="Z565" s="0" t="n">
        <f aca="false">1+COUNTIF($P565:$S565,"&gt;"&amp;$R565)+(COUNTIF($P565:$S565,$R565)-1)/2</f>
        <v>2</v>
      </c>
      <c r="AA565" s="0" t="n">
        <f aca="false">1+COUNTIF($P565:$S565,"&gt;"&amp;$S565)+(COUNTIF($P565:$S565,$S565)-1)/2</f>
        <v>4</v>
      </c>
      <c r="AB565" s="0" t="n">
        <f aca="false">1+COUNTIF($T565:$W565,"&gt;"&amp;$T565)+(COUNTIF($T565:$W565,$T565)-1)/2</f>
        <v>2</v>
      </c>
      <c r="AC565" s="0" t="n">
        <f aca="false">1+COUNTIF($T565:$W565,"&gt;"&amp;$U565)+(COUNTIF($T565:$W565,$U565)-1)/2</f>
        <v>3</v>
      </c>
      <c r="AD565" s="0" t="n">
        <f aca="false">1+COUNTIF($T565:$W565,"&gt;"&amp;$V565)+(COUNTIF($T565:$W565,$V565)-1)/2</f>
        <v>1</v>
      </c>
      <c r="AE565" s="0" t="n">
        <f aca="false">1+COUNTIF($T565:$W565,"&gt;"&amp;$W565)+(COUNTIF($T565:$W565,$W565)-1)/2</f>
        <v>4</v>
      </c>
      <c r="AF565" s="0" t="n">
        <f aca="false">IFERROR(CORREL($P565:$S565,$T565:$W565),"")</f>
        <v>0.548606045560384</v>
      </c>
      <c r="AG565" s="0" t="n">
        <f aca="false">IFERROR(CORREL($X565:$AA565,$AB565:$AE565),"")</f>
        <v>0.4</v>
      </c>
      <c r="AH565" s="0" t="n">
        <f aca="false">IFERROR((SIGN($P565-$Q565)*SIGN($T565-$U565)+SIGN($P565-$R565)*SIGN($T565-$V565)+SIGN($P565-$S565)*SIGN($T565-$W565)+SIGN($Q565-$R565)*SIGN($U565-$V565)+SIGN($Q565-$S565)*SIGN($U565-$W565)+SIGN($R565-$S565)*SIGN($V565-$W565))/SQRT((6-(($P565=$Q565)*1+($P565=$R565)*1+($P565=$S565)*1+($Q565=$R565)*1+($Q565=$S565)*1+($R565=$S565)*1))*(6-(($T565=$U565)*1+($T565=$V565)*1+($T565=$W565)*1+($U565=$V565)*1+($U565=$W565)*1+($V565=$W565)*1))),"")</f>
        <v>0.333333333333333</v>
      </c>
      <c r="AI565" s="0" t="n">
        <f aca="false">MATCH(MAX($K565:$O565),$K565:$O565,0)</f>
        <v>2</v>
      </c>
      <c r="AJ565" s="0" t="n">
        <f aca="false">IF(AI565&lt;&gt;$E565,1,0)</f>
        <v>0</v>
      </c>
      <c r="AK565" s="0" t="str">
        <f aca="false">IF(AJ565=1,INDEX($F565:$J565,AI565)/MAX($P565:$S565),"")</f>
        <v/>
      </c>
      <c r="AL565" s="0" t="str">
        <f aca="false">IF(AJ565=1,1+COUNTIF($P565:$S565,"&gt;"&amp;INDEX($F565:$J565,AI565)),"")</f>
        <v/>
      </c>
      <c r="AM565" s="0" t="n">
        <f aca="false">AVERAGE($P565:$S565)/MAX($P565:$S565)</f>
        <v>0.770053475935829</v>
      </c>
      <c r="AN565" s="0" t="n">
        <f aca="false">100-INDEX($F565:$J565,$E565)</f>
        <v>57.7</v>
      </c>
    </row>
    <row r="566" customFormat="false" ht="15" hidden="false" customHeight="false" outlineLevel="0" collapsed="false">
      <c r="A566" s="0" t="s">
        <v>61</v>
      </c>
      <c r="B566" s="0" t="n">
        <v>2024</v>
      </c>
      <c r="C566" s="0" t="s">
        <v>46</v>
      </c>
      <c r="D566" s="0" t="s">
        <v>43</v>
      </c>
      <c r="E566" s="0" t="n">
        <v>3</v>
      </c>
      <c r="F566" s="0" t="n">
        <v>12.1</v>
      </c>
      <c r="G566" s="0" t="n">
        <v>38.3</v>
      </c>
      <c r="H566" s="0" t="n">
        <v>22.1</v>
      </c>
      <c r="I566" s="0" t="n">
        <v>13.3</v>
      </c>
      <c r="J566" s="0" t="n">
        <v>14.2</v>
      </c>
      <c r="K566" s="0" t="n">
        <v>3.30620633736</v>
      </c>
      <c r="L566" s="0" t="n">
        <v>67.0040671484</v>
      </c>
      <c r="M566" s="0" t="n">
        <v>8.73784046113</v>
      </c>
      <c r="N566" s="0" t="n">
        <v>0.667794800089</v>
      </c>
      <c r="O566" s="0" t="n">
        <v>20.284091253</v>
      </c>
      <c r="P566" s="0" t="n">
        <f aca="false">INDEX($F566:$J566,IF(1&lt;$E566,1,1+1))</f>
        <v>12.1</v>
      </c>
      <c r="Q566" s="0" t="n">
        <f aca="false">INDEX($F566:$J566,IF(2&lt;$E566,2,2+1))</f>
        <v>38.3</v>
      </c>
      <c r="R566" s="0" t="n">
        <f aca="false">INDEX($F566:$J566,IF(3&lt;$E566,3,3+1))</f>
        <v>13.3</v>
      </c>
      <c r="S566" s="0" t="n">
        <f aca="false">INDEX($F566:$J566,IF(4&lt;$E566,4,4+1))</f>
        <v>14.2</v>
      </c>
      <c r="T566" s="0" t="n">
        <f aca="false">INDEX($K566:$O566,IF(1&lt;$E566,1,1+1))</f>
        <v>3.30620633736</v>
      </c>
      <c r="U566" s="0" t="n">
        <f aca="false">INDEX($K566:$O566,IF(2&lt;$E566,2,2+1))</f>
        <v>67.0040671484</v>
      </c>
      <c r="V566" s="0" t="n">
        <f aca="false">INDEX($K566:$O566,IF(3&lt;$E566,3,3+1))</f>
        <v>0.667794800089</v>
      </c>
      <c r="W566" s="0" t="n">
        <f aca="false">INDEX($K566:$O566,IF(4&lt;$E566,4,4+1))</f>
        <v>20.284091253</v>
      </c>
      <c r="X566" s="0" t="n">
        <f aca="false">1+COUNTIF($P566:$S566,"&gt;"&amp;$P566)+(COUNTIF($P566:$S566,$P566)-1)/2</f>
        <v>4</v>
      </c>
      <c r="Y566" s="0" t="n">
        <f aca="false">1+COUNTIF($P566:$S566,"&gt;"&amp;$Q566)+(COUNTIF($P566:$S566,$Q566)-1)/2</f>
        <v>1</v>
      </c>
      <c r="Z566" s="0" t="n">
        <f aca="false">1+COUNTIF($P566:$S566,"&gt;"&amp;$R566)+(COUNTIF($P566:$S566,$R566)-1)/2</f>
        <v>3</v>
      </c>
      <c r="AA566" s="0" t="n">
        <f aca="false">1+COUNTIF($P566:$S566,"&gt;"&amp;$S566)+(COUNTIF($P566:$S566,$S566)-1)/2</f>
        <v>2</v>
      </c>
      <c r="AB566" s="0" t="n">
        <f aca="false">1+COUNTIF($T566:$W566,"&gt;"&amp;$T566)+(COUNTIF($T566:$W566,$T566)-1)/2</f>
        <v>3</v>
      </c>
      <c r="AC566" s="0" t="n">
        <f aca="false">1+COUNTIF($T566:$W566,"&gt;"&amp;$U566)+(COUNTIF($T566:$W566,$U566)-1)/2</f>
        <v>1</v>
      </c>
      <c r="AD566" s="0" t="n">
        <f aca="false">1+COUNTIF($T566:$W566,"&gt;"&amp;$V566)+(COUNTIF($T566:$W566,$V566)-1)/2</f>
        <v>4</v>
      </c>
      <c r="AE566" s="0" t="n">
        <f aca="false">1+COUNTIF($T566:$W566,"&gt;"&amp;$W566)+(COUNTIF($T566:$W566,$W566)-1)/2</f>
        <v>2</v>
      </c>
      <c r="AF566" s="0" t="n">
        <f aca="false">IFERROR(CORREL($P566:$S566,$T566:$W566),"")</f>
        <v>0.971293528086118</v>
      </c>
      <c r="AG566" s="0" t="n">
        <f aca="false">IFERROR(CORREL($X566:$AA566,$AB566:$AE566),"")</f>
        <v>0.8</v>
      </c>
      <c r="AH566" s="0" t="n">
        <f aca="false">IFERROR((SIGN($P566-$Q566)*SIGN($T566-$U566)+SIGN($P566-$R566)*SIGN($T566-$V566)+SIGN($P566-$S566)*SIGN($T566-$W566)+SIGN($Q566-$R566)*SIGN($U566-$V566)+SIGN($Q566-$S566)*SIGN($U566-$W566)+SIGN($R566-$S566)*SIGN($V566-$W566))/SQRT((6-(($P566=$Q566)*1+($P566=$R566)*1+($P566=$S566)*1+($Q566=$R566)*1+($Q566=$S566)*1+($R566=$S566)*1))*(6-(($T566=$U566)*1+($T566=$V566)*1+($T566=$W566)*1+($U566=$V566)*1+($U566=$W566)*1+($V566=$W566)*1))),"")</f>
        <v>0.666666666666667</v>
      </c>
      <c r="AI566" s="0" t="n">
        <f aca="false">MATCH(MAX($K566:$O566),$K566:$O566,0)</f>
        <v>2</v>
      </c>
      <c r="AJ566" s="0" t="n">
        <f aca="false">IF(AI566&lt;&gt;$E566,1,0)</f>
        <v>1</v>
      </c>
      <c r="AK566" s="0" t="n">
        <f aca="false">IF(AJ566=1,INDEX($F566:$J566,AI566)/MAX($P566:$S566),"")</f>
        <v>1</v>
      </c>
      <c r="AL566" s="0" t="n">
        <f aca="false">IF(AJ566=1,1+COUNTIF($P566:$S566,"&gt;"&amp;INDEX($F566:$J566,AI566)),"")</f>
        <v>1</v>
      </c>
      <c r="AM566" s="0" t="n">
        <f aca="false">AVERAGE($P566:$S566)/MAX($P566:$S566)</f>
        <v>0.508485639686684</v>
      </c>
      <c r="AN566" s="0" t="n">
        <f aca="false">100-INDEX($F566:$J566,$E566)</f>
        <v>77.9</v>
      </c>
    </row>
    <row r="567" customFormat="false" ht="15" hidden="false" customHeight="false" outlineLevel="0" collapsed="false">
      <c r="A567" s="0" t="s">
        <v>61</v>
      </c>
      <c r="B567" s="0" t="n">
        <v>2024</v>
      </c>
      <c r="C567" s="0" t="s">
        <v>46</v>
      </c>
      <c r="D567" s="0" t="s">
        <v>44</v>
      </c>
      <c r="E567" s="0" t="n">
        <v>3</v>
      </c>
      <c r="F567" s="0" t="n">
        <v>11.6</v>
      </c>
      <c r="G567" s="0" t="n">
        <v>9.9</v>
      </c>
      <c r="H567" s="0" t="n">
        <v>48.7</v>
      </c>
      <c r="I567" s="0" t="n">
        <v>12.3</v>
      </c>
      <c r="J567" s="0" t="n">
        <v>17.5</v>
      </c>
      <c r="K567" s="0" t="n">
        <v>0.117974696068</v>
      </c>
      <c r="L567" s="0" t="n">
        <v>52.5511109989</v>
      </c>
      <c r="M567" s="0" t="n">
        <v>30.3610411505</v>
      </c>
      <c r="N567" s="0" t="n">
        <v>6.67075178238</v>
      </c>
      <c r="O567" s="0" t="n">
        <v>10.2991213721</v>
      </c>
      <c r="P567" s="0" t="n">
        <f aca="false">INDEX($F567:$J567,IF(1&lt;$E567,1,1+1))</f>
        <v>11.6</v>
      </c>
      <c r="Q567" s="0" t="n">
        <f aca="false">INDEX($F567:$J567,IF(2&lt;$E567,2,2+1))</f>
        <v>9.9</v>
      </c>
      <c r="R567" s="0" t="n">
        <f aca="false">INDEX($F567:$J567,IF(3&lt;$E567,3,3+1))</f>
        <v>12.3</v>
      </c>
      <c r="S567" s="0" t="n">
        <f aca="false">INDEX($F567:$J567,IF(4&lt;$E567,4,4+1))</f>
        <v>17.5</v>
      </c>
      <c r="T567" s="0" t="n">
        <f aca="false">INDEX($K567:$O567,IF(1&lt;$E567,1,1+1))</f>
        <v>0.117974696068</v>
      </c>
      <c r="U567" s="0" t="n">
        <f aca="false">INDEX($K567:$O567,IF(2&lt;$E567,2,2+1))</f>
        <v>52.5511109989</v>
      </c>
      <c r="V567" s="0" t="n">
        <f aca="false">INDEX($K567:$O567,IF(3&lt;$E567,3,3+1))</f>
        <v>6.67075178238</v>
      </c>
      <c r="W567" s="0" t="n">
        <f aca="false">INDEX($K567:$O567,IF(4&lt;$E567,4,4+1))</f>
        <v>10.2991213721</v>
      </c>
      <c r="X567" s="0" t="n">
        <f aca="false">1+COUNTIF($P567:$S567,"&gt;"&amp;$P567)+(COUNTIF($P567:$S567,$P567)-1)/2</f>
        <v>3</v>
      </c>
      <c r="Y567" s="0" t="n">
        <f aca="false">1+COUNTIF($P567:$S567,"&gt;"&amp;$Q567)+(COUNTIF($P567:$S567,$Q567)-1)/2</f>
        <v>4</v>
      </c>
      <c r="Z567" s="0" t="n">
        <f aca="false">1+COUNTIF($P567:$S567,"&gt;"&amp;$R567)+(COUNTIF($P567:$S567,$R567)-1)/2</f>
        <v>2</v>
      </c>
      <c r="AA567" s="0" t="n">
        <f aca="false">1+COUNTIF($P567:$S567,"&gt;"&amp;$S567)+(COUNTIF($P567:$S567,$S567)-1)/2</f>
        <v>1</v>
      </c>
      <c r="AB567" s="0" t="n">
        <f aca="false">1+COUNTIF($T567:$W567,"&gt;"&amp;$T567)+(COUNTIF($T567:$W567,$T567)-1)/2</f>
        <v>4</v>
      </c>
      <c r="AC567" s="0" t="n">
        <f aca="false">1+COUNTIF($T567:$W567,"&gt;"&amp;$U567)+(COUNTIF($T567:$W567,$U567)-1)/2</f>
        <v>1</v>
      </c>
      <c r="AD567" s="0" t="n">
        <f aca="false">1+COUNTIF($T567:$W567,"&gt;"&amp;$V567)+(COUNTIF($T567:$W567,$V567)-1)/2</f>
        <v>3</v>
      </c>
      <c r="AE567" s="0" t="n">
        <f aca="false">1+COUNTIF($T567:$W567,"&gt;"&amp;$W567)+(COUNTIF($T567:$W567,$W567)-1)/2</f>
        <v>2</v>
      </c>
      <c r="AF567" s="0" t="n">
        <f aca="false">IFERROR(CORREL($P567:$S567,$T567:$W567),"")</f>
        <v>-0.466895774797698</v>
      </c>
      <c r="AG567" s="0" t="n">
        <f aca="false">IFERROR(CORREL($X567:$AA567,$AB567:$AE567),"")</f>
        <v>-0.2</v>
      </c>
      <c r="AH567" s="0" t="n">
        <f aca="false">IFERROR((SIGN($P567-$Q567)*SIGN($T567-$U567)+SIGN($P567-$R567)*SIGN($T567-$V567)+SIGN($P567-$S567)*SIGN($T567-$W567)+SIGN($Q567-$R567)*SIGN($U567-$V567)+SIGN($Q567-$S567)*SIGN($U567-$W567)+SIGN($R567-$S567)*SIGN($V567-$W567))/SQRT((6-(($P567=$Q567)*1+($P567=$R567)*1+($P567=$S567)*1+($Q567=$R567)*1+($Q567=$S567)*1+($R567=$S567)*1))*(6-(($T567=$U567)*1+($T567=$V567)*1+($T567=$W567)*1+($U567=$V567)*1+($U567=$W567)*1+($V567=$W567)*1))),"")</f>
        <v>0</v>
      </c>
      <c r="AI567" s="0" t="n">
        <f aca="false">MATCH(MAX($K567:$O567),$K567:$O567,0)</f>
        <v>2</v>
      </c>
      <c r="AJ567" s="0" t="n">
        <f aca="false">IF(AI567&lt;&gt;$E567,1,0)</f>
        <v>1</v>
      </c>
      <c r="AK567" s="0" t="n">
        <f aca="false">IF(AJ567=1,INDEX($F567:$J567,AI567)/MAX($P567:$S567),"")</f>
        <v>0.565714285714286</v>
      </c>
      <c r="AL567" s="0" t="n">
        <f aca="false">IF(AJ567=1,1+COUNTIF($P567:$S567,"&gt;"&amp;INDEX($F567:$J567,AI567)),"")</f>
        <v>4</v>
      </c>
      <c r="AM567" s="0" t="n">
        <f aca="false">AVERAGE($P567:$S567)/MAX($P567:$S567)</f>
        <v>0.732857142857143</v>
      </c>
      <c r="AN567" s="0" t="n">
        <f aca="false">100-INDEX($F567:$J567,$E567)</f>
        <v>51.3</v>
      </c>
    </row>
    <row r="568" customFormat="false" ht="15" hidden="false" customHeight="false" outlineLevel="0" collapsed="false">
      <c r="A568" s="0" t="s">
        <v>61</v>
      </c>
      <c r="B568" s="0" t="n">
        <v>2024</v>
      </c>
      <c r="C568" s="0" t="s">
        <v>46</v>
      </c>
      <c r="D568" s="0" t="s">
        <v>45</v>
      </c>
      <c r="E568" s="0" t="n">
        <v>5</v>
      </c>
      <c r="F568" s="0" t="n">
        <v>15.4</v>
      </c>
      <c r="G568" s="0" t="n">
        <v>12.7</v>
      </c>
      <c r="H568" s="0" t="n">
        <v>14.2</v>
      </c>
      <c r="I568" s="0" t="n">
        <v>16.3</v>
      </c>
      <c r="J568" s="0" t="n">
        <v>41.4</v>
      </c>
      <c r="K568" s="0" t="n">
        <v>15.7427287583</v>
      </c>
      <c r="L568" s="0" t="n">
        <v>2.638309334</v>
      </c>
      <c r="M568" s="0" t="n">
        <v>7.76407323418</v>
      </c>
      <c r="N568" s="0" t="n">
        <v>25.71991066</v>
      </c>
      <c r="O568" s="0" t="n">
        <v>48.1349780136</v>
      </c>
      <c r="P568" s="0" t="n">
        <f aca="false">INDEX($F568:$J568,IF(1&lt;$E568,1,1+1))</f>
        <v>15.4</v>
      </c>
      <c r="Q568" s="0" t="n">
        <f aca="false">INDEX($F568:$J568,IF(2&lt;$E568,2,2+1))</f>
        <v>12.7</v>
      </c>
      <c r="R568" s="0" t="n">
        <f aca="false">INDEX($F568:$J568,IF(3&lt;$E568,3,3+1))</f>
        <v>14.2</v>
      </c>
      <c r="S568" s="0" t="n">
        <f aca="false">INDEX($F568:$J568,IF(4&lt;$E568,4,4+1))</f>
        <v>16.3</v>
      </c>
      <c r="T568" s="0" t="n">
        <f aca="false">INDEX($K568:$O568,IF(1&lt;$E568,1,1+1))</f>
        <v>15.7427287583</v>
      </c>
      <c r="U568" s="0" t="n">
        <f aca="false">INDEX($K568:$O568,IF(2&lt;$E568,2,2+1))</f>
        <v>2.638309334</v>
      </c>
      <c r="V568" s="0" t="n">
        <f aca="false">INDEX($K568:$O568,IF(3&lt;$E568,3,3+1))</f>
        <v>7.76407323418</v>
      </c>
      <c r="W568" s="0" t="n">
        <f aca="false">INDEX($K568:$O568,IF(4&lt;$E568,4,4+1))</f>
        <v>25.71991066</v>
      </c>
      <c r="X568" s="0" t="n">
        <f aca="false">1+COUNTIF($P568:$S568,"&gt;"&amp;$P568)+(COUNTIF($P568:$S568,$P568)-1)/2</f>
        <v>2</v>
      </c>
      <c r="Y568" s="0" t="n">
        <f aca="false">1+COUNTIF($P568:$S568,"&gt;"&amp;$Q568)+(COUNTIF($P568:$S568,$Q568)-1)/2</f>
        <v>4</v>
      </c>
      <c r="Z568" s="0" t="n">
        <f aca="false">1+COUNTIF($P568:$S568,"&gt;"&amp;$R568)+(COUNTIF($P568:$S568,$R568)-1)/2</f>
        <v>3</v>
      </c>
      <c r="AA568" s="0" t="n">
        <f aca="false">1+COUNTIF($P568:$S568,"&gt;"&amp;$S568)+(COUNTIF($P568:$S568,$S568)-1)/2</f>
        <v>1</v>
      </c>
      <c r="AB568" s="0" t="n">
        <f aca="false">1+COUNTIF($T568:$W568,"&gt;"&amp;$T568)+(COUNTIF($T568:$W568,$T568)-1)/2</f>
        <v>2</v>
      </c>
      <c r="AC568" s="0" t="n">
        <f aca="false">1+COUNTIF($T568:$W568,"&gt;"&amp;$U568)+(COUNTIF($T568:$W568,$U568)-1)/2</f>
        <v>4</v>
      </c>
      <c r="AD568" s="0" t="n">
        <f aca="false">1+COUNTIF($T568:$W568,"&gt;"&amp;$V568)+(COUNTIF($T568:$W568,$V568)-1)/2</f>
        <v>3</v>
      </c>
      <c r="AE568" s="0" t="n">
        <f aca="false">1+COUNTIF($T568:$W568,"&gt;"&amp;$W568)+(COUNTIF($T568:$W568,$W568)-1)/2</f>
        <v>1</v>
      </c>
      <c r="AF568" s="0" t="n">
        <f aca="false">IFERROR(CORREL($P568:$S568,$T568:$W568),"")</f>
        <v>0.968630114256414</v>
      </c>
      <c r="AG568" s="0" t="n">
        <f aca="false">IFERROR(CORREL($X568:$AA568,$AB568:$AE568),"")</f>
        <v>1</v>
      </c>
      <c r="AH568" s="0" t="n">
        <f aca="false">IFERROR((SIGN($P568-$Q568)*SIGN($T568-$U568)+SIGN($P568-$R568)*SIGN($T568-$V568)+SIGN($P568-$S568)*SIGN($T568-$W568)+SIGN($Q568-$R568)*SIGN($U568-$V568)+SIGN($Q568-$S568)*SIGN($U568-$W568)+SIGN($R568-$S568)*SIGN($V568-$W568))/SQRT((6-(($P568=$Q568)*1+($P568=$R568)*1+($P568=$S568)*1+($Q568=$R568)*1+($Q568=$S568)*1+($R568=$S568)*1))*(6-(($T568=$U568)*1+($T568=$V568)*1+($T568=$W568)*1+($U568=$V568)*1+($U568=$W568)*1+($V568=$W568)*1))),"")</f>
        <v>1</v>
      </c>
      <c r="AI568" s="0" t="n">
        <f aca="false">MATCH(MAX($K568:$O568),$K568:$O568,0)</f>
        <v>5</v>
      </c>
      <c r="AJ568" s="0" t="n">
        <f aca="false">IF(AI568&lt;&gt;$E568,1,0)</f>
        <v>0</v>
      </c>
      <c r="AK568" s="0" t="str">
        <f aca="false">IF(AJ568=1,INDEX($F568:$J568,AI568)/MAX($P568:$S568),"")</f>
        <v/>
      </c>
      <c r="AL568" s="0" t="str">
        <f aca="false">IF(AJ568=1,1+COUNTIF($P568:$S568,"&gt;"&amp;INDEX($F568:$J568,AI568)),"")</f>
        <v/>
      </c>
      <c r="AM568" s="0" t="n">
        <f aca="false">AVERAGE($P568:$S568)/MAX($P568:$S568)</f>
        <v>0.898773006134969</v>
      </c>
      <c r="AN568" s="0" t="n">
        <f aca="false">100-INDEX($F568:$J568,$E568)</f>
        <v>58.6</v>
      </c>
    </row>
    <row r="569" customFormat="false" ht="15" hidden="false" customHeight="false" outlineLevel="0" collapsed="false">
      <c r="A569" s="0" t="s">
        <v>61</v>
      </c>
      <c r="B569" s="0" t="n">
        <v>2023</v>
      </c>
      <c r="C569" s="0" t="s">
        <v>58</v>
      </c>
      <c r="D569" s="0" t="s">
        <v>42</v>
      </c>
      <c r="E569" s="0" t="n">
        <v>1</v>
      </c>
      <c r="F569" s="0" t="n">
        <v>53.8</v>
      </c>
      <c r="G569" s="0" t="n">
        <v>17.5</v>
      </c>
      <c r="H569" s="0" t="n">
        <v>10.6</v>
      </c>
      <c r="I569" s="0" t="n">
        <v>12.1</v>
      </c>
      <c r="J569" s="0" t="n">
        <v>6</v>
      </c>
      <c r="K569" s="0" t="n">
        <v>72.434834414</v>
      </c>
      <c r="L569" s="0" t="n">
        <v>5.95793242715</v>
      </c>
      <c r="M569" s="0" t="n">
        <v>3.29553287222</v>
      </c>
      <c r="N569" s="0" t="n">
        <v>3.52619378437</v>
      </c>
      <c r="O569" s="0" t="n">
        <v>14.7855065022</v>
      </c>
      <c r="P569" s="0" t="n">
        <f aca="false">INDEX($F569:$J569,IF(1&lt;$E569,1,1+1))</f>
        <v>17.5</v>
      </c>
      <c r="Q569" s="0" t="n">
        <f aca="false">INDEX($F569:$J569,IF(2&lt;$E569,2,2+1))</f>
        <v>10.6</v>
      </c>
      <c r="R569" s="0" t="n">
        <f aca="false">INDEX($F569:$J569,IF(3&lt;$E569,3,3+1))</f>
        <v>12.1</v>
      </c>
      <c r="S569" s="0" t="n">
        <f aca="false">INDEX($F569:$J569,IF(4&lt;$E569,4,4+1))</f>
        <v>6</v>
      </c>
      <c r="T569" s="0" t="n">
        <f aca="false">INDEX($K569:$O569,IF(1&lt;$E569,1,1+1))</f>
        <v>5.95793242715</v>
      </c>
      <c r="U569" s="0" t="n">
        <f aca="false">INDEX($K569:$O569,IF(2&lt;$E569,2,2+1))</f>
        <v>3.29553287222</v>
      </c>
      <c r="V569" s="0" t="n">
        <f aca="false">INDEX($K569:$O569,IF(3&lt;$E569,3,3+1))</f>
        <v>3.52619378437</v>
      </c>
      <c r="W569" s="0" t="n">
        <f aca="false">INDEX($K569:$O569,IF(4&lt;$E569,4,4+1))</f>
        <v>14.7855065022</v>
      </c>
      <c r="X569" s="0" t="n">
        <f aca="false">1+COUNTIF($P569:$S569,"&gt;"&amp;$P569)+(COUNTIF($P569:$S569,$P569)-1)/2</f>
        <v>1</v>
      </c>
      <c r="Y569" s="0" t="n">
        <f aca="false">1+COUNTIF($P569:$S569,"&gt;"&amp;$Q569)+(COUNTIF($P569:$S569,$Q569)-1)/2</f>
        <v>3</v>
      </c>
      <c r="Z569" s="0" t="n">
        <f aca="false">1+COUNTIF($P569:$S569,"&gt;"&amp;$R569)+(COUNTIF($P569:$S569,$R569)-1)/2</f>
        <v>2</v>
      </c>
      <c r="AA569" s="0" t="n">
        <f aca="false">1+COUNTIF($P569:$S569,"&gt;"&amp;$S569)+(COUNTIF($P569:$S569,$S569)-1)/2</f>
        <v>4</v>
      </c>
      <c r="AB569" s="0" t="n">
        <f aca="false">1+COUNTIF($T569:$W569,"&gt;"&amp;$T569)+(COUNTIF($T569:$W569,$T569)-1)/2</f>
        <v>2</v>
      </c>
      <c r="AC569" s="0" t="n">
        <f aca="false">1+COUNTIF($T569:$W569,"&gt;"&amp;$U569)+(COUNTIF($T569:$W569,$U569)-1)/2</f>
        <v>4</v>
      </c>
      <c r="AD569" s="0" t="n">
        <f aca="false">1+COUNTIF($T569:$W569,"&gt;"&amp;$V569)+(COUNTIF($T569:$W569,$V569)-1)/2</f>
        <v>3</v>
      </c>
      <c r="AE569" s="0" t="n">
        <f aca="false">1+COUNTIF($T569:$W569,"&gt;"&amp;$W569)+(COUNTIF($T569:$W569,$W569)-1)/2</f>
        <v>1</v>
      </c>
      <c r="AF569" s="0" t="n">
        <f aca="false">IFERROR(CORREL($P569:$S569,$T569:$W569),"")</f>
        <v>-0.622606784659537</v>
      </c>
      <c r="AG569" s="0" t="n">
        <f aca="false">IFERROR(CORREL($X569:$AA569,$AB569:$AE569),"")</f>
        <v>-0.2</v>
      </c>
      <c r="AH569" s="0" t="n">
        <f aca="false">IFERROR((SIGN($P569-$Q569)*SIGN($T569-$U569)+SIGN($P569-$R569)*SIGN($T569-$V569)+SIGN($P569-$S569)*SIGN($T569-$W569)+SIGN($Q569-$R569)*SIGN($U569-$V569)+SIGN($Q569-$S569)*SIGN($U569-$W569)+SIGN($R569-$S569)*SIGN($V569-$W569))/SQRT((6-(($P569=$Q569)*1+($P569=$R569)*1+($P569=$S569)*1+($Q569=$R569)*1+($Q569=$S569)*1+($R569=$S569)*1))*(6-(($T569=$U569)*1+($T569=$V569)*1+($T569=$W569)*1+($U569=$V569)*1+($U569=$W569)*1+($V569=$W569)*1))),"")</f>
        <v>0</v>
      </c>
      <c r="AI569" s="0" t="n">
        <f aca="false">MATCH(MAX($K569:$O569),$K569:$O569,0)</f>
        <v>1</v>
      </c>
      <c r="AJ569" s="0" t="n">
        <f aca="false">IF(AI569&lt;&gt;$E569,1,0)</f>
        <v>0</v>
      </c>
      <c r="AK569" s="0" t="str">
        <f aca="false">IF(AJ569=1,INDEX($F569:$J569,AI569)/MAX($P569:$S569),"")</f>
        <v/>
      </c>
      <c r="AL569" s="0" t="str">
        <f aca="false">IF(AJ569=1,1+COUNTIF($P569:$S569,"&gt;"&amp;INDEX($F569:$J569,AI569)),"")</f>
        <v/>
      </c>
      <c r="AM569" s="0" t="n">
        <f aca="false">AVERAGE($P569:$S569)/MAX($P569:$S569)</f>
        <v>0.66</v>
      </c>
      <c r="AN569" s="0" t="n">
        <f aca="false">100-INDEX($F569:$J569,$E569)</f>
        <v>46.2</v>
      </c>
    </row>
    <row r="570" customFormat="false" ht="15" hidden="false" customHeight="false" outlineLevel="0" collapsed="false">
      <c r="A570" s="0" t="s">
        <v>61</v>
      </c>
      <c r="B570" s="0" t="n">
        <v>2023</v>
      </c>
      <c r="C570" s="0" t="s">
        <v>58</v>
      </c>
      <c r="D570" s="0" t="s">
        <v>43</v>
      </c>
      <c r="E570" s="0" t="n">
        <v>2</v>
      </c>
      <c r="F570" s="0" t="n">
        <v>12.7</v>
      </c>
      <c r="G570" s="0" t="n">
        <v>40.1</v>
      </c>
      <c r="H570" s="0" t="n">
        <v>13.3</v>
      </c>
      <c r="I570" s="0" t="n">
        <v>13</v>
      </c>
      <c r="J570" s="0" t="n">
        <v>20.8</v>
      </c>
      <c r="K570" s="0" t="n">
        <v>16.4377304524</v>
      </c>
      <c r="L570" s="0" t="n">
        <v>4.19490813043</v>
      </c>
      <c r="M570" s="0" t="n">
        <v>3.24797204542</v>
      </c>
      <c r="N570" s="0" t="n">
        <v>31.041776422</v>
      </c>
      <c r="O570" s="0" t="n">
        <v>45.0776129498</v>
      </c>
      <c r="P570" s="0" t="n">
        <f aca="false">INDEX($F570:$J570,IF(1&lt;$E570,1,1+1))</f>
        <v>12.7</v>
      </c>
      <c r="Q570" s="0" t="n">
        <f aca="false">INDEX($F570:$J570,IF(2&lt;$E570,2,2+1))</f>
        <v>13.3</v>
      </c>
      <c r="R570" s="0" t="n">
        <f aca="false">INDEX($F570:$J570,IF(3&lt;$E570,3,3+1))</f>
        <v>13</v>
      </c>
      <c r="S570" s="0" t="n">
        <f aca="false">INDEX($F570:$J570,IF(4&lt;$E570,4,4+1))</f>
        <v>20.8</v>
      </c>
      <c r="T570" s="0" t="n">
        <f aca="false">INDEX($K570:$O570,IF(1&lt;$E570,1,1+1))</f>
        <v>16.4377304524</v>
      </c>
      <c r="U570" s="0" t="n">
        <f aca="false">INDEX($K570:$O570,IF(2&lt;$E570,2,2+1))</f>
        <v>3.24797204542</v>
      </c>
      <c r="V570" s="0" t="n">
        <f aca="false">INDEX($K570:$O570,IF(3&lt;$E570,3,3+1))</f>
        <v>31.041776422</v>
      </c>
      <c r="W570" s="0" t="n">
        <f aca="false">INDEX($K570:$O570,IF(4&lt;$E570,4,4+1))</f>
        <v>45.0776129498</v>
      </c>
      <c r="X570" s="0" t="n">
        <f aca="false">1+COUNTIF($P570:$S570,"&gt;"&amp;$P570)+(COUNTIF($P570:$S570,$P570)-1)/2</f>
        <v>4</v>
      </c>
      <c r="Y570" s="0" t="n">
        <f aca="false">1+COUNTIF($P570:$S570,"&gt;"&amp;$Q570)+(COUNTIF($P570:$S570,$Q570)-1)/2</f>
        <v>2</v>
      </c>
      <c r="Z570" s="0" t="n">
        <f aca="false">1+COUNTIF($P570:$S570,"&gt;"&amp;$R570)+(COUNTIF($P570:$S570,$R570)-1)/2</f>
        <v>3</v>
      </c>
      <c r="AA570" s="0" t="n">
        <f aca="false">1+COUNTIF($P570:$S570,"&gt;"&amp;$S570)+(COUNTIF($P570:$S570,$S570)-1)/2</f>
        <v>1</v>
      </c>
      <c r="AB570" s="0" t="n">
        <f aca="false">1+COUNTIF($T570:$W570,"&gt;"&amp;$T570)+(COUNTIF($T570:$W570,$T570)-1)/2</f>
        <v>3</v>
      </c>
      <c r="AC570" s="0" t="n">
        <f aca="false">1+COUNTIF($T570:$W570,"&gt;"&amp;$U570)+(COUNTIF($T570:$W570,$U570)-1)/2</f>
        <v>4</v>
      </c>
      <c r="AD570" s="0" t="n">
        <f aca="false">1+COUNTIF($T570:$W570,"&gt;"&amp;$V570)+(COUNTIF($T570:$W570,$V570)-1)/2</f>
        <v>2</v>
      </c>
      <c r="AE570" s="0" t="n">
        <f aca="false">1+COUNTIF($T570:$W570,"&gt;"&amp;$W570)+(COUNTIF($T570:$W570,$W570)-1)/2</f>
        <v>1</v>
      </c>
      <c r="AF570" s="0" t="n">
        <f aca="false">IFERROR(CORREL($P570:$S570,$T570:$W570),"")</f>
        <v>0.758400340379065</v>
      </c>
      <c r="AG570" s="0" t="n">
        <f aca="false">IFERROR(CORREL($X570:$AA570,$AB570:$AE570),"")</f>
        <v>0.4</v>
      </c>
      <c r="AH570" s="0" t="n">
        <f aca="false">IFERROR((SIGN($P570-$Q570)*SIGN($T570-$U570)+SIGN($P570-$R570)*SIGN($T570-$V570)+SIGN($P570-$S570)*SIGN($T570-$W570)+SIGN($Q570-$R570)*SIGN($U570-$V570)+SIGN($Q570-$S570)*SIGN($U570-$W570)+SIGN($R570-$S570)*SIGN($V570-$W570))/SQRT((6-(($P570=$Q570)*1+($P570=$R570)*1+($P570=$S570)*1+($Q570=$R570)*1+($Q570=$S570)*1+($R570=$S570)*1))*(6-(($T570=$U570)*1+($T570=$V570)*1+($T570=$W570)*1+($U570=$V570)*1+($U570=$W570)*1+($V570=$W570)*1))),"")</f>
        <v>0.333333333333333</v>
      </c>
      <c r="AI570" s="0" t="n">
        <f aca="false">MATCH(MAX($K570:$O570),$K570:$O570,0)</f>
        <v>5</v>
      </c>
      <c r="AJ570" s="0" t="n">
        <f aca="false">IF(AI570&lt;&gt;$E570,1,0)</f>
        <v>1</v>
      </c>
      <c r="AK570" s="0" t="n">
        <f aca="false">IF(AJ570=1,INDEX($F570:$J570,AI570)/MAX($P570:$S570),"")</f>
        <v>1</v>
      </c>
      <c r="AL570" s="0" t="n">
        <f aca="false">IF(AJ570=1,1+COUNTIF($P570:$S570,"&gt;"&amp;INDEX($F570:$J570,AI570)),"")</f>
        <v>1</v>
      </c>
      <c r="AM570" s="0" t="n">
        <f aca="false">AVERAGE($P570:$S570)/MAX($P570:$S570)</f>
        <v>0.71875</v>
      </c>
      <c r="AN570" s="0" t="n">
        <f aca="false">100-INDEX($F570:$J570,$E570)</f>
        <v>59.9</v>
      </c>
    </row>
    <row r="571" customFormat="false" ht="15" hidden="false" customHeight="false" outlineLevel="0" collapsed="false">
      <c r="A571" s="0" t="s">
        <v>61</v>
      </c>
      <c r="B571" s="0" t="n">
        <v>2023</v>
      </c>
      <c r="C571" s="0" t="s">
        <v>58</v>
      </c>
      <c r="D571" s="0" t="s">
        <v>44</v>
      </c>
      <c r="E571" s="0" t="n">
        <v>4</v>
      </c>
      <c r="F571" s="0" t="n">
        <v>10</v>
      </c>
      <c r="G571" s="0" t="n">
        <v>11.2</v>
      </c>
      <c r="H571" s="0" t="n">
        <v>15.7</v>
      </c>
      <c r="I571" s="0" t="n">
        <v>54.3</v>
      </c>
      <c r="J571" s="0" t="n">
        <v>8.8</v>
      </c>
      <c r="K571" s="0" t="n">
        <v>35.9526893192</v>
      </c>
      <c r="L571" s="0" t="n">
        <v>4.47047393319</v>
      </c>
      <c r="M571" s="0" t="n">
        <v>31.7465471952</v>
      </c>
      <c r="N571" s="0" t="n">
        <v>14.6205713487</v>
      </c>
      <c r="O571" s="0" t="n">
        <v>13.2097182037</v>
      </c>
      <c r="P571" s="0" t="n">
        <f aca="false">INDEX($F571:$J571,IF(1&lt;$E571,1,1+1))</f>
        <v>10</v>
      </c>
      <c r="Q571" s="0" t="n">
        <f aca="false">INDEX($F571:$J571,IF(2&lt;$E571,2,2+1))</f>
        <v>11.2</v>
      </c>
      <c r="R571" s="0" t="n">
        <f aca="false">INDEX($F571:$J571,IF(3&lt;$E571,3,3+1))</f>
        <v>15.7</v>
      </c>
      <c r="S571" s="0" t="n">
        <f aca="false">INDEX($F571:$J571,IF(4&lt;$E571,4,4+1))</f>
        <v>8.8</v>
      </c>
      <c r="T571" s="0" t="n">
        <f aca="false">INDEX($K571:$O571,IF(1&lt;$E571,1,1+1))</f>
        <v>35.9526893192</v>
      </c>
      <c r="U571" s="0" t="n">
        <f aca="false">INDEX($K571:$O571,IF(2&lt;$E571,2,2+1))</f>
        <v>4.47047393319</v>
      </c>
      <c r="V571" s="0" t="n">
        <f aca="false">INDEX($K571:$O571,IF(3&lt;$E571,3,3+1))</f>
        <v>31.7465471952</v>
      </c>
      <c r="W571" s="0" t="n">
        <f aca="false">INDEX($K571:$O571,IF(4&lt;$E571,4,4+1))</f>
        <v>13.2097182037</v>
      </c>
      <c r="X571" s="0" t="n">
        <f aca="false">1+COUNTIF($P571:$S571,"&gt;"&amp;$P571)+(COUNTIF($P571:$S571,$P571)-1)/2</f>
        <v>3</v>
      </c>
      <c r="Y571" s="0" t="n">
        <f aca="false">1+COUNTIF($P571:$S571,"&gt;"&amp;$Q571)+(COUNTIF($P571:$S571,$Q571)-1)/2</f>
        <v>2</v>
      </c>
      <c r="Z571" s="0" t="n">
        <f aca="false">1+COUNTIF($P571:$S571,"&gt;"&amp;$R571)+(COUNTIF($P571:$S571,$R571)-1)/2</f>
        <v>1</v>
      </c>
      <c r="AA571" s="0" t="n">
        <f aca="false">1+COUNTIF($P571:$S571,"&gt;"&amp;$S571)+(COUNTIF($P571:$S571,$S571)-1)/2</f>
        <v>4</v>
      </c>
      <c r="AB571" s="0" t="n">
        <f aca="false">1+COUNTIF($T571:$W571,"&gt;"&amp;$T571)+(COUNTIF($T571:$W571,$T571)-1)/2</f>
        <v>1</v>
      </c>
      <c r="AC571" s="0" t="n">
        <f aca="false">1+COUNTIF($T571:$W571,"&gt;"&amp;$U571)+(COUNTIF($T571:$W571,$U571)-1)/2</f>
        <v>4</v>
      </c>
      <c r="AD571" s="0" t="n">
        <f aca="false">1+COUNTIF($T571:$W571,"&gt;"&amp;$V571)+(COUNTIF($T571:$W571,$V571)-1)/2</f>
        <v>2</v>
      </c>
      <c r="AE571" s="0" t="n">
        <f aca="false">1+COUNTIF($T571:$W571,"&gt;"&amp;$W571)+(COUNTIF($T571:$W571,$W571)-1)/2</f>
        <v>3</v>
      </c>
      <c r="AF571" s="0" t="n">
        <f aca="false">IFERROR(CORREL($P571:$S571,$T571:$W571),"")</f>
        <v>0.360520510576486</v>
      </c>
      <c r="AG571" s="0" t="n">
        <f aca="false">IFERROR(CORREL($X571:$AA571,$AB571:$AE571),"")</f>
        <v>0</v>
      </c>
      <c r="AH571" s="0" t="n">
        <f aca="false">IFERROR((SIGN($P571-$Q571)*SIGN($T571-$U571)+SIGN($P571-$R571)*SIGN($T571-$V571)+SIGN($P571-$S571)*SIGN($T571-$W571)+SIGN($Q571-$R571)*SIGN($U571-$V571)+SIGN($Q571-$S571)*SIGN($U571-$W571)+SIGN($R571-$S571)*SIGN($V571-$W571))/SQRT((6-(($P571=$Q571)*1+($P571=$R571)*1+($P571=$S571)*1+($Q571=$R571)*1+($Q571=$S571)*1+($R571=$S571)*1))*(6-(($T571=$U571)*1+($T571=$V571)*1+($T571=$W571)*1+($U571=$V571)*1+($U571=$W571)*1+($V571=$W571)*1))),"")</f>
        <v>0</v>
      </c>
      <c r="AI571" s="0" t="n">
        <f aca="false">MATCH(MAX($K571:$O571),$K571:$O571,0)</f>
        <v>1</v>
      </c>
      <c r="AJ571" s="0" t="n">
        <f aca="false">IF(AI571&lt;&gt;$E571,1,0)</f>
        <v>1</v>
      </c>
      <c r="AK571" s="0" t="n">
        <f aca="false">IF(AJ571=1,INDEX($F571:$J571,AI571)/MAX($P571:$S571),"")</f>
        <v>0.636942675159236</v>
      </c>
      <c r="AL571" s="0" t="n">
        <f aca="false">IF(AJ571=1,1+COUNTIF($P571:$S571,"&gt;"&amp;INDEX($F571:$J571,AI571)),"")</f>
        <v>3</v>
      </c>
      <c r="AM571" s="0" t="n">
        <f aca="false">AVERAGE($P571:$S571)/MAX($P571:$S571)</f>
        <v>0.727707006369427</v>
      </c>
      <c r="AN571" s="0" t="n">
        <f aca="false">100-INDEX($F571:$J571,$E571)</f>
        <v>45.7</v>
      </c>
    </row>
    <row r="572" customFormat="false" ht="15" hidden="false" customHeight="false" outlineLevel="0" collapsed="false">
      <c r="A572" s="0" t="s">
        <v>61</v>
      </c>
      <c r="B572" s="0" t="n">
        <v>2023</v>
      </c>
      <c r="C572" s="0" t="s">
        <v>58</v>
      </c>
      <c r="D572" s="0" t="s">
        <v>45</v>
      </c>
      <c r="E572" s="0" t="n">
        <v>4</v>
      </c>
      <c r="F572" s="0" t="n">
        <v>12.1</v>
      </c>
      <c r="G572" s="0" t="n">
        <v>18.3</v>
      </c>
      <c r="H572" s="0" t="n">
        <v>10.9</v>
      </c>
      <c r="I572" s="0" t="n">
        <v>48.3</v>
      </c>
      <c r="J572" s="0" t="n">
        <v>10.4</v>
      </c>
      <c r="K572" s="0" t="n">
        <v>35.0931205015</v>
      </c>
      <c r="L572" s="0" t="n">
        <v>13.2747826408</v>
      </c>
      <c r="M572" s="0" t="n">
        <v>5.50642640653</v>
      </c>
      <c r="N572" s="0" t="n">
        <v>41.3901718551</v>
      </c>
      <c r="O572" s="0" t="n">
        <v>4.73549859604</v>
      </c>
      <c r="P572" s="0" t="n">
        <f aca="false">INDEX($F572:$J572,IF(1&lt;$E572,1,1+1))</f>
        <v>12.1</v>
      </c>
      <c r="Q572" s="0" t="n">
        <f aca="false">INDEX($F572:$J572,IF(2&lt;$E572,2,2+1))</f>
        <v>18.3</v>
      </c>
      <c r="R572" s="0" t="n">
        <f aca="false">INDEX($F572:$J572,IF(3&lt;$E572,3,3+1))</f>
        <v>10.9</v>
      </c>
      <c r="S572" s="0" t="n">
        <f aca="false">INDEX($F572:$J572,IF(4&lt;$E572,4,4+1))</f>
        <v>10.4</v>
      </c>
      <c r="T572" s="0" t="n">
        <f aca="false">INDEX($K572:$O572,IF(1&lt;$E572,1,1+1))</f>
        <v>35.0931205015</v>
      </c>
      <c r="U572" s="0" t="n">
        <f aca="false">INDEX($K572:$O572,IF(2&lt;$E572,2,2+1))</f>
        <v>13.2747826408</v>
      </c>
      <c r="V572" s="0" t="n">
        <f aca="false">INDEX($K572:$O572,IF(3&lt;$E572,3,3+1))</f>
        <v>5.50642640653</v>
      </c>
      <c r="W572" s="0" t="n">
        <f aca="false">INDEX($K572:$O572,IF(4&lt;$E572,4,4+1))</f>
        <v>4.73549859604</v>
      </c>
      <c r="X572" s="0" t="n">
        <f aca="false">1+COUNTIF($P572:$S572,"&gt;"&amp;$P572)+(COUNTIF($P572:$S572,$P572)-1)/2</f>
        <v>2</v>
      </c>
      <c r="Y572" s="0" t="n">
        <f aca="false">1+COUNTIF($P572:$S572,"&gt;"&amp;$Q572)+(COUNTIF($P572:$S572,$Q572)-1)/2</f>
        <v>1</v>
      </c>
      <c r="Z572" s="0" t="n">
        <f aca="false">1+COUNTIF($P572:$S572,"&gt;"&amp;$R572)+(COUNTIF($P572:$S572,$R572)-1)/2</f>
        <v>3</v>
      </c>
      <c r="AA572" s="0" t="n">
        <f aca="false">1+COUNTIF($P572:$S572,"&gt;"&amp;$S572)+(COUNTIF($P572:$S572,$S572)-1)/2</f>
        <v>4</v>
      </c>
      <c r="AB572" s="0" t="n">
        <f aca="false">1+COUNTIF($T572:$W572,"&gt;"&amp;$T572)+(COUNTIF($T572:$W572,$T572)-1)/2</f>
        <v>1</v>
      </c>
      <c r="AC572" s="0" t="n">
        <f aca="false">1+COUNTIF($T572:$W572,"&gt;"&amp;$U572)+(COUNTIF($T572:$W572,$U572)-1)/2</f>
        <v>2</v>
      </c>
      <c r="AD572" s="0" t="n">
        <f aca="false">1+COUNTIF($T572:$W572,"&gt;"&amp;$V572)+(COUNTIF($T572:$W572,$V572)-1)/2</f>
        <v>3</v>
      </c>
      <c r="AE572" s="0" t="n">
        <f aca="false">1+COUNTIF($T572:$W572,"&gt;"&amp;$W572)+(COUNTIF($T572:$W572,$W572)-1)/2</f>
        <v>4</v>
      </c>
      <c r="AF572" s="0" t="n">
        <f aca="false">IFERROR(CORREL($P572:$S572,$T572:$W572),"")</f>
        <v>0.124281123313268</v>
      </c>
      <c r="AG572" s="0" t="n">
        <f aca="false">IFERROR(CORREL($X572:$AA572,$AB572:$AE572),"")</f>
        <v>0.8</v>
      </c>
      <c r="AH572" s="0" t="n">
        <f aca="false">IFERROR((SIGN($P572-$Q572)*SIGN($T572-$U572)+SIGN($P572-$R572)*SIGN($T572-$V572)+SIGN($P572-$S572)*SIGN($T572-$W572)+SIGN($Q572-$R572)*SIGN($U572-$V572)+SIGN($Q572-$S572)*SIGN($U572-$W572)+SIGN($R572-$S572)*SIGN($V572-$W572))/SQRT((6-(($P572=$Q572)*1+($P572=$R572)*1+($P572=$S572)*1+($Q572=$R572)*1+($Q572=$S572)*1+($R572=$S572)*1))*(6-(($T572=$U572)*1+($T572=$V572)*1+($T572=$W572)*1+($U572=$V572)*1+($U572=$W572)*1+($V572=$W572)*1))),"")</f>
        <v>0.666666666666667</v>
      </c>
      <c r="AI572" s="0" t="n">
        <f aca="false">MATCH(MAX($K572:$O572),$K572:$O572,0)</f>
        <v>4</v>
      </c>
      <c r="AJ572" s="0" t="n">
        <f aca="false">IF(AI572&lt;&gt;$E572,1,0)</f>
        <v>0</v>
      </c>
      <c r="AK572" s="0" t="str">
        <f aca="false">IF(AJ572=1,INDEX($F572:$J572,AI572)/MAX($P572:$S572),"")</f>
        <v/>
      </c>
      <c r="AL572" s="0" t="str">
        <f aca="false">IF(AJ572=1,1+COUNTIF($P572:$S572,"&gt;"&amp;INDEX($F572:$J572,AI572)),"")</f>
        <v/>
      </c>
      <c r="AM572" s="0" t="n">
        <f aca="false">AVERAGE($P572:$S572)/MAX($P572:$S572)</f>
        <v>0.706284153005465</v>
      </c>
      <c r="AN572" s="0" t="n">
        <f aca="false">100-INDEX($F572:$J572,$E572)</f>
        <v>51.7</v>
      </c>
    </row>
    <row r="573" customFormat="false" ht="15" hidden="false" customHeight="false" outlineLevel="0" collapsed="false">
      <c r="A573" s="0" t="s">
        <v>61</v>
      </c>
      <c r="B573" s="0" t="n">
        <v>2023</v>
      </c>
      <c r="C573" s="0" t="s">
        <v>49</v>
      </c>
      <c r="D573" s="0" t="s">
        <v>42</v>
      </c>
      <c r="E573" s="0" t="n">
        <v>1</v>
      </c>
      <c r="F573" s="0" t="n">
        <v>48.8</v>
      </c>
      <c r="G573" s="0" t="n">
        <v>7.4</v>
      </c>
      <c r="H573" s="0" t="n">
        <v>14.1</v>
      </c>
      <c r="I573" s="0" t="n">
        <v>16.2</v>
      </c>
      <c r="J573" s="0" t="n">
        <v>13.4</v>
      </c>
      <c r="K573" s="0" t="n">
        <v>97.6979314125</v>
      </c>
      <c r="L573" s="0" t="n">
        <v>2.17114504692</v>
      </c>
      <c r="M573" s="0" t="n">
        <v>0.00430806612891</v>
      </c>
      <c r="N573" s="0" t="n">
        <v>0.0780236938257</v>
      </c>
      <c r="O573" s="0" t="n">
        <v>0.0485917806317</v>
      </c>
      <c r="P573" s="0" t="n">
        <f aca="false">INDEX($F573:$J573,IF(1&lt;$E573,1,1+1))</f>
        <v>7.4</v>
      </c>
      <c r="Q573" s="0" t="n">
        <f aca="false">INDEX($F573:$J573,IF(2&lt;$E573,2,2+1))</f>
        <v>14.1</v>
      </c>
      <c r="R573" s="0" t="n">
        <f aca="false">INDEX($F573:$J573,IF(3&lt;$E573,3,3+1))</f>
        <v>16.2</v>
      </c>
      <c r="S573" s="0" t="n">
        <f aca="false">INDEX($F573:$J573,IF(4&lt;$E573,4,4+1))</f>
        <v>13.4</v>
      </c>
      <c r="T573" s="0" t="n">
        <f aca="false">INDEX($K573:$O573,IF(1&lt;$E573,1,1+1))</f>
        <v>2.17114504692</v>
      </c>
      <c r="U573" s="0" t="n">
        <f aca="false">INDEX($K573:$O573,IF(2&lt;$E573,2,2+1))</f>
        <v>0.00430806612891</v>
      </c>
      <c r="V573" s="0" t="n">
        <f aca="false">INDEX($K573:$O573,IF(3&lt;$E573,3,3+1))</f>
        <v>0.0780236938257</v>
      </c>
      <c r="W573" s="0" t="n">
        <f aca="false">INDEX($K573:$O573,IF(4&lt;$E573,4,4+1))</f>
        <v>0.0485917806317</v>
      </c>
      <c r="X573" s="0" t="n">
        <f aca="false">1+COUNTIF($P573:$S573,"&gt;"&amp;$P573)+(COUNTIF($P573:$S573,$P573)-1)/2</f>
        <v>4</v>
      </c>
      <c r="Y573" s="0" t="n">
        <f aca="false">1+COUNTIF($P573:$S573,"&gt;"&amp;$Q573)+(COUNTIF($P573:$S573,$Q573)-1)/2</f>
        <v>2</v>
      </c>
      <c r="Z573" s="0" t="n">
        <f aca="false">1+COUNTIF($P573:$S573,"&gt;"&amp;$R573)+(COUNTIF($P573:$S573,$R573)-1)/2</f>
        <v>1</v>
      </c>
      <c r="AA573" s="0" t="n">
        <f aca="false">1+COUNTIF($P573:$S573,"&gt;"&amp;$S573)+(COUNTIF($P573:$S573,$S573)-1)/2</f>
        <v>3</v>
      </c>
      <c r="AB573" s="0" t="n">
        <f aca="false">1+COUNTIF($T573:$W573,"&gt;"&amp;$T573)+(COUNTIF($T573:$W573,$T573)-1)/2</f>
        <v>1</v>
      </c>
      <c r="AC573" s="0" t="n">
        <f aca="false">1+COUNTIF($T573:$W573,"&gt;"&amp;$U573)+(COUNTIF($T573:$W573,$U573)-1)/2</f>
        <v>4</v>
      </c>
      <c r="AD573" s="0" t="n">
        <f aca="false">1+COUNTIF($T573:$W573,"&gt;"&amp;$V573)+(COUNTIF($T573:$W573,$V573)-1)/2</f>
        <v>2</v>
      </c>
      <c r="AE573" s="0" t="n">
        <f aca="false">1+COUNTIF($T573:$W573,"&gt;"&amp;$W573)+(COUNTIF($T573:$W573,$W573)-1)/2</f>
        <v>3</v>
      </c>
      <c r="AF573" s="0" t="n">
        <f aca="false">IFERROR(CORREL($P573:$S573,$T573:$W573),"")</f>
        <v>-0.942966802781958</v>
      </c>
      <c r="AG573" s="0" t="n">
        <f aca="false">IFERROR(CORREL($X573:$AA573,$AB573:$AE573),"")</f>
        <v>-0.4</v>
      </c>
      <c r="AH573" s="0" t="n">
        <f aca="false">IFERROR((SIGN($P573-$Q573)*SIGN($T573-$U573)+SIGN($P573-$R573)*SIGN($T573-$V573)+SIGN($P573-$S573)*SIGN($T573-$W573)+SIGN($Q573-$R573)*SIGN($U573-$V573)+SIGN($Q573-$S573)*SIGN($U573-$W573)+SIGN($R573-$S573)*SIGN($V573-$W573))/SQRT((6-(($P573=$Q573)*1+($P573=$R573)*1+($P573=$S573)*1+($Q573=$R573)*1+($Q573=$S573)*1+($R573=$S573)*1))*(6-(($T573=$U573)*1+($T573=$V573)*1+($T573=$W573)*1+($U573=$V573)*1+($U573=$W573)*1+($V573=$W573)*1))),"")</f>
        <v>-0.333333333333333</v>
      </c>
      <c r="AI573" s="0" t="n">
        <f aca="false">MATCH(MAX($K573:$O573),$K573:$O573,0)</f>
        <v>1</v>
      </c>
      <c r="AJ573" s="0" t="n">
        <f aca="false">IF(AI573&lt;&gt;$E573,1,0)</f>
        <v>0</v>
      </c>
      <c r="AK573" s="0" t="str">
        <f aca="false">IF(AJ573=1,INDEX($F573:$J573,AI573)/MAX($P573:$S573),"")</f>
        <v/>
      </c>
      <c r="AL573" s="0" t="str">
        <f aca="false">IF(AJ573=1,1+COUNTIF($P573:$S573,"&gt;"&amp;INDEX($F573:$J573,AI573)),"")</f>
        <v/>
      </c>
      <c r="AM573" s="0" t="n">
        <f aca="false">AVERAGE($P573:$S573)/MAX($P573:$S573)</f>
        <v>0.78858024691358</v>
      </c>
      <c r="AN573" s="0" t="n">
        <f aca="false">100-INDEX($F573:$J573,$E573)</f>
        <v>51.2</v>
      </c>
    </row>
    <row r="574" customFormat="false" ht="15" hidden="false" customHeight="false" outlineLevel="0" collapsed="false">
      <c r="A574" s="0" t="s">
        <v>61</v>
      </c>
      <c r="B574" s="0" t="n">
        <v>2023</v>
      </c>
      <c r="C574" s="0" t="s">
        <v>49</v>
      </c>
      <c r="D574" s="0" t="s">
        <v>43</v>
      </c>
      <c r="E574" s="0" t="n">
        <v>3</v>
      </c>
      <c r="F574" s="0" t="n">
        <v>21.4</v>
      </c>
      <c r="G574" s="0" t="n">
        <v>18.8</v>
      </c>
      <c r="H574" s="0" t="n">
        <v>39</v>
      </c>
      <c r="I574" s="0" t="n">
        <v>11.9</v>
      </c>
      <c r="J574" s="0" t="n">
        <v>8.9</v>
      </c>
      <c r="K574" s="0" t="n">
        <v>2.86623989382</v>
      </c>
      <c r="L574" s="0" t="n">
        <v>28.3752139041</v>
      </c>
      <c r="M574" s="0" t="n">
        <v>54.0251535712</v>
      </c>
      <c r="N574" s="0" t="n">
        <v>1.01386064164</v>
      </c>
      <c r="O574" s="0" t="n">
        <v>13.7195319892</v>
      </c>
      <c r="P574" s="0" t="n">
        <f aca="false">INDEX($F574:$J574,IF(1&lt;$E574,1,1+1))</f>
        <v>21.4</v>
      </c>
      <c r="Q574" s="0" t="n">
        <f aca="false">INDEX($F574:$J574,IF(2&lt;$E574,2,2+1))</f>
        <v>18.8</v>
      </c>
      <c r="R574" s="0" t="n">
        <f aca="false">INDEX($F574:$J574,IF(3&lt;$E574,3,3+1))</f>
        <v>11.9</v>
      </c>
      <c r="S574" s="0" t="n">
        <f aca="false">INDEX($F574:$J574,IF(4&lt;$E574,4,4+1))</f>
        <v>8.9</v>
      </c>
      <c r="T574" s="0" t="n">
        <f aca="false">INDEX($K574:$O574,IF(1&lt;$E574,1,1+1))</f>
        <v>2.86623989382</v>
      </c>
      <c r="U574" s="0" t="n">
        <f aca="false">INDEX($K574:$O574,IF(2&lt;$E574,2,2+1))</f>
        <v>28.3752139041</v>
      </c>
      <c r="V574" s="0" t="n">
        <f aca="false">INDEX($K574:$O574,IF(3&lt;$E574,3,3+1))</f>
        <v>1.01386064164</v>
      </c>
      <c r="W574" s="0" t="n">
        <f aca="false">INDEX($K574:$O574,IF(4&lt;$E574,4,4+1))</f>
        <v>13.7195319892</v>
      </c>
      <c r="X574" s="0" t="n">
        <f aca="false">1+COUNTIF($P574:$S574,"&gt;"&amp;$P574)+(COUNTIF($P574:$S574,$P574)-1)/2</f>
        <v>1</v>
      </c>
      <c r="Y574" s="0" t="n">
        <f aca="false">1+COUNTIF($P574:$S574,"&gt;"&amp;$Q574)+(COUNTIF($P574:$S574,$Q574)-1)/2</f>
        <v>2</v>
      </c>
      <c r="Z574" s="0" t="n">
        <f aca="false">1+COUNTIF($P574:$S574,"&gt;"&amp;$R574)+(COUNTIF($P574:$S574,$R574)-1)/2</f>
        <v>3</v>
      </c>
      <c r="AA574" s="0" t="n">
        <f aca="false">1+COUNTIF($P574:$S574,"&gt;"&amp;$S574)+(COUNTIF($P574:$S574,$S574)-1)/2</f>
        <v>4</v>
      </c>
      <c r="AB574" s="0" t="n">
        <f aca="false">1+COUNTIF($T574:$W574,"&gt;"&amp;$T574)+(COUNTIF($T574:$W574,$T574)-1)/2</f>
        <v>3</v>
      </c>
      <c r="AC574" s="0" t="n">
        <f aca="false">1+COUNTIF($T574:$W574,"&gt;"&amp;$U574)+(COUNTIF($T574:$W574,$U574)-1)/2</f>
        <v>1</v>
      </c>
      <c r="AD574" s="0" t="n">
        <f aca="false">1+COUNTIF($T574:$W574,"&gt;"&amp;$V574)+(COUNTIF($T574:$W574,$V574)-1)/2</f>
        <v>4</v>
      </c>
      <c r="AE574" s="0" t="n">
        <f aca="false">1+COUNTIF($T574:$W574,"&gt;"&amp;$W574)+(COUNTIF($T574:$W574,$W574)-1)/2</f>
        <v>2</v>
      </c>
      <c r="AF574" s="0" t="n">
        <f aca="false">IFERROR(CORREL($P574:$S574,$T574:$W574),"")</f>
        <v>0.126623255021327</v>
      </c>
      <c r="AG574" s="0" t="n">
        <f aca="false">IFERROR(CORREL($X574:$AA574,$AB574:$AE574),"")</f>
        <v>0</v>
      </c>
      <c r="AH574" s="0" t="n">
        <f aca="false">IFERROR((SIGN($P574-$Q574)*SIGN($T574-$U574)+SIGN($P574-$R574)*SIGN($T574-$V574)+SIGN($P574-$S574)*SIGN($T574-$W574)+SIGN($Q574-$R574)*SIGN($U574-$V574)+SIGN($Q574-$S574)*SIGN($U574-$W574)+SIGN($R574-$S574)*SIGN($V574-$W574))/SQRT((6-(($P574=$Q574)*1+($P574=$R574)*1+($P574=$S574)*1+($Q574=$R574)*1+($Q574=$S574)*1+($R574=$S574)*1))*(6-(($T574=$U574)*1+($T574=$V574)*1+($T574=$W574)*1+($U574=$V574)*1+($U574=$W574)*1+($V574=$W574)*1))),"")</f>
        <v>0</v>
      </c>
      <c r="AI574" s="0" t="n">
        <f aca="false">MATCH(MAX($K574:$O574),$K574:$O574,0)</f>
        <v>3</v>
      </c>
      <c r="AJ574" s="0" t="n">
        <f aca="false">IF(AI574&lt;&gt;$E574,1,0)</f>
        <v>0</v>
      </c>
      <c r="AK574" s="0" t="str">
        <f aca="false">IF(AJ574=1,INDEX($F574:$J574,AI574)/MAX($P574:$S574),"")</f>
        <v/>
      </c>
      <c r="AL574" s="0" t="str">
        <f aca="false">IF(AJ574=1,1+COUNTIF($P574:$S574,"&gt;"&amp;INDEX($F574:$J574,AI574)),"")</f>
        <v/>
      </c>
      <c r="AM574" s="0" t="n">
        <f aca="false">AVERAGE($P574:$S574)/MAX($P574:$S574)</f>
        <v>0.712616822429907</v>
      </c>
      <c r="AN574" s="0" t="n">
        <f aca="false">100-INDEX($F574:$J574,$E574)</f>
        <v>61</v>
      </c>
    </row>
    <row r="575" customFormat="false" ht="15" hidden="false" customHeight="false" outlineLevel="0" collapsed="false">
      <c r="A575" s="0" t="s">
        <v>61</v>
      </c>
      <c r="B575" s="0" t="n">
        <v>2023</v>
      </c>
      <c r="C575" s="0" t="s">
        <v>49</v>
      </c>
      <c r="D575" s="0" t="s">
        <v>44</v>
      </c>
      <c r="E575" s="0" t="n">
        <v>2</v>
      </c>
      <c r="F575" s="0" t="n">
        <v>10</v>
      </c>
      <c r="G575" s="0" t="n">
        <v>50.6</v>
      </c>
      <c r="H575" s="0" t="n">
        <v>13.4</v>
      </c>
      <c r="I575" s="0" t="n">
        <v>8</v>
      </c>
      <c r="J575" s="0" t="n">
        <v>18.1</v>
      </c>
      <c r="K575" s="0" t="n">
        <v>2.42589080427</v>
      </c>
      <c r="L575" s="0" t="n">
        <v>43.4569377748</v>
      </c>
      <c r="M575" s="0" t="n">
        <v>15.6882726908</v>
      </c>
      <c r="N575" s="0" t="n">
        <v>27.1111538873</v>
      </c>
      <c r="O575" s="0" t="n">
        <v>11.3177448429</v>
      </c>
      <c r="P575" s="0" t="n">
        <f aca="false">INDEX($F575:$J575,IF(1&lt;$E575,1,1+1))</f>
        <v>10</v>
      </c>
      <c r="Q575" s="0" t="n">
        <f aca="false">INDEX($F575:$J575,IF(2&lt;$E575,2,2+1))</f>
        <v>13.4</v>
      </c>
      <c r="R575" s="0" t="n">
        <f aca="false">INDEX($F575:$J575,IF(3&lt;$E575,3,3+1))</f>
        <v>8</v>
      </c>
      <c r="S575" s="0" t="n">
        <f aca="false">INDEX($F575:$J575,IF(4&lt;$E575,4,4+1))</f>
        <v>18.1</v>
      </c>
      <c r="T575" s="0" t="n">
        <f aca="false">INDEX($K575:$O575,IF(1&lt;$E575,1,1+1))</f>
        <v>2.42589080427</v>
      </c>
      <c r="U575" s="0" t="n">
        <f aca="false">INDEX($K575:$O575,IF(2&lt;$E575,2,2+1))</f>
        <v>15.6882726908</v>
      </c>
      <c r="V575" s="0" t="n">
        <f aca="false">INDEX($K575:$O575,IF(3&lt;$E575,3,3+1))</f>
        <v>27.1111538873</v>
      </c>
      <c r="W575" s="0" t="n">
        <f aca="false">INDEX($K575:$O575,IF(4&lt;$E575,4,4+1))</f>
        <v>11.3177448429</v>
      </c>
      <c r="X575" s="0" t="n">
        <f aca="false">1+COUNTIF($P575:$S575,"&gt;"&amp;$P575)+(COUNTIF($P575:$S575,$P575)-1)/2</f>
        <v>3</v>
      </c>
      <c r="Y575" s="0" t="n">
        <f aca="false">1+COUNTIF($P575:$S575,"&gt;"&amp;$Q575)+(COUNTIF($P575:$S575,$Q575)-1)/2</f>
        <v>2</v>
      </c>
      <c r="Z575" s="0" t="n">
        <f aca="false">1+COUNTIF($P575:$S575,"&gt;"&amp;$R575)+(COUNTIF($P575:$S575,$R575)-1)/2</f>
        <v>4</v>
      </c>
      <c r="AA575" s="0" t="n">
        <f aca="false">1+COUNTIF($P575:$S575,"&gt;"&amp;$S575)+(COUNTIF($P575:$S575,$S575)-1)/2</f>
        <v>1</v>
      </c>
      <c r="AB575" s="0" t="n">
        <f aca="false">1+COUNTIF($T575:$W575,"&gt;"&amp;$T575)+(COUNTIF($T575:$W575,$T575)-1)/2</f>
        <v>4</v>
      </c>
      <c r="AC575" s="0" t="n">
        <f aca="false">1+COUNTIF($T575:$W575,"&gt;"&amp;$U575)+(COUNTIF($T575:$W575,$U575)-1)/2</f>
        <v>2</v>
      </c>
      <c r="AD575" s="0" t="n">
        <f aca="false">1+COUNTIF($T575:$W575,"&gt;"&amp;$V575)+(COUNTIF($T575:$W575,$V575)-1)/2</f>
        <v>1</v>
      </c>
      <c r="AE575" s="0" t="n">
        <f aca="false">1+COUNTIF($T575:$W575,"&gt;"&amp;$W575)+(COUNTIF($T575:$W575,$W575)-1)/2</f>
        <v>3</v>
      </c>
      <c r="AF575" s="0" t="n">
        <f aca="false">IFERROR(CORREL($P575:$S575,$T575:$W575),"")</f>
        <v>-0.319717103284359</v>
      </c>
      <c r="AG575" s="0" t="n">
        <f aca="false">IFERROR(CORREL($X575:$AA575,$AB575:$AE575),"")</f>
        <v>-0.4</v>
      </c>
      <c r="AH575" s="0" t="n">
        <f aca="false">IFERROR((SIGN($P575-$Q575)*SIGN($T575-$U575)+SIGN($P575-$R575)*SIGN($T575-$V575)+SIGN($P575-$S575)*SIGN($T575-$W575)+SIGN($Q575-$R575)*SIGN($U575-$V575)+SIGN($Q575-$S575)*SIGN($U575-$W575)+SIGN($R575-$S575)*SIGN($V575-$W575))/SQRT((6-(($P575=$Q575)*1+($P575=$R575)*1+($P575=$S575)*1+($Q575=$R575)*1+($Q575=$S575)*1+($R575=$S575)*1))*(6-(($T575=$U575)*1+($T575=$V575)*1+($T575=$W575)*1+($U575=$V575)*1+($U575=$W575)*1+($V575=$W575)*1))),"")</f>
        <v>-0.333333333333333</v>
      </c>
      <c r="AI575" s="0" t="n">
        <f aca="false">MATCH(MAX($K575:$O575),$K575:$O575,0)</f>
        <v>2</v>
      </c>
      <c r="AJ575" s="0" t="n">
        <f aca="false">IF(AI575&lt;&gt;$E575,1,0)</f>
        <v>0</v>
      </c>
      <c r="AK575" s="0" t="str">
        <f aca="false">IF(AJ575=1,INDEX($F575:$J575,AI575)/MAX($P575:$S575),"")</f>
        <v/>
      </c>
      <c r="AL575" s="0" t="str">
        <f aca="false">IF(AJ575=1,1+COUNTIF($P575:$S575,"&gt;"&amp;INDEX($F575:$J575,AI575)),"")</f>
        <v/>
      </c>
      <c r="AM575" s="0" t="n">
        <f aca="false">AVERAGE($P575:$S575)/MAX($P575:$S575)</f>
        <v>0.683701657458564</v>
      </c>
      <c r="AN575" s="0" t="n">
        <f aca="false">100-INDEX($F575:$J575,$E575)</f>
        <v>49.4</v>
      </c>
    </row>
    <row r="576" customFormat="false" ht="15" hidden="false" customHeight="false" outlineLevel="0" collapsed="false">
      <c r="A576" s="0" t="s">
        <v>61</v>
      </c>
      <c r="B576" s="0" t="n">
        <v>2023</v>
      </c>
      <c r="C576" s="0" t="s">
        <v>49</v>
      </c>
      <c r="D576" s="0" t="s">
        <v>45</v>
      </c>
      <c r="E576" s="0" t="n">
        <v>1</v>
      </c>
      <c r="F576" s="0" t="n">
        <v>34.1</v>
      </c>
      <c r="G576" s="0" t="n">
        <v>19.6</v>
      </c>
      <c r="H576" s="0" t="n">
        <v>16.4</v>
      </c>
      <c r="I576" s="0" t="n">
        <v>19.3</v>
      </c>
      <c r="J576" s="0" t="n">
        <v>10.6</v>
      </c>
      <c r="K576" s="0" t="n">
        <v>32.6824070095</v>
      </c>
      <c r="L576" s="0" t="n">
        <v>13.4930289045</v>
      </c>
      <c r="M576" s="0" t="n">
        <v>32.3555732888</v>
      </c>
      <c r="N576" s="0" t="n">
        <v>2.73557163358</v>
      </c>
      <c r="O576" s="0" t="n">
        <v>18.7334191636</v>
      </c>
      <c r="P576" s="0" t="n">
        <f aca="false">INDEX($F576:$J576,IF(1&lt;$E576,1,1+1))</f>
        <v>19.6</v>
      </c>
      <c r="Q576" s="0" t="n">
        <f aca="false">INDEX($F576:$J576,IF(2&lt;$E576,2,2+1))</f>
        <v>16.4</v>
      </c>
      <c r="R576" s="0" t="n">
        <f aca="false">INDEX($F576:$J576,IF(3&lt;$E576,3,3+1))</f>
        <v>19.3</v>
      </c>
      <c r="S576" s="0" t="n">
        <f aca="false">INDEX($F576:$J576,IF(4&lt;$E576,4,4+1))</f>
        <v>10.6</v>
      </c>
      <c r="T576" s="0" t="n">
        <f aca="false">INDEX($K576:$O576,IF(1&lt;$E576,1,1+1))</f>
        <v>13.4930289045</v>
      </c>
      <c r="U576" s="0" t="n">
        <f aca="false">INDEX($K576:$O576,IF(2&lt;$E576,2,2+1))</f>
        <v>32.3555732888</v>
      </c>
      <c r="V576" s="0" t="n">
        <f aca="false">INDEX($K576:$O576,IF(3&lt;$E576,3,3+1))</f>
        <v>2.73557163358</v>
      </c>
      <c r="W576" s="0" t="n">
        <f aca="false">INDEX($K576:$O576,IF(4&lt;$E576,4,4+1))</f>
        <v>18.7334191636</v>
      </c>
      <c r="X576" s="0" t="n">
        <f aca="false">1+COUNTIF($P576:$S576,"&gt;"&amp;$P576)+(COUNTIF($P576:$S576,$P576)-1)/2</f>
        <v>1</v>
      </c>
      <c r="Y576" s="0" t="n">
        <f aca="false">1+COUNTIF($P576:$S576,"&gt;"&amp;$Q576)+(COUNTIF($P576:$S576,$Q576)-1)/2</f>
        <v>3</v>
      </c>
      <c r="Z576" s="0" t="n">
        <f aca="false">1+COUNTIF($P576:$S576,"&gt;"&amp;$R576)+(COUNTIF($P576:$S576,$R576)-1)/2</f>
        <v>2</v>
      </c>
      <c r="AA576" s="0" t="n">
        <f aca="false">1+COUNTIF($P576:$S576,"&gt;"&amp;$S576)+(COUNTIF($P576:$S576,$S576)-1)/2</f>
        <v>4</v>
      </c>
      <c r="AB576" s="0" t="n">
        <f aca="false">1+COUNTIF($T576:$W576,"&gt;"&amp;$T576)+(COUNTIF($T576:$W576,$T576)-1)/2</f>
        <v>3</v>
      </c>
      <c r="AC576" s="0" t="n">
        <f aca="false">1+COUNTIF($T576:$W576,"&gt;"&amp;$U576)+(COUNTIF($T576:$W576,$U576)-1)/2</f>
        <v>1</v>
      </c>
      <c r="AD576" s="0" t="n">
        <f aca="false">1+COUNTIF($T576:$W576,"&gt;"&amp;$V576)+(COUNTIF($T576:$W576,$V576)-1)/2</f>
        <v>4</v>
      </c>
      <c r="AE576" s="0" t="n">
        <f aca="false">1+COUNTIF($T576:$W576,"&gt;"&amp;$W576)+(COUNTIF($T576:$W576,$W576)-1)/2</f>
        <v>2</v>
      </c>
      <c r="AF576" s="0" t="n">
        <f aca="false">IFERROR(CORREL($P576:$S576,$T576:$W576),"")</f>
        <v>-0.406121772060712</v>
      </c>
      <c r="AG576" s="0" t="n">
        <f aca="false">IFERROR(CORREL($X576:$AA576,$AB576:$AE576),"")</f>
        <v>-0.6</v>
      </c>
      <c r="AH576" s="0" t="n">
        <f aca="false">IFERROR((SIGN($P576-$Q576)*SIGN($T576-$U576)+SIGN($P576-$R576)*SIGN($T576-$V576)+SIGN($P576-$S576)*SIGN($T576-$W576)+SIGN($Q576-$R576)*SIGN($U576-$V576)+SIGN($Q576-$S576)*SIGN($U576-$W576)+SIGN($R576-$S576)*SIGN($V576-$W576))/SQRT((6-(($P576=$Q576)*1+($P576=$R576)*1+($P576=$S576)*1+($Q576=$R576)*1+($Q576=$S576)*1+($R576=$S576)*1))*(6-(($T576=$U576)*1+($T576=$V576)*1+($T576=$W576)*1+($U576=$V576)*1+($U576=$W576)*1+($V576=$W576)*1))),"")</f>
        <v>-0.333333333333333</v>
      </c>
      <c r="AI576" s="0" t="n">
        <f aca="false">MATCH(MAX($K576:$O576),$K576:$O576,0)</f>
        <v>1</v>
      </c>
      <c r="AJ576" s="0" t="n">
        <f aca="false">IF(AI576&lt;&gt;$E576,1,0)</f>
        <v>0</v>
      </c>
      <c r="AK576" s="0" t="str">
        <f aca="false">IF(AJ576=1,INDEX($F576:$J576,AI576)/MAX($P576:$S576),"")</f>
        <v/>
      </c>
      <c r="AL576" s="0" t="str">
        <f aca="false">IF(AJ576=1,1+COUNTIF($P576:$S576,"&gt;"&amp;INDEX($F576:$J576,AI576)),"")</f>
        <v/>
      </c>
      <c r="AM576" s="0" t="n">
        <f aca="false">AVERAGE($P576:$S576)/MAX($P576:$S576)</f>
        <v>0.840561224489796</v>
      </c>
      <c r="AN576" s="0" t="n">
        <f aca="false">100-INDEX($F576:$J576,$E576)</f>
        <v>65.9</v>
      </c>
    </row>
    <row r="577" customFormat="false" ht="15" hidden="false" customHeight="false" outlineLevel="0" collapsed="false">
      <c r="A577" s="0" t="s">
        <v>61</v>
      </c>
      <c r="B577" s="0" t="n">
        <v>2023</v>
      </c>
      <c r="C577" s="0" t="s">
        <v>51</v>
      </c>
      <c r="D577" s="0" t="s">
        <v>42</v>
      </c>
      <c r="E577" s="0" t="n">
        <v>4</v>
      </c>
      <c r="F577" s="0" t="n">
        <v>9.7</v>
      </c>
      <c r="G577" s="0" t="n">
        <v>12.5</v>
      </c>
      <c r="H577" s="0" t="n">
        <v>18.1</v>
      </c>
      <c r="I577" s="0" t="n">
        <v>48.9</v>
      </c>
      <c r="J577" s="0" t="n">
        <v>10.7</v>
      </c>
      <c r="K577" s="0" t="n">
        <v>8.83970115268</v>
      </c>
      <c r="L577" s="0" t="n">
        <v>5.27034570148</v>
      </c>
      <c r="M577" s="0" t="n">
        <v>29.238504095</v>
      </c>
      <c r="N577" s="0" t="n">
        <v>0.707988384699</v>
      </c>
      <c r="O577" s="0" t="n">
        <v>55.9434606662</v>
      </c>
      <c r="P577" s="0" t="n">
        <f aca="false">INDEX($F577:$J577,IF(1&lt;$E577,1,1+1))</f>
        <v>9.7</v>
      </c>
      <c r="Q577" s="0" t="n">
        <f aca="false">INDEX($F577:$J577,IF(2&lt;$E577,2,2+1))</f>
        <v>12.5</v>
      </c>
      <c r="R577" s="0" t="n">
        <f aca="false">INDEX($F577:$J577,IF(3&lt;$E577,3,3+1))</f>
        <v>18.1</v>
      </c>
      <c r="S577" s="0" t="n">
        <f aca="false">INDEX($F577:$J577,IF(4&lt;$E577,4,4+1))</f>
        <v>10.7</v>
      </c>
      <c r="T577" s="0" t="n">
        <f aca="false">INDEX($K577:$O577,IF(1&lt;$E577,1,1+1))</f>
        <v>8.83970115268</v>
      </c>
      <c r="U577" s="0" t="n">
        <f aca="false">INDEX($K577:$O577,IF(2&lt;$E577,2,2+1))</f>
        <v>5.27034570148</v>
      </c>
      <c r="V577" s="0" t="n">
        <f aca="false">INDEX($K577:$O577,IF(3&lt;$E577,3,3+1))</f>
        <v>29.238504095</v>
      </c>
      <c r="W577" s="0" t="n">
        <f aca="false">INDEX($K577:$O577,IF(4&lt;$E577,4,4+1))</f>
        <v>55.9434606662</v>
      </c>
      <c r="X577" s="0" t="n">
        <f aca="false">1+COUNTIF($P577:$S577,"&gt;"&amp;$P577)+(COUNTIF($P577:$S577,$P577)-1)/2</f>
        <v>4</v>
      </c>
      <c r="Y577" s="0" t="n">
        <f aca="false">1+COUNTIF($P577:$S577,"&gt;"&amp;$Q577)+(COUNTIF($P577:$S577,$Q577)-1)/2</f>
        <v>2</v>
      </c>
      <c r="Z577" s="0" t="n">
        <f aca="false">1+COUNTIF($P577:$S577,"&gt;"&amp;$R577)+(COUNTIF($P577:$S577,$R577)-1)/2</f>
        <v>1</v>
      </c>
      <c r="AA577" s="0" t="n">
        <f aca="false">1+COUNTIF($P577:$S577,"&gt;"&amp;$S577)+(COUNTIF($P577:$S577,$S577)-1)/2</f>
        <v>3</v>
      </c>
      <c r="AB577" s="0" t="n">
        <f aca="false">1+COUNTIF($T577:$W577,"&gt;"&amp;$T577)+(COUNTIF($T577:$W577,$T577)-1)/2</f>
        <v>3</v>
      </c>
      <c r="AC577" s="0" t="n">
        <f aca="false">1+COUNTIF($T577:$W577,"&gt;"&amp;$U577)+(COUNTIF($T577:$W577,$U577)-1)/2</f>
        <v>4</v>
      </c>
      <c r="AD577" s="0" t="n">
        <f aca="false">1+COUNTIF($T577:$W577,"&gt;"&amp;$V577)+(COUNTIF($T577:$W577,$V577)-1)/2</f>
        <v>2</v>
      </c>
      <c r="AE577" s="0" t="n">
        <f aca="false">1+COUNTIF($T577:$W577,"&gt;"&amp;$W577)+(COUNTIF($T577:$W577,$W577)-1)/2</f>
        <v>1</v>
      </c>
      <c r="AF577" s="0" t="n">
        <f aca="false">IFERROR(CORREL($P577:$S577,$T577:$W577),"")</f>
        <v>0.0514064119969729</v>
      </c>
      <c r="AG577" s="0" t="n">
        <f aca="false">IFERROR(CORREL($X577:$AA577,$AB577:$AE577),"")</f>
        <v>0</v>
      </c>
      <c r="AH577" s="0" t="n">
        <f aca="false">IFERROR((SIGN($P577-$Q577)*SIGN($T577-$U577)+SIGN($P577-$R577)*SIGN($T577-$V577)+SIGN($P577-$S577)*SIGN($T577-$W577)+SIGN($Q577-$R577)*SIGN($U577-$V577)+SIGN($Q577-$S577)*SIGN($U577-$W577)+SIGN($R577-$S577)*SIGN($V577-$W577))/SQRT((6-(($P577=$Q577)*1+($P577=$R577)*1+($P577=$S577)*1+($Q577=$R577)*1+($Q577=$S577)*1+($R577=$S577)*1))*(6-(($T577=$U577)*1+($T577=$V577)*1+($T577=$W577)*1+($U577=$V577)*1+($U577=$W577)*1+($V577=$W577)*1))),"")</f>
        <v>0</v>
      </c>
      <c r="AI577" s="0" t="n">
        <f aca="false">MATCH(MAX($K577:$O577),$K577:$O577,0)</f>
        <v>5</v>
      </c>
      <c r="AJ577" s="0" t="n">
        <f aca="false">IF(AI577&lt;&gt;$E577,1,0)</f>
        <v>1</v>
      </c>
      <c r="AK577" s="0" t="n">
        <f aca="false">IF(AJ577=1,INDEX($F577:$J577,AI577)/MAX($P577:$S577),"")</f>
        <v>0.591160220994475</v>
      </c>
      <c r="AL577" s="0" t="n">
        <f aca="false">IF(AJ577=1,1+COUNTIF($P577:$S577,"&gt;"&amp;INDEX($F577:$J577,AI577)),"")</f>
        <v>3</v>
      </c>
      <c r="AM577" s="0" t="n">
        <f aca="false">AVERAGE($P577:$S577)/MAX($P577:$S577)</f>
        <v>0.704419889502762</v>
      </c>
      <c r="AN577" s="0" t="n">
        <f aca="false">100-INDEX($F577:$J577,$E577)</f>
        <v>51.1</v>
      </c>
    </row>
    <row r="578" customFormat="false" ht="15" hidden="false" customHeight="false" outlineLevel="0" collapsed="false">
      <c r="A578" s="0" t="s">
        <v>61</v>
      </c>
      <c r="B578" s="0" t="n">
        <v>2023</v>
      </c>
      <c r="C578" s="0" t="s">
        <v>51</v>
      </c>
      <c r="D578" s="0" t="s">
        <v>43</v>
      </c>
      <c r="E578" s="0" t="n">
        <v>1</v>
      </c>
      <c r="F578" s="0" t="n">
        <v>38.9</v>
      </c>
      <c r="G578" s="0" t="n">
        <v>9</v>
      </c>
      <c r="H578" s="0" t="n">
        <v>21.9</v>
      </c>
      <c r="I578" s="0" t="n">
        <v>14.8</v>
      </c>
      <c r="J578" s="0" t="n">
        <v>15.4</v>
      </c>
      <c r="K578" s="0" t="n">
        <v>64.7427654631</v>
      </c>
      <c r="L578" s="0" t="n">
        <v>2.76877359082</v>
      </c>
      <c r="M578" s="0" t="n">
        <v>0.0966656469549</v>
      </c>
      <c r="N578" s="0" t="n">
        <v>20.4176806318</v>
      </c>
      <c r="O578" s="0" t="n">
        <v>11.9741146673</v>
      </c>
      <c r="P578" s="0" t="n">
        <f aca="false">INDEX($F578:$J578,IF(1&lt;$E578,1,1+1))</f>
        <v>9</v>
      </c>
      <c r="Q578" s="0" t="n">
        <f aca="false">INDEX($F578:$J578,IF(2&lt;$E578,2,2+1))</f>
        <v>21.9</v>
      </c>
      <c r="R578" s="0" t="n">
        <f aca="false">INDEX($F578:$J578,IF(3&lt;$E578,3,3+1))</f>
        <v>14.8</v>
      </c>
      <c r="S578" s="0" t="n">
        <f aca="false">INDEX($F578:$J578,IF(4&lt;$E578,4,4+1))</f>
        <v>15.4</v>
      </c>
      <c r="T578" s="0" t="n">
        <f aca="false">INDEX($K578:$O578,IF(1&lt;$E578,1,1+1))</f>
        <v>2.76877359082</v>
      </c>
      <c r="U578" s="0" t="n">
        <f aca="false">INDEX($K578:$O578,IF(2&lt;$E578,2,2+1))</f>
        <v>0.0966656469549</v>
      </c>
      <c r="V578" s="0" t="n">
        <f aca="false">INDEX($K578:$O578,IF(3&lt;$E578,3,3+1))</f>
        <v>20.4176806318</v>
      </c>
      <c r="W578" s="0" t="n">
        <f aca="false">INDEX($K578:$O578,IF(4&lt;$E578,4,4+1))</f>
        <v>11.9741146673</v>
      </c>
      <c r="X578" s="0" t="n">
        <f aca="false">1+COUNTIF($P578:$S578,"&gt;"&amp;$P578)+(COUNTIF($P578:$S578,$P578)-1)/2</f>
        <v>4</v>
      </c>
      <c r="Y578" s="0" t="n">
        <f aca="false">1+COUNTIF($P578:$S578,"&gt;"&amp;$Q578)+(COUNTIF($P578:$S578,$Q578)-1)/2</f>
        <v>1</v>
      </c>
      <c r="Z578" s="0" t="n">
        <f aca="false">1+COUNTIF($P578:$S578,"&gt;"&amp;$R578)+(COUNTIF($P578:$S578,$R578)-1)/2</f>
        <v>3</v>
      </c>
      <c r="AA578" s="0" t="n">
        <f aca="false">1+COUNTIF($P578:$S578,"&gt;"&amp;$S578)+(COUNTIF($P578:$S578,$S578)-1)/2</f>
        <v>2</v>
      </c>
      <c r="AB578" s="0" t="n">
        <f aca="false">1+COUNTIF($T578:$W578,"&gt;"&amp;$T578)+(COUNTIF($T578:$W578,$T578)-1)/2</f>
        <v>3</v>
      </c>
      <c r="AC578" s="0" t="n">
        <f aca="false">1+COUNTIF($T578:$W578,"&gt;"&amp;$U578)+(COUNTIF($T578:$W578,$U578)-1)/2</f>
        <v>4</v>
      </c>
      <c r="AD578" s="0" t="n">
        <f aca="false">1+COUNTIF($T578:$W578,"&gt;"&amp;$V578)+(COUNTIF($T578:$W578,$V578)-1)/2</f>
        <v>1</v>
      </c>
      <c r="AE578" s="0" t="n">
        <f aca="false">1+COUNTIF($T578:$W578,"&gt;"&amp;$W578)+(COUNTIF($T578:$W578,$W578)-1)/2</f>
        <v>2</v>
      </c>
      <c r="AF578" s="0" t="n">
        <f aca="false">IFERROR(CORREL($P578:$S578,$T578:$W578),"")</f>
        <v>-0.170154198694433</v>
      </c>
      <c r="AG578" s="0" t="n">
        <f aca="false">IFERROR(CORREL($X578:$AA578,$AB578:$AE578),"")</f>
        <v>-0.4</v>
      </c>
      <c r="AH578" s="0" t="n">
        <f aca="false">IFERROR((SIGN($P578-$Q578)*SIGN($T578-$U578)+SIGN($P578-$R578)*SIGN($T578-$V578)+SIGN($P578-$S578)*SIGN($T578-$W578)+SIGN($Q578-$R578)*SIGN($U578-$V578)+SIGN($Q578-$S578)*SIGN($U578-$W578)+SIGN($R578-$S578)*SIGN($V578-$W578))/SQRT((6-(($P578=$Q578)*1+($P578=$R578)*1+($P578=$S578)*1+($Q578=$R578)*1+($Q578=$S578)*1+($R578=$S578)*1))*(6-(($T578=$U578)*1+($T578=$V578)*1+($T578=$W578)*1+($U578=$V578)*1+($U578=$W578)*1+($V578=$W578)*1))),"")</f>
        <v>-0.333333333333333</v>
      </c>
      <c r="AI578" s="0" t="n">
        <f aca="false">MATCH(MAX($K578:$O578),$K578:$O578,0)</f>
        <v>1</v>
      </c>
      <c r="AJ578" s="0" t="n">
        <f aca="false">IF(AI578&lt;&gt;$E578,1,0)</f>
        <v>0</v>
      </c>
      <c r="AK578" s="0" t="str">
        <f aca="false">IF(AJ578=1,INDEX($F578:$J578,AI578)/MAX($P578:$S578),"")</f>
        <v/>
      </c>
      <c r="AL578" s="0" t="str">
        <f aca="false">IF(AJ578=1,1+COUNTIF($P578:$S578,"&gt;"&amp;INDEX($F578:$J578,AI578)),"")</f>
        <v/>
      </c>
      <c r="AM578" s="0" t="n">
        <f aca="false">AVERAGE($P578:$S578)/MAX($P578:$S578)</f>
        <v>0.697488584474886</v>
      </c>
      <c r="AN578" s="0" t="n">
        <f aca="false">100-INDEX($F578:$J578,$E578)</f>
        <v>61.1</v>
      </c>
    </row>
    <row r="579" customFormat="false" ht="15" hidden="false" customHeight="false" outlineLevel="0" collapsed="false">
      <c r="A579" s="0" t="s">
        <v>61</v>
      </c>
      <c r="B579" s="0" t="n">
        <v>2023</v>
      </c>
      <c r="C579" s="0" t="s">
        <v>51</v>
      </c>
      <c r="D579" s="0" t="s">
        <v>44</v>
      </c>
      <c r="E579" s="0" t="n">
        <v>2</v>
      </c>
      <c r="F579" s="0" t="n">
        <v>9.3</v>
      </c>
      <c r="G579" s="0" t="n">
        <v>53</v>
      </c>
      <c r="H579" s="0" t="n">
        <v>18</v>
      </c>
      <c r="I579" s="0" t="n">
        <v>13.5</v>
      </c>
      <c r="J579" s="0" t="n">
        <v>6.1</v>
      </c>
      <c r="K579" s="0" t="n">
        <v>5.71859785047</v>
      </c>
      <c r="L579" s="0" t="n">
        <v>38.9448715428</v>
      </c>
      <c r="M579" s="0" t="n">
        <v>15.3627166856</v>
      </c>
      <c r="N579" s="0" t="n">
        <v>38.035151708</v>
      </c>
      <c r="O579" s="0" t="n">
        <v>1.93866221309</v>
      </c>
      <c r="P579" s="0" t="n">
        <f aca="false">INDEX($F579:$J579,IF(1&lt;$E579,1,1+1))</f>
        <v>9.3</v>
      </c>
      <c r="Q579" s="0" t="n">
        <f aca="false">INDEX($F579:$J579,IF(2&lt;$E579,2,2+1))</f>
        <v>18</v>
      </c>
      <c r="R579" s="0" t="n">
        <f aca="false">INDEX($F579:$J579,IF(3&lt;$E579,3,3+1))</f>
        <v>13.5</v>
      </c>
      <c r="S579" s="0" t="n">
        <f aca="false">INDEX($F579:$J579,IF(4&lt;$E579,4,4+1))</f>
        <v>6.1</v>
      </c>
      <c r="T579" s="0" t="n">
        <f aca="false">INDEX($K579:$O579,IF(1&lt;$E579,1,1+1))</f>
        <v>5.71859785047</v>
      </c>
      <c r="U579" s="0" t="n">
        <f aca="false">INDEX($K579:$O579,IF(2&lt;$E579,2,2+1))</f>
        <v>15.3627166856</v>
      </c>
      <c r="V579" s="0" t="n">
        <f aca="false">INDEX($K579:$O579,IF(3&lt;$E579,3,3+1))</f>
        <v>38.035151708</v>
      </c>
      <c r="W579" s="0" t="n">
        <f aca="false">INDEX($K579:$O579,IF(4&lt;$E579,4,4+1))</f>
        <v>1.93866221309</v>
      </c>
      <c r="X579" s="0" t="n">
        <f aca="false">1+COUNTIF($P579:$S579,"&gt;"&amp;$P579)+(COUNTIF($P579:$S579,$P579)-1)/2</f>
        <v>3</v>
      </c>
      <c r="Y579" s="0" t="n">
        <f aca="false">1+COUNTIF($P579:$S579,"&gt;"&amp;$Q579)+(COUNTIF($P579:$S579,$Q579)-1)/2</f>
        <v>1</v>
      </c>
      <c r="Z579" s="0" t="n">
        <f aca="false">1+COUNTIF($P579:$S579,"&gt;"&amp;$R579)+(COUNTIF($P579:$S579,$R579)-1)/2</f>
        <v>2</v>
      </c>
      <c r="AA579" s="0" t="n">
        <f aca="false">1+COUNTIF($P579:$S579,"&gt;"&amp;$S579)+(COUNTIF($P579:$S579,$S579)-1)/2</f>
        <v>4</v>
      </c>
      <c r="AB579" s="0" t="n">
        <f aca="false">1+COUNTIF($T579:$W579,"&gt;"&amp;$T579)+(COUNTIF($T579:$W579,$T579)-1)/2</f>
        <v>3</v>
      </c>
      <c r="AC579" s="0" t="n">
        <f aca="false">1+COUNTIF($T579:$W579,"&gt;"&amp;$U579)+(COUNTIF($T579:$W579,$U579)-1)/2</f>
        <v>2</v>
      </c>
      <c r="AD579" s="0" t="n">
        <f aca="false">1+COUNTIF($T579:$W579,"&gt;"&amp;$V579)+(COUNTIF($T579:$W579,$V579)-1)/2</f>
        <v>1</v>
      </c>
      <c r="AE579" s="0" t="n">
        <f aca="false">1+COUNTIF($T579:$W579,"&gt;"&amp;$W579)+(COUNTIF($T579:$W579,$W579)-1)/2</f>
        <v>4</v>
      </c>
      <c r="AF579" s="0" t="n">
        <f aca="false">IFERROR(CORREL($P579:$S579,$T579:$W579),"")</f>
        <v>0.554286493867804</v>
      </c>
      <c r="AG579" s="0" t="n">
        <f aca="false">IFERROR(CORREL($X579:$AA579,$AB579:$AE579),"")</f>
        <v>0.8</v>
      </c>
      <c r="AH579" s="0" t="n">
        <f aca="false">IFERROR((SIGN($P579-$Q579)*SIGN($T579-$U579)+SIGN($P579-$R579)*SIGN($T579-$V579)+SIGN($P579-$S579)*SIGN($T579-$W579)+SIGN($Q579-$R579)*SIGN($U579-$V579)+SIGN($Q579-$S579)*SIGN($U579-$W579)+SIGN($R579-$S579)*SIGN($V579-$W579))/SQRT((6-(($P579=$Q579)*1+($P579=$R579)*1+($P579=$S579)*1+($Q579=$R579)*1+($Q579=$S579)*1+($R579=$S579)*1))*(6-(($T579=$U579)*1+($T579=$V579)*1+($T579=$W579)*1+($U579=$V579)*1+($U579=$W579)*1+($V579=$W579)*1))),"")</f>
        <v>0.666666666666667</v>
      </c>
      <c r="AI579" s="0" t="n">
        <f aca="false">MATCH(MAX($K579:$O579),$K579:$O579,0)</f>
        <v>2</v>
      </c>
      <c r="AJ579" s="0" t="n">
        <f aca="false">IF(AI579&lt;&gt;$E579,1,0)</f>
        <v>0</v>
      </c>
      <c r="AK579" s="0" t="str">
        <f aca="false">IF(AJ579=1,INDEX($F579:$J579,AI579)/MAX($P579:$S579),"")</f>
        <v/>
      </c>
      <c r="AL579" s="0" t="str">
        <f aca="false">IF(AJ579=1,1+COUNTIF($P579:$S579,"&gt;"&amp;INDEX($F579:$J579,AI579)),"")</f>
        <v/>
      </c>
      <c r="AM579" s="0" t="n">
        <f aca="false">AVERAGE($P579:$S579)/MAX($P579:$S579)</f>
        <v>0.651388888888889</v>
      </c>
      <c r="AN579" s="0" t="n">
        <f aca="false">100-INDEX($F579:$J579,$E579)</f>
        <v>47</v>
      </c>
    </row>
    <row r="580" customFormat="false" ht="15" hidden="false" customHeight="false" outlineLevel="0" collapsed="false">
      <c r="A580" s="0" t="s">
        <v>61</v>
      </c>
      <c r="B580" s="0" t="n">
        <v>2023</v>
      </c>
      <c r="C580" s="0" t="s">
        <v>51</v>
      </c>
      <c r="D580" s="0" t="s">
        <v>45</v>
      </c>
      <c r="E580" s="0" t="n">
        <v>3</v>
      </c>
      <c r="F580" s="0" t="n">
        <v>9.8</v>
      </c>
      <c r="G580" s="0" t="n">
        <v>10.6</v>
      </c>
      <c r="H580" s="0" t="n">
        <v>56</v>
      </c>
      <c r="I580" s="0" t="n">
        <v>16.5</v>
      </c>
      <c r="J580" s="0" t="n">
        <v>7.1</v>
      </c>
      <c r="K580" s="0" t="n">
        <v>18.0651943192</v>
      </c>
      <c r="L580" s="0" t="n">
        <v>19.5560198288</v>
      </c>
      <c r="M580" s="0" t="n">
        <v>40.0253154565</v>
      </c>
      <c r="N580" s="0" t="n">
        <v>6.49325050309</v>
      </c>
      <c r="O580" s="0" t="n">
        <v>15.8602198924</v>
      </c>
      <c r="P580" s="0" t="n">
        <f aca="false">INDEX($F580:$J580,IF(1&lt;$E580,1,1+1))</f>
        <v>9.8</v>
      </c>
      <c r="Q580" s="0" t="n">
        <f aca="false">INDEX($F580:$J580,IF(2&lt;$E580,2,2+1))</f>
        <v>10.6</v>
      </c>
      <c r="R580" s="0" t="n">
        <f aca="false">INDEX($F580:$J580,IF(3&lt;$E580,3,3+1))</f>
        <v>16.5</v>
      </c>
      <c r="S580" s="0" t="n">
        <f aca="false">INDEX($F580:$J580,IF(4&lt;$E580,4,4+1))</f>
        <v>7.1</v>
      </c>
      <c r="T580" s="0" t="n">
        <f aca="false">INDEX($K580:$O580,IF(1&lt;$E580,1,1+1))</f>
        <v>18.0651943192</v>
      </c>
      <c r="U580" s="0" t="n">
        <f aca="false">INDEX($K580:$O580,IF(2&lt;$E580,2,2+1))</f>
        <v>19.5560198288</v>
      </c>
      <c r="V580" s="0" t="n">
        <f aca="false">INDEX($K580:$O580,IF(3&lt;$E580,3,3+1))</f>
        <v>6.49325050309</v>
      </c>
      <c r="W580" s="0" t="n">
        <f aca="false">INDEX($K580:$O580,IF(4&lt;$E580,4,4+1))</f>
        <v>15.8602198924</v>
      </c>
      <c r="X580" s="0" t="n">
        <f aca="false">1+COUNTIF($P580:$S580,"&gt;"&amp;$P580)+(COUNTIF($P580:$S580,$P580)-1)/2</f>
        <v>3</v>
      </c>
      <c r="Y580" s="0" t="n">
        <f aca="false">1+COUNTIF($P580:$S580,"&gt;"&amp;$Q580)+(COUNTIF($P580:$S580,$Q580)-1)/2</f>
        <v>2</v>
      </c>
      <c r="Z580" s="0" t="n">
        <f aca="false">1+COUNTIF($P580:$S580,"&gt;"&amp;$R580)+(COUNTIF($P580:$S580,$R580)-1)/2</f>
        <v>1</v>
      </c>
      <c r="AA580" s="0" t="n">
        <f aca="false">1+COUNTIF($P580:$S580,"&gt;"&amp;$S580)+(COUNTIF($P580:$S580,$S580)-1)/2</f>
        <v>4</v>
      </c>
      <c r="AB580" s="0" t="n">
        <f aca="false">1+COUNTIF($T580:$W580,"&gt;"&amp;$T580)+(COUNTIF($T580:$W580,$T580)-1)/2</f>
        <v>2</v>
      </c>
      <c r="AC580" s="0" t="n">
        <f aca="false">1+COUNTIF($T580:$W580,"&gt;"&amp;$U580)+(COUNTIF($T580:$W580,$U580)-1)/2</f>
        <v>1</v>
      </c>
      <c r="AD580" s="0" t="n">
        <f aca="false">1+COUNTIF($T580:$W580,"&gt;"&amp;$V580)+(COUNTIF($T580:$W580,$V580)-1)/2</f>
        <v>4</v>
      </c>
      <c r="AE580" s="0" t="n">
        <f aca="false">1+COUNTIF($T580:$W580,"&gt;"&amp;$W580)+(COUNTIF($T580:$W580,$W580)-1)/2</f>
        <v>3</v>
      </c>
      <c r="AF580" s="0" t="n">
        <f aca="false">IFERROR(CORREL($P580:$S580,$T580:$W580),"")</f>
        <v>-0.798217334118583</v>
      </c>
      <c r="AG580" s="0" t="n">
        <f aca="false">IFERROR(CORREL($X580:$AA580,$AB580:$AE580),"")</f>
        <v>-0.2</v>
      </c>
      <c r="AH580" s="0" t="n">
        <f aca="false">IFERROR((SIGN($P580-$Q580)*SIGN($T580-$U580)+SIGN($P580-$R580)*SIGN($T580-$V580)+SIGN($P580-$S580)*SIGN($T580-$W580)+SIGN($Q580-$R580)*SIGN($U580-$V580)+SIGN($Q580-$S580)*SIGN($U580-$W580)+SIGN($R580-$S580)*SIGN($V580-$W580))/SQRT((6-(($P580=$Q580)*1+($P580=$R580)*1+($P580=$S580)*1+($Q580=$R580)*1+($Q580=$S580)*1+($R580=$S580)*1))*(6-(($T580=$U580)*1+($T580=$V580)*1+($T580=$W580)*1+($U580=$V580)*1+($U580=$W580)*1+($V580=$W580)*1))),"")</f>
        <v>0</v>
      </c>
      <c r="AI580" s="0" t="n">
        <f aca="false">MATCH(MAX($K580:$O580),$K580:$O580,0)</f>
        <v>3</v>
      </c>
      <c r="AJ580" s="0" t="n">
        <f aca="false">IF(AI580&lt;&gt;$E580,1,0)</f>
        <v>0</v>
      </c>
      <c r="AK580" s="0" t="str">
        <f aca="false">IF(AJ580=1,INDEX($F580:$J580,AI580)/MAX($P580:$S580),"")</f>
        <v/>
      </c>
      <c r="AL580" s="0" t="str">
        <f aca="false">IF(AJ580=1,1+COUNTIF($P580:$S580,"&gt;"&amp;INDEX($F580:$J580,AI580)),"")</f>
        <v/>
      </c>
      <c r="AM580" s="0" t="n">
        <f aca="false">AVERAGE($P580:$S580)/MAX($P580:$S580)</f>
        <v>0.666666666666667</v>
      </c>
      <c r="AN580" s="0" t="n">
        <f aca="false">100-INDEX($F580:$J580,$E580)</f>
        <v>44</v>
      </c>
    </row>
    <row r="581" customFormat="false" ht="15" hidden="false" customHeight="false" outlineLevel="0" collapsed="false">
      <c r="A581" s="0" t="s">
        <v>61</v>
      </c>
      <c r="B581" s="0" t="n">
        <v>2023</v>
      </c>
      <c r="C581" s="0" t="s">
        <v>46</v>
      </c>
      <c r="D581" s="0" t="s">
        <v>42</v>
      </c>
      <c r="E581" s="0" t="n">
        <v>1</v>
      </c>
      <c r="F581" s="0" t="n">
        <v>50.3</v>
      </c>
      <c r="G581" s="0" t="n">
        <v>10.4</v>
      </c>
      <c r="H581" s="0" t="n">
        <v>12</v>
      </c>
      <c r="I581" s="0" t="n">
        <v>22.6</v>
      </c>
      <c r="J581" s="0" t="n">
        <v>4.7</v>
      </c>
      <c r="K581" s="0" t="n">
        <v>0.221916434286</v>
      </c>
      <c r="L581" s="0" t="n">
        <v>0.163888714409</v>
      </c>
      <c r="M581" s="0" t="n">
        <v>2.6527494435</v>
      </c>
      <c r="N581" s="0" t="n">
        <v>96.9311469449</v>
      </c>
      <c r="O581" s="0" t="n">
        <v>0.0302984629432</v>
      </c>
      <c r="P581" s="0" t="n">
        <f aca="false">INDEX($F581:$J581,IF(1&lt;$E581,1,1+1))</f>
        <v>10.4</v>
      </c>
      <c r="Q581" s="0" t="n">
        <f aca="false">INDEX($F581:$J581,IF(2&lt;$E581,2,2+1))</f>
        <v>12</v>
      </c>
      <c r="R581" s="0" t="n">
        <f aca="false">INDEX($F581:$J581,IF(3&lt;$E581,3,3+1))</f>
        <v>22.6</v>
      </c>
      <c r="S581" s="0" t="n">
        <f aca="false">INDEX($F581:$J581,IF(4&lt;$E581,4,4+1))</f>
        <v>4.7</v>
      </c>
      <c r="T581" s="0" t="n">
        <f aca="false">INDEX($K581:$O581,IF(1&lt;$E581,1,1+1))</f>
        <v>0.163888714409</v>
      </c>
      <c r="U581" s="0" t="n">
        <f aca="false">INDEX($K581:$O581,IF(2&lt;$E581,2,2+1))</f>
        <v>2.6527494435</v>
      </c>
      <c r="V581" s="0" t="n">
        <f aca="false">INDEX($K581:$O581,IF(3&lt;$E581,3,3+1))</f>
        <v>96.9311469449</v>
      </c>
      <c r="W581" s="0" t="n">
        <f aca="false">INDEX($K581:$O581,IF(4&lt;$E581,4,4+1))</f>
        <v>0.0302984629432</v>
      </c>
      <c r="X581" s="0" t="n">
        <f aca="false">1+COUNTIF($P581:$S581,"&gt;"&amp;$P581)+(COUNTIF($P581:$S581,$P581)-1)/2</f>
        <v>3</v>
      </c>
      <c r="Y581" s="0" t="n">
        <f aca="false">1+COUNTIF($P581:$S581,"&gt;"&amp;$Q581)+(COUNTIF($P581:$S581,$Q581)-1)/2</f>
        <v>2</v>
      </c>
      <c r="Z581" s="0" t="n">
        <f aca="false">1+COUNTIF($P581:$S581,"&gt;"&amp;$R581)+(COUNTIF($P581:$S581,$R581)-1)/2</f>
        <v>1</v>
      </c>
      <c r="AA581" s="0" t="n">
        <f aca="false">1+COUNTIF($P581:$S581,"&gt;"&amp;$S581)+(COUNTIF($P581:$S581,$S581)-1)/2</f>
        <v>4</v>
      </c>
      <c r="AB581" s="0" t="n">
        <f aca="false">1+COUNTIF($T581:$W581,"&gt;"&amp;$T581)+(COUNTIF($T581:$W581,$T581)-1)/2</f>
        <v>3</v>
      </c>
      <c r="AC581" s="0" t="n">
        <f aca="false">1+COUNTIF($T581:$W581,"&gt;"&amp;$U581)+(COUNTIF($T581:$W581,$U581)-1)/2</f>
        <v>2</v>
      </c>
      <c r="AD581" s="0" t="n">
        <f aca="false">1+COUNTIF($T581:$W581,"&gt;"&amp;$V581)+(COUNTIF($T581:$W581,$V581)-1)/2</f>
        <v>1</v>
      </c>
      <c r="AE581" s="0" t="n">
        <f aca="false">1+COUNTIF($T581:$W581,"&gt;"&amp;$W581)+(COUNTIF($T581:$W581,$W581)-1)/2</f>
        <v>4</v>
      </c>
      <c r="AF581" s="0" t="n">
        <f aca="false">IFERROR(CORREL($P581:$S581,$T581:$W581),"")</f>
        <v>0.914959801127087</v>
      </c>
      <c r="AG581" s="0" t="n">
        <f aca="false">IFERROR(CORREL($X581:$AA581,$AB581:$AE581),"")</f>
        <v>1</v>
      </c>
      <c r="AH581" s="0" t="n">
        <f aca="false">IFERROR((SIGN($P581-$Q581)*SIGN($T581-$U581)+SIGN($P581-$R581)*SIGN($T581-$V581)+SIGN($P581-$S581)*SIGN($T581-$W581)+SIGN($Q581-$R581)*SIGN($U581-$V581)+SIGN($Q581-$S581)*SIGN($U581-$W581)+SIGN($R581-$S581)*SIGN($V581-$W581))/SQRT((6-(($P581=$Q581)*1+($P581=$R581)*1+($P581=$S581)*1+($Q581=$R581)*1+($Q581=$S581)*1+($R581=$S581)*1))*(6-(($T581=$U581)*1+($T581=$V581)*1+($T581=$W581)*1+($U581=$V581)*1+($U581=$W581)*1+($V581=$W581)*1))),"")</f>
        <v>1</v>
      </c>
      <c r="AI581" s="0" t="n">
        <f aca="false">MATCH(MAX($K581:$O581),$K581:$O581,0)</f>
        <v>4</v>
      </c>
      <c r="AJ581" s="0" t="n">
        <f aca="false">IF(AI581&lt;&gt;$E581,1,0)</f>
        <v>1</v>
      </c>
      <c r="AK581" s="0" t="n">
        <f aca="false">IF(AJ581=1,INDEX($F581:$J581,AI581)/MAX($P581:$S581),"")</f>
        <v>1</v>
      </c>
      <c r="AL581" s="0" t="n">
        <f aca="false">IF(AJ581=1,1+COUNTIF($P581:$S581,"&gt;"&amp;INDEX($F581:$J581,AI581)),"")</f>
        <v>1</v>
      </c>
      <c r="AM581" s="0" t="n">
        <f aca="false">AVERAGE($P581:$S581)/MAX($P581:$S581)</f>
        <v>0.549778761061947</v>
      </c>
      <c r="AN581" s="0" t="n">
        <f aca="false">100-INDEX($F581:$J581,$E581)</f>
        <v>49.7</v>
      </c>
    </row>
    <row r="582" customFormat="false" ht="15" hidden="false" customHeight="false" outlineLevel="0" collapsed="false">
      <c r="A582" s="0" t="s">
        <v>61</v>
      </c>
      <c r="B582" s="0" t="n">
        <v>2023</v>
      </c>
      <c r="C582" s="0" t="s">
        <v>46</v>
      </c>
      <c r="D582" s="0" t="s">
        <v>43</v>
      </c>
      <c r="E582" s="0" t="n">
        <v>3</v>
      </c>
      <c r="F582" s="0" t="n">
        <v>9.6</v>
      </c>
      <c r="G582" s="0" t="n">
        <v>27.5</v>
      </c>
      <c r="H582" s="0" t="n">
        <v>49.3</v>
      </c>
      <c r="I582" s="0" t="n">
        <v>7.7</v>
      </c>
      <c r="J582" s="0" t="n">
        <v>5.8</v>
      </c>
      <c r="K582" s="0" t="n">
        <v>32.9551121491</v>
      </c>
      <c r="L582" s="0" t="n">
        <v>11.5853552246</v>
      </c>
      <c r="M582" s="0" t="n">
        <v>39.8202500407</v>
      </c>
      <c r="N582" s="0" t="n">
        <v>6.19768905448</v>
      </c>
      <c r="O582" s="0" t="n">
        <v>9.44159353113</v>
      </c>
      <c r="P582" s="0" t="n">
        <f aca="false">INDEX($F582:$J582,IF(1&lt;$E582,1,1+1))</f>
        <v>9.6</v>
      </c>
      <c r="Q582" s="0" t="n">
        <f aca="false">INDEX($F582:$J582,IF(2&lt;$E582,2,2+1))</f>
        <v>27.5</v>
      </c>
      <c r="R582" s="0" t="n">
        <f aca="false">INDEX($F582:$J582,IF(3&lt;$E582,3,3+1))</f>
        <v>7.7</v>
      </c>
      <c r="S582" s="0" t="n">
        <f aca="false">INDEX($F582:$J582,IF(4&lt;$E582,4,4+1))</f>
        <v>5.8</v>
      </c>
      <c r="T582" s="0" t="n">
        <f aca="false">INDEX($K582:$O582,IF(1&lt;$E582,1,1+1))</f>
        <v>32.9551121491</v>
      </c>
      <c r="U582" s="0" t="n">
        <f aca="false">INDEX($K582:$O582,IF(2&lt;$E582,2,2+1))</f>
        <v>11.5853552246</v>
      </c>
      <c r="V582" s="0" t="n">
        <f aca="false">INDEX($K582:$O582,IF(3&lt;$E582,3,3+1))</f>
        <v>6.19768905448</v>
      </c>
      <c r="W582" s="0" t="n">
        <f aca="false">INDEX($K582:$O582,IF(4&lt;$E582,4,4+1))</f>
        <v>9.44159353113</v>
      </c>
      <c r="X582" s="0" t="n">
        <f aca="false">1+COUNTIF($P582:$S582,"&gt;"&amp;$P582)+(COUNTIF($P582:$S582,$P582)-1)/2</f>
        <v>2</v>
      </c>
      <c r="Y582" s="0" t="n">
        <f aca="false">1+COUNTIF($P582:$S582,"&gt;"&amp;$Q582)+(COUNTIF($P582:$S582,$Q582)-1)/2</f>
        <v>1</v>
      </c>
      <c r="Z582" s="0" t="n">
        <f aca="false">1+COUNTIF($P582:$S582,"&gt;"&amp;$R582)+(COUNTIF($P582:$S582,$R582)-1)/2</f>
        <v>3</v>
      </c>
      <c r="AA582" s="0" t="n">
        <f aca="false">1+COUNTIF($P582:$S582,"&gt;"&amp;$S582)+(COUNTIF($P582:$S582,$S582)-1)/2</f>
        <v>4</v>
      </c>
      <c r="AB582" s="0" t="n">
        <f aca="false">1+COUNTIF($T582:$W582,"&gt;"&amp;$T582)+(COUNTIF($T582:$W582,$T582)-1)/2</f>
        <v>1</v>
      </c>
      <c r="AC582" s="0" t="n">
        <f aca="false">1+COUNTIF($T582:$W582,"&gt;"&amp;$U582)+(COUNTIF($T582:$W582,$U582)-1)/2</f>
        <v>2</v>
      </c>
      <c r="AD582" s="0" t="n">
        <f aca="false">1+COUNTIF($T582:$W582,"&gt;"&amp;$V582)+(COUNTIF($T582:$W582,$V582)-1)/2</f>
        <v>4</v>
      </c>
      <c r="AE582" s="0" t="n">
        <f aca="false">1+COUNTIF($T582:$W582,"&gt;"&amp;$W582)+(COUNTIF($T582:$W582,$W582)-1)/2</f>
        <v>3</v>
      </c>
      <c r="AF582" s="0" t="n">
        <f aca="false">IFERROR(CORREL($P582:$S582,$T582:$W582),"")</f>
        <v>-0.0652585395619638</v>
      </c>
      <c r="AG582" s="0" t="n">
        <f aca="false">IFERROR(CORREL($X582:$AA582,$AB582:$AE582),"")</f>
        <v>0.6</v>
      </c>
      <c r="AH582" s="0" t="n">
        <f aca="false">IFERROR((SIGN($P582-$Q582)*SIGN($T582-$U582)+SIGN($P582-$R582)*SIGN($T582-$V582)+SIGN($P582-$S582)*SIGN($T582-$W582)+SIGN($Q582-$R582)*SIGN($U582-$V582)+SIGN($Q582-$S582)*SIGN($U582-$W582)+SIGN($R582-$S582)*SIGN($V582-$W582))/SQRT((6-(($P582=$Q582)*1+($P582=$R582)*1+($P582=$S582)*1+($Q582=$R582)*1+($Q582=$S582)*1+($R582=$S582)*1))*(6-(($T582=$U582)*1+($T582=$V582)*1+($T582=$W582)*1+($U582=$V582)*1+($U582=$W582)*1+($V582=$W582)*1))),"")</f>
        <v>0.333333333333333</v>
      </c>
      <c r="AI582" s="0" t="n">
        <f aca="false">MATCH(MAX($K582:$O582),$K582:$O582,0)</f>
        <v>3</v>
      </c>
      <c r="AJ582" s="0" t="n">
        <f aca="false">IF(AI582&lt;&gt;$E582,1,0)</f>
        <v>0</v>
      </c>
      <c r="AK582" s="0" t="str">
        <f aca="false">IF(AJ582=1,INDEX($F582:$J582,AI582)/MAX($P582:$S582),"")</f>
        <v/>
      </c>
      <c r="AL582" s="0" t="str">
        <f aca="false">IF(AJ582=1,1+COUNTIF($P582:$S582,"&gt;"&amp;INDEX($F582:$J582,AI582)),"")</f>
        <v/>
      </c>
      <c r="AM582" s="0" t="n">
        <f aca="false">AVERAGE($P582:$S582)/MAX($P582:$S582)</f>
        <v>0.46</v>
      </c>
      <c r="AN582" s="0" t="n">
        <f aca="false">100-INDEX($F582:$J582,$E582)</f>
        <v>50.7</v>
      </c>
    </row>
    <row r="583" customFormat="false" ht="15" hidden="false" customHeight="false" outlineLevel="0" collapsed="false">
      <c r="A583" s="0" t="s">
        <v>61</v>
      </c>
      <c r="B583" s="0" t="n">
        <v>2023</v>
      </c>
      <c r="C583" s="0" t="s">
        <v>46</v>
      </c>
      <c r="D583" s="0" t="s">
        <v>44</v>
      </c>
      <c r="E583" s="0" t="n">
        <v>1</v>
      </c>
      <c r="F583" s="0" t="n">
        <v>42.7</v>
      </c>
      <c r="G583" s="0" t="n">
        <v>11</v>
      </c>
      <c r="H583" s="0" t="n">
        <v>20.2</v>
      </c>
      <c r="I583" s="0" t="n">
        <v>12.9</v>
      </c>
      <c r="J583" s="0" t="n">
        <v>13.2</v>
      </c>
      <c r="K583" s="0" t="n">
        <v>7.8612953433</v>
      </c>
      <c r="L583" s="0" t="n">
        <v>3.12740714822</v>
      </c>
      <c r="M583" s="0" t="n">
        <v>31.9040363139</v>
      </c>
      <c r="N583" s="0" t="n">
        <v>37.8721928334</v>
      </c>
      <c r="O583" s="0" t="n">
        <v>19.2350683611</v>
      </c>
      <c r="P583" s="0" t="n">
        <f aca="false">INDEX($F583:$J583,IF(1&lt;$E583,1,1+1))</f>
        <v>11</v>
      </c>
      <c r="Q583" s="0" t="n">
        <f aca="false">INDEX($F583:$J583,IF(2&lt;$E583,2,2+1))</f>
        <v>20.2</v>
      </c>
      <c r="R583" s="0" t="n">
        <f aca="false">INDEX($F583:$J583,IF(3&lt;$E583,3,3+1))</f>
        <v>12.9</v>
      </c>
      <c r="S583" s="0" t="n">
        <f aca="false">INDEX($F583:$J583,IF(4&lt;$E583,4,4+1))</f>
        <v>13.2</v>
      </c>
      <c r="T583" s="0" t="n">
        <f aca="false">INDEX($K583:$O583,IF(1&lt;$E583,1,1+1))</f>
        <v>3.12740714822</v>
      </c>
      <c r="U583" s="0" t="n">
        <f aca="false">INDEX($K583:$O583,IF(2&lt;$E583,2,2+1))</f>
        <v>31.9040363139</v>
      </c>
      <c r="V583" s="0" t="n">
        <f aca="false">INDEX($K583:$O583,IF(3&lt;$E583,3,3+1))</f>
        <v>37.8721928334</v>
      </c>
      <c r="W583" s="0" t="n">
        <f aca="false">INDEX($K583:$O583,IF(4&lt;$E583,4,4+1))</f>
        <v>19.2350683611</v>
      </c>
      <c r="X583" s="0" t="n">
        <f aca="false">1+COUNTIF($P583:$S583,"&gt;"&amp;$P583)+(COUNTIF($P583:$S583,$P583)-1)/2</f>
        <v>4</v>
      </c>
      <c r="Y583" s="0" t="n">
        <f aca="false">1+COUNTIF($P583:$S583,"&gt;"&amp;$Q583)+(COUNTIF($P583:$S583,$Q583)-1)/2</f>
        <v>1</v>
      </c>
      <c r="Z583" s="0" t="n">
        <f aca="false">1+COUNTIF($P583:$S583,"&gt;"&amp;$R583)+(COUNTIF($P583:$S583,$R583)-1)/2</f>
        <v>3</v>
      </c>
      <c r="AA583" s="0" t="n">
        <f aca="false">1+COUNTIF($P583:$S583,"&gt;"&amp;$S583)+(COUNTIF($P583:$S583,$S583)-1)/2</f>
        <v>2</v>
      </c>
      <c r="AB583" s="0" t="n">
        <f aca="false">1+COUNTIF($T583:$W583,"&gt;"&amp;$T583)+(COUNTIF($T583:$W583,$T583)-1)/2</f>
        <v>4</v>
      </c>
      <c r="AC583" s="0" t="n">
        <f aca="false">1+COUNTIF($T583:$W583,"&gt;"&amp;$U583)+(COUNTIF($T583:$W583,$U583)-1)/2</f>
        <v>2</v>
      </c>
      <c r="AD583" s="0" t="n">
        <f aca="false">1+COUNTIF($T583:$W583,"&gt;"&amp;$V583)+(COUNTIF($T583:$W583,$V583)-1)/2</f>
        <v>1</v>
      </c>
      <c r="AE583" s="0" t="n">
        <f aca="false">1+COUNTIF($T583:$W583,"&gt;"&amp;$W583)+(COUNTIF($T583:$W583,$W583)-1)/2</f>
        <v>3</v>
      </c>
      <c r="AF583" s="0" t="n">
        <f aca="false">IFERROR(CORREL($P583:$S583,$T583:$W583),"")</f>
        <v>0.544709305649269</v>
      </c>
      <c r="AG583" s="0" t="n">
        <f aca="false">IFERROR(CORREL($X583:$AA583,$AB583:$AE583),"")</f>
        <v>0.4</v>
      </c>
      <c r="AH583" s="0" t="n">
        <f aca="false">IFERROR((SIGN($P583-$Q583)*SIGN($T583-$U583)+SIGN($P583-$R583)*SIGN($T583-$V583)+SIGN($P583-$S583)*SIGN($T583-$W583)+SIGN($Q583-$R583)*SIGN($U583-$V583)+SIGN($Q583-$S583)*SIGN($U583-$W583)+SIGN($R583-$S583)*SIGN($V583-$W583))/SQRT((6-(($P583=$Q583)*1+($P583=$R583)*1+($P583=$S583)*1+($Q583=$R583)*1+($Q583=$S583)*1+($R583=$S583)*1))*(6-(($T583=$U583)*1+($T583=$V583)*1+($T583=$W583)*1+($U583=$V583)*1+($U583=$W583)*1+($V583=$W583)*1))),"")</f>
        <v>0.333333333333333</v>
      </c>
      <c r="AI583" s="0" t="n">
        <f aca="false">MATCH(MAX($K583:$O583),$K583:$O583,0)</f>
        <v>4</v>
      </c>
      <c r="AJ583" s="0" t="n">
        <f aca="false">IF(AI583&lt;&gt;$E583,1,0)</f>
        <v>1</v>
      </c>
      <c r="AK583" s="0" t="n">
        <f aca="false">IF(AJ583=1,INDEX($F583:$J583,AI583)/MAX($P583:$S583),"")</f>
        <v>0.638613861386139</v>
      </c>
      <c r="AL583" s="0" t="n">
        <f aca="false">IF(AJ583=1,1+COUNTIF($P583:$S583,"&gt;"&amp;INDEX($F583:$J583,AI583)),"")</f>
        <v>3</v>
      </c>
      <c r="AM583" s="0" t="n">
        <f aca="false">AVERAGE($P583:$S583)/MAX($P583:$S583)</f>
        <v>0.709158415841584</v>
      </c>
      <c r="AN583" s="0" t="n">
        <f aca="false">100-INDEX($F583:$J583,$E583)</f>
        <v>57.3</v>
      </c>
    </row>
    <row r="584" customFormat="false" ht="15" hidden="false" customHeight="false" outlineLevel="0" collapsed="false">
      <c r="A584" s="0" t="s">
        <v>61</v>
      </c>
      <c r="B584" s="0" t="n">
        <v>2023</v>
      </c>
      <c r="C584" s="0" t="s">
        <v>46</v>
      </c>
      <c r="D584" s="0" t="s">
        <v>45</v>
      </c>
      <c r="E584" s="0" t="n">
        <v>2</v>
      </c>
      <c r="F584" s="0" t="n">
        <v>10.8</v>
      </c>
      <c r="G584" s="0" t="n">
        <v>49.3</v>
      </c>
      <c r="H584" s="0" t="n">
        <v>18.1</v>
      </c>
      <c r="I584" s="0" t="n">
        <v>10.3</v>
      </c>
      <c r="J584" s="0" t="n">
        <v>11.4</v>
      </c>
      <c r="K584" s="0" t="n">
        <v>22.6873444617</v>
      </c>
      <c r="L584" s="0" t="n">
        <v>16.3160038471</v>
      </c>
      <c r="M584" s="0" t="n">
        <v>59.438089825</v>
      </c>
      <c r="N584" s="0" t="n">
        <v>0.66785918174</v>
      </c>
      <c r="O584" s="0" t="n">
        <v>0.890702684487</v>
      </c>
      <c r="P584" s="0" t="n">
        <f aca="false">INDEX($F584:$J584,IF(1&lt;$E584,1,1+1))</f>
        <v>10.8</v>
      </c>
      <c r="Q584" s="0" t="n">
        <f aca="false">INDEX($F584:$J584,IF(2&lt;$E584,2,2+1))</f>
        <v>18.1</v>
      </c>
      <c r="R584" s="0" t="n">
        <f aca="false">INDEX($F584:$J584,IF(3&lt;$E584,3,3+1))</f>
        <v>10.3</v>
      </c>
      <c r="S584" s="0" t="n">
        <f aca="false">INDEX($F584:$J584,IF(4&lt;$E584,4,4+1))</f>
        <v>11.4</v>
      </c>
      <c r="T584" s="0" t="n">
        <f aca="false">INDEX($K584:$O584,IF(1&lt;$E584,1,1+1))</f>
        <v>22.6873444617</v>
      </c>
      <c r="U584" s="0" t="n">
        <f aca="false">INDEX($K584:$O584,IF(2&lt;$E584,2,2+1))</f>
        <v>59.438089825</v>
      </c>
      <c r="V584" s="0" t="n">
        <f aca="false">INDEX($K584:$O584,IF(3&lt;$E584,3,3+1))</f>
        <v>0.66785918174</v>
      </c>
      <c r="W584" s="0" t="n">
        <f aca="false">INDEX($K584:$O584,IF(4&lt;$E584,4,4+1))</f>
        <v>0.890702684487</v>
      </c>
      <c r="X584" s="0" t="n">
        <f aca="false">1+COUNTIF($P584:$S584,"&gt;"&amp;$P584)+(COUNTIF($P584:$S584,$P584)-1)/2</f>
        <v>3</v>
      </c>
      <c r="Y584" s="0" t="n">
        <f aca="false">1+COUNTIF($P584:$S584,"&gt;"&amp;$Q584)+(COUNTIF($P584:$S584,$Q584)-1)/2</f>
        <v>1</v>
      </c>
      <c r="Z584" s="0" t="n">
        <f aca="false">1+COUNTIF($P584:$S584,"&gt;"&amp;$R584)+(COUNTIF($P584:$S584,$R584)-1)/2</f>
        <v>4</v>
      </c>
      <c r="AA584" s="0" t="n">
        <f aca="false">1+COUNTIF($P584:$S584,"&gt;"&amp;$S584)+(COUNTIF($P584:$S584,$S584)-1)/2</f>
        <v>2</v>
      </c>
      <c r="AB584" s="0" t="n">
        <f aca="false">1+COUNTIF($T584:$W584,"&gt;"&amp;$T584)+(COUNTIF($T584:$W584,$T584)-1)/2</f>
        <v>2</v>
      </c>
      <c r="AC584" s="0" t="n">
        <f aca="false">1+COUNTIF($T584:$W584,"&gt;"&amp;$U584)+(COUNTIF($T584:$W584,$U584)-1)/2</f>
        <v>1</v>
      </c>
      <c r="AD584" s="0" t="n">
        <f aca="false">1+COUNTIF($T584:$W584,"&gt;"&amp;$V584)+(COUNTIF($T584:$W584,$V584)-1)/2</f>
        <v>4</v>
      </c>
      <c r="AE584" s="0" t="n">
        <f aca="false">1+COUNTIF($T584:$W584,"&gt;"&amp;$W584)+(COUNTIF($T584:$W584,$W584)-1)/2</f>
        <v>3</v>
      </c>
      <c r="AF584" s="0" t="n">
        <f aca="false">IFERROR(CORREL($P584:$S584,$T584:$W584),"")</f>
        <v>0.918743566795705</v>
      </c>
      <c r="AG584" s="0" t="n">
        <f aca="false">IFERROR(CORREL($X584:$AA584,$AB584:$AE584),"")</f>
        <v>0.8</v>
      </c>
      <c r="AH584" s="0" t="n">
        <f aca="false">IFERROR((SIGN($P584-$Q584)*SIGN($T584-$U584)+SIGN($P584-$R584)*SIGN($T584-$V584)+SIGN($P584-$S584)*SIGN($T584-$W584)+SIGN($Q584-$R584)*SIGN($U584-$V584)+SIGN($Q584-$S584)*SIGN($U584-$W584)+SIGN($R584-$S584)*SIGN($V584-$W584))/SQRT((6-(($P584=$Q584)*1+($P584=$R584)*1+($P584=$S584)*1+($Q584=$R584)*1+($Q584=$S584)*1+($R584=$S584)*1))*(6-(($T584=$U584)*1+($T584=$V584)*1+($T584=$W584)*1+($U584=$V584)*1+($U584=$W584)*1+($V584=$W584)*1))),"")</f>
        <v>0.666666666666667</v>
      </c>
      <c r="AI584" s="0" t="n">
        <f aca="false">MATCH(MAX($K584:$O584),$K584:$O584,0)</f>
        <v>3</v>
      </c>
      <c r="AJ584" s="0" t="n">
        <f aca="false">IF(AI584&lt;&gt;$E584,1,0)</f>
        <v>1</v>
      </c>
      <c r="AK584" s="0" t="n">
        <f aca="false">IF(AJ584=1,INDEX($F584:$J584,AI584)/MAX($P584:$S584),"")</f>
        <v>1</v>
      </c>
      <c r="AL584" s="0" t="n">
        <f aca="false">IF(AJ584=1,1+COUNTIF($P584:$S584,"&gt;"&amp;INDEX($F584:$J584,AI584)),"")</f>
        <v>1</v>
      </c>
      <c r="AM584" s="0" t="n">
        <f aca="false">AVERAGE($P584:$S584)/MAX($P584:$S584)</f>
        <v>0.698895027624309</v>
      </c>
      <c r="AN584" s="0" t="n">
        <f aca="false">100-INDEX($F584:$J584,$E584)</f>
        <v>50.7</v>
      </c>
    </row>
    <row r="585" customFormat="false" ht="15" hidden="false" customHeight="false" outlineLevel="0" collapsed="false">
      <c r="A585" s="0" t="s">
        <v>61</v>
      </c>
      <c r="B585" s="0" t="n">
        <v>2022</v>
      </c>
      <c r="C585" s="0" t="s">
        <v>58</v>
      </c>
      <c r="D585" s="0" t="s">
        <v>42</v>
      </c>
      <c r="E585" s="0" t="n">
        <v>3</v>
      </c>
      <c r="F585" s="0" t="n">
        <v>8</v>
      </c>
      <c r="G585" s="0" t="n">
        <v>11.1</v>
      </c>
      <c r="H585" s="0" t="n">
        <v>56.8</v>
      </c>
      <c r="I585" s="0" t="n">
        <v>16.4</v>
      </c>
      <c r="J585" s="0" t="n">
        <v>7.7</v>
      </c>
      <c r="K585" s="0" t="n">
        <v>30.2122716569</v>
      </c>
      <c r="L585" s="0" t="n">
        <v>15.5728679922</v>
      </c>
      <c r="M585" s="0" t="n">
        <v>13.7576557761</v>
      </c>
      <c r="N585" s="0" t="n">
        <v>30.2814578725</v>
      </c>
      <c r="O585" s="0" t="n">
        <v>10.1757467024</v>
      </c>
      <c r="P585" s="0" t="n">
        <f aca="false">INDEX($F585:$J585,IF(1&lt;$E585,1,1+1))</f>
        <v>8</v>
      </c>
      <c r="Q585" s="0" t="n">
        <f aca="false">INDEX($F585:$J585,IF(2&lt;$E585,2,2+1))</f>
        <v>11.1</v>
      </c>
      <c r="R585" s="0" t="n">
        <f aca="false">INDEX($F585:$J585,IF(3&lt;$E585,3,3+1))</f>
        <v>16.4</v>
      </c>
      <c r="S585" s="0" t="n">
        <f aca="false">INDEX($F585:$J585,IF(4&lt;$E585,4,4+1))</f>
        <v>7.7</v>
      </c>
      <c r="T585" s="0" t="n">
        <f aca="false">INDEX($K585:$O585,IF(1&lt;$E585,1,1+1))</f>
        <v>30.2122716569</v>
      </c>
      <c r="U585" s="0" t="n">
        <f aca="false">INDEX($K585:$O585,IF(2&lt;$E585,2,2+1))</f>
        <v>15.5728679922</v>
      </c>
      <c r="V585" s="0" t="n">
        <f aca="false">INDEX($K585:$O585,IF(3&lt;$E585,3,3+1))</f>
        <v>30.2814578725</v>
      </c>
      <c r="W585" s="0" t="n">
        <f aca="false">INDEX($K585:$O585,IF(4&lt;$E585,4,4+1))</f>
        <v>10.1757467024</v>
      </c>
      <c r="X585" s="0" t="n">
        <f aca="false">1+COUNTIF($P585:$S585,"&gt;"&amp;$P585)+(COUNTIF($P585:$S585,$P585)-1)/2</f>
        <v>3</v>
      </c>
      <c r="Y585" s="0" t="n">
        <f aca="false">1+COUNTIF($P585:$S585,"&gt;"&amp;$Q585)+(COUNTIF($P585:$S585,$Q585)-1)/2</f>
        <v>2</v>
      </c>
      <c r="Z585" s="0" t="n">
        <f aca="false">1+COUNTIF($P585:$S585,"&gt;"&amp;$R585)+(COUNTIF($P585:$S585,$R585)-1)/2</f>
        <v>1</v>
      </c>
      <c r="AA585" s="0" t="n">
        <f aca="false">1+COUNTIF($P585:$S585,"&gt;"&amp;$S585)+(COUNTIF($P585:$S585,$S585)-1)/2</f>
        <v>4</v>
      </c>
      <c r="AB585" s="0" t="n">
        <f aca="false">1+COUNTIF($T585:$W585,"&gt;"&amp;$T585)+(COUNTIF($T585:$W585,$T585)-1)/2</f>
        <v>2</v>
      </c>
      <c r="AC585" s="0" t="n">
        <f aca="false">1+COUNTIF($T585:$W585,"&gt;"&amp;$U585)+(COUNTIF($T585:$W585,$U585)-1)/2</f>
        <v>3</v>
      </c>
      <c r="AD585" s="0" t="n">
        <f aca="false">1+COUNTIF($T585:$W585,"&gt;"&amp;$V585)+(COUNTIF($T585:$W585,$V585)-1)/2</f>
        <v>1</v>
      </c>
      <c r="AE585" s="0" t="n">
        <f aca="false">1+COUNTIF($T585:$W585,"&gt;"&amp;$W585)+(COUNTIF($T585:$W585,$W585)-1)/2</f>
        <v>4</v>
      </c>
      <c r="AF585" s="0" t="n">
        <f aca="false">IFERROR(CORREL($P585:$S585,$T585:$W585),"")</f>
        <v>0.467184483011546</v>
      </c>
      <c r="AG585" s="0" t="n">
        <f aca="false">IFERROR(CORREL($X585:$AA585,$AB585:$AE585),"")</f>
        <v>0.8</v>
      </c>
      <c r="AH585" s="0" t="n">
        <f aca="false">IFERROR((SIGN($P585-$Q585)*SIGN($T585-$U585)+SIGN($P585-$R585)*SIGN($T585-$V585)+SIGN($P585-$S585)*SIGN($T585-$W585)+SIGN($Q585-$R585)*SIGN($U585-$V585)+SIGN($Q585-$S585)*SIGN($U585-$W585)+SIGN($R585-$S585)*SIGN($V585-$W585))/SQRT((6-(($P585=$Q585)*1+($P585=$R585)*1+($P585=$S585)*1+($Q585=$R585)*1+($Q585=$S585)*1+($R585=$S585)*1))*(6-(($T585=$U585)*1+($T585=$V585)*1+($T585=$W585)*1+($U585=$V585)*1+($U585=$W585)*1+($V585=$W585)*1))),"")</f>
        <v>0.666666666666667</v>
      </c>
      <c r="AI585" s="0" t="n">
        <f aca="false">MATCH(MAX($K585:$O585),$K585:$O585,0)</f>
        <v>4</v>
      </c>
      <c r="AJ585" s="0" t="n">
        <f aca="false">IF(AI585&lt;&gt;$E585,1,0)</f>
        <v>1</v>
      </c>
      <c r="AK585" s="0" t="n">
        <f aca="false">IF(AJ585=1,INDEX($F585:$J585,AI585)/MAX($P585:$S585),"")</f>
        <v>1</v>
      </c>
      <c r="AL585" s="0" t="n">
        <f aca="false">IF(AJ585=1,1+COUNTIF($P585:$S585,"&gt;"&amp;INDEX($F585:$J585,AI585)),"")</f>
        <v>1</v>
      </c>
      <c r="AM585" s="0" t="n">
        <f aca="false">AVERAGE($P585:$S585)/MAX($P585:$S585)</f>
        <v>0.658536585365854</v>
      </c>
      <c r="AN585" s="0" t="n">
        <f aca="false">100-INDEX($F585:$J585,$E585)</f>
        <v>43.2</v>
      </c>
    </row>
    <row r="586" customFormat="false" ht="15" hidden="false" customHeight="false" outlineLevel="0" collapsed="false">
      <c r="A586" s="0" t="s">
        <v>61</v>
      </c>
      <c r="B586" s="0" t="n">
        <v>2022</v>
      </c>
      <c r="C586" s="0" t="s">
        <v>58</v>
      </c>
      <c r="D586" s="0" t="s">
        <v>43</v>
      </c>
      <c r="E586" s="0" t="n">
        <v>2</v>
      </c>
      <c r="F586" s="0" t="n">
        <v>14.1</v>
      </c>
      <c r="G586" s="0" t="n">
        <v>38.5</v>
      </c>
      <c r="H586" s="0" t="n">
        <v>18.6</v>
      </c>
      <c r="I586" s="0" t="n">
        <v>19.4</v>
      </c>
      <c r="J586" s="0" t="n">
        <v>9.5</v>
      </c>
      <c r="K586" s="0" t="n">
        <v>10.5431560805</v>
      </c>
      <c r="L586" s="0" t="n">
        <v>43.3732876031</v>
      </c>
      <c r="M586" s="0" t="n">
        <v>36.3992014652</v>
      </c>
      <c r="N586" s="0" t="n">
        <v>4.28482087818</v>
      </c>
      <c r="O586" s="0" t="n">
        <v>5.39953397301</v>
      </c>
      <c r="P586" s="0" t="n">
        <f aca="false">INDEX($F586:$J586,IF(1&lt;$E586,1,1+1))</f>
        <v>14.1</v>
      </c>
      <c r="Q586" s="0" t="n">
        <f aca="false">INDEX($F586:$J586,IF(2&lt;$E586,2,2+1))</f>
        <v>18.6</v>
      </c>
      <c r="R586" s="0" t="n">
        <f aca="false">INDEX($F586:$J586,IF(3&lt;$E586,3,3+1))</f>
        <v>19.4</v>
      </c>
      <c r="S586" s="0" t="n">
        <f aca="false">INDEX($F586:$J586,IF(4&lt;$E586,4,4+1))</f>
        <v>9.5</v>
      </c>
      <c r="T586" s="0" t="n">
        <f aca="false">INDEX($K586:$O586,IF(1&lt;$E586,1,1+1))</f>
        <v>10.5431560805</v>
      </c>
      <c r="U586" s="0" t="n">
        <f aca="false">INDEX($K586:$O586,IF(2&lt;$E586,2,2+1))</f>
        <v>36.3992014652</v>
      </c>
      <c r="V586" s="0" t="n">
        <f aca="false">INDEX($K586:$O586,IF(3&lt;$E586,3,3+1))</f>
        <v>4.28482087818</v>
      </c>
      <c r="W586" s="0" t="n">
        <f aca="false">INDEX($K586:$O586,IF(4&lt;$E586,4,4+1))</f>
        <v>5.39953397301</v>
      </c>
      <c r="X586" s="0" t="n">
        <f aca="false">1+COUNTIF($P586:$S586,"&gt;"&amp;$P586)+(COUNTIF($P586:$S586,$P586)-1)/2</f>
        <v>3</v>
      </c>
      <c r="Y586" s="0" t="n">
        <f aca="false">1+COUNTIF($P586:$S586,"&gt;"&amp;$Q586)+(COUNTIF($P586:$S586,$Q586)-1)/2</f>
        <v>2</v>
      </c>
      <c r="Z586" s="0" t="n">
        <f aca="false">1+COUNTIF($P586:$S586,"&gt;"&amp;$R586)+(COUNTIF($P586:$S586,$R586)-1)/2</f>
        <v>1</v>
      </c>
      <c r="AA586" s="0" t="n">
        <f aca="false">1+COUNTIF($P586:$S586,"&gt;"&amp;$S586)+(COUNTIF($P586:$S586,$S586)-1)/2</f>
        <v>4</v>
      </c>
      <c r="AB586" s="0" t="n">
        <f aca="false">1+COUNTIF($T586:$W586,"&gt;"&amp;$T586)+(COUNTIF($T586:$W586,$T586)-1)/2</f>
        <v>2</v>
      </c>
      <c r="AC586" s="0" t="n">
        <f aca="false">1+COUNTIF($T586:$W586,"&gt;"&amp;$U586)+(COUNTIF($T586:$W586,$U586)-1)/2</f>
        <v>1</v>
      </c>
      <c r="AD586" s="0" t="n">
        <f aca="false">1+COUNTIF($T586:$W586,"&gt;"&amp;$V586)+(COUNTIF($T586:$W586,$V586)-1)/2</f>
        <v>4</v>
      </c>
      <c r="AE586" s="0" t="n">
        <f aca="false">1+COUNTIF($T586:$W586,"&gt;"&amp;$W586)+(COUNTIF($T586:$W586,$W586)-1)/2</f>
        <v>3</v>
      </c>
      <c r="AF586" s="0" t="n">
        <f aca="false">IFERROR(CORREL($P586:$S586,$T586:$W586),"")</f>
        <v>0.425700656625317</v>
      </c>
      <c r="AG586" s="0" t="n">
        <f aca="false">IFERROR(CORREL($X586:$AA586,$AB586:$AE586),"")</f>
        <v>-0.2</v>
      </c>
      <c r="AH586" s="0" t="n">
        <f aca="false">IFERROR((SIGN($P586-$Q586)*SIGN($T586-$U586)+SIGN($P586-$R586)*SIGN($T586-$V586)+SIGN($P586-$S586)*SIGN($T586-$W586)+SIGN($Q586-$R586)*SIGN($U586-$V586)+SIGN($Q586-$S586)*SIGN($U586-$W586)+SIGN($R586-$S586)*SIGN($V586-$W586))/SQRT((6-(($P586=$Q586)*1+($P586=$R586)*1+($P586=$S586)*1+($Q586=$R586)*1+($Q586=$S586)*1+($R586=$S586)*1))*(6-(($T586=$U586)*1+($T586=$V586)*1+($T586=$W586)*1+($U586=$V586)*1+($U586=$W586)*1+($V586=$W586)*1))),"")</f>
        <v>0</v>
      </c>
      <c r="AI586" s="0" t="n">
        <f aca="false">MATCH(MAX($K586:$O586),$K586:$O586,0)</f>
        <v>2</v>
      </c>
      <c r="AJ586" s="0" t="n">
        <f aca="false">IF(AI586&lt;&gt;$E586,1,0)</f>
        <v>0</v>
      </c>
      <c r="AK586" s="0" t="str">
        <f aca="false">IF(AJ586=1,INDEX($F586:$J586,AI586)/MAX($P586:$S586),"")</f>
        <v/>
      </c>
      <c r="AL586" s="0" t="str">
        <f aca="false">IF(AJ586=1,1+COUNTIF($P586:$S586,"&gt;"&amp;INDEX($F586:$J586,AI586)),"")</f>
        <v/>
      </c>
      <c r="AM586" s="0" t="n">
        <f aca="false">AVERAGE($P586:$S586)/MAX($P586:$S586)</f>
        <v>0.793814432989691</v>
      </c>
      <c r="AN586" s="0" t="n">
        <f aca="false">100-INDEX($F586:$J586,$E586)</f>
        <v>61.5</v>
      </c>
    </row>
    <row r="587" customFormat="false" ht="15" hidden="false" customHeight="false" outlineLevel="0" collapsed="false">
      <c r="A587" s="0" t="s">
        <v>61</v>
      </c>
      <c r="B587" s="0" t="n">
        <v>2022</v>
      </c>
      <c r="C587" s="0" t="s">
        <v>58</v>
      </c>
      <c r="D587" s="0" t="s">
        <v>44</v>
      </c>
      <c r="E587" s="0" t="n">
        <v>3</v>
      </c>
      <c r="F587" s="0" t="n">
        <v>7.1</v>
      </c>
      <c r="G587" s="0" t="n">
        <v>11</v>
      </c>
      <c r="H587" s="0" t="n">
        <v>52.2</v>
      </c>
      <c r="I587" s="0" t="n">
        <v>10.9</v>
      </c>
      <c r="J587" s="0" t="n">
        <v>18.7</v>
      </c>
      <c r="K587" s="0" t="n">
        <v>15.7649837687</v>
      </c>
      <c r="L587" s="0" t="n">
        <v>16.3107563669</v>
      </c>
      <c r="M587" s="0" t="n">
        <v>20.3880484201</v>
      </c>
      <c r="N587" s="0" t="n">
        <v>7.63247934142</v>
      </c>
      <c r="O587" s="0" t="n">
        <v>39.9037321028</v>
      </c>
      <c r="P587" s="0" t="n">
        <f aca="false">INDEX($F587:$J587,IF(1&lt;$E587,1,1+1))</f>
        <v>7.1</v>
      </c>
      <c r="Q587" s="0" t="n">
        <f aca="false">INDEX($F587:$J587,IF(2&lt;$E587,2,2+1))</f>
        <v>11</v>
      </c>
      <c r="R587" s="0" t="n">
        <f aca="false">INDEX($F587:$J587,IF(3&lt;$E587,3,3+1))</f>
        <v>10.9</v>
      </c>
      <c r="S587" s="0" t="n">
        <f aca="false">INDEX($F587:$J587,IF(4&lt;$E587,4,4+1))</f>
        <v>18.7</v>
      </c>
      <c r="T587" s="0" t="n">
        <f aca="false">INDEX($K587:$O587,IF(1&lt;$E587,1,1+1))</f>
        <v>15.7649837687</v>
      </c>
      <c r="U587" s="0" t="n">
        <f aca="false">INDEX($K587:$O587,IF(2&lt;$E587,2,2+1))</f>
        <v>16.3107563669</v>
      </c>
      <c r="V587" s="0" t="n">
        <f aca="false">INDEX($K587:$O587,IF(3&lt;$E587,3,3+1))</f>
        <v>7.63247934142</v>
      </c>
      <c r="W587" s="0" t="n">
        <f aca="false">INDEX($K587:$O587,IF(4&lt;$E587,4,4+1))</f>
        <v>39.9037321028</v>
      </c>
      <c r="X587" s="0" t="n">
        <f aca="false">1+COUNTIF($P587:$S587,"&gt;"&amp;$P587)+(COUNTIF($P587:$S587,$P587)-1)/2</f>
        <v>4</v>
      </c>
      <c r="Y587" s="0" t="n">
        <f aca="false">1+COUNTIF($P587:$S587,"&gt;"&amp;$Q587)+(COUNTIF($P587:$S587,$Q587)-1)/2</f>
        <v>2</v>
      </c>
      <c r="Z587" s="0" t="n">
        <f aca="false">1+COUNTIF($P587:$S587,"&gt;"&amp;$R587)+(COUNTIF($P587:$S587,$R587)-1)/2</f>
        <v>3</v>
      </c>
      <c r="AA587" s="0" t="n">
        <f aca="false">1+COUNTIF($P587:$S587,"&gt;"&amp;$S587)+(COUNTIF($P587:$S587,$S587)-1)/2</f>
        <v>1</v>
      </c>
      <c r="AB587" s="0" t="n">
        <f aca="false">1+COUNTIF($T587:$W587,"&gt;"&amp;$T587)+(COUNTIF($T587:$W587,$T587)-1)/2</f>
        <v>3</v>
      </c>
      <c r="AC587" s="0" t="n">
        <f aca="false">1+COUNTIF($T587:$W587,"&gt;"&amp;$U587)+(COUNTIF($T587:$W587,$U587)-1)/2</f>
        <v>2</v>
      </c>
      <c r="AD587" s="0" t="n">
        <f aca="false">1+COUNTIF($T587:$W587,"&gt;"&amp;$V587)+(COUNTIF($T587:$W587,$V587)-1)/2</f>
        <v>4</v>
      </c>
      <c r="AE587" s="0" t="n">
        <f aca="false">1+COUNTIF($T587:$W587,"&gt;"&amp;$W587)+(COUNTIF($T587:$W587,$W587)-1)/2</f>
        <v>1</v>
      </c>
      <c r="AF587" s="0" t="n">
        <f aca="false">IFERROR(CORREL($P587:$S587,$T587:$W587),"")</f>
        <v>0.843516976057023</v>
      </c>
      <c r="AG587" s="0" t="n">
        <f aca="false">IFERROR(CORREL($X587:$AA587,$AB587:$AE587),"")</f>
        <v>0.8</v>
      </c>
      <c r="AH587" s="0" t="n">
        <f aca="false">IFERROR((SIGN($P587-$Q587)*SIGN($T587-$U587)+SIGN($P587-$R587)*SIGN($T587-$V587)+SIGN($P587-$S587)*SIGN($T587-$W587)+SIGN($Q587-$R587)*SIGN($U587-$V587)+SIGN($Q587-$S587)*SIGN($U587-$W587)+SIGN($R587-$S587)*SIGN($V587-$W587))/SQRT((6-(($P587=$Q587)*1+($P587=$R587)*1+($P587=$S587)*1+($Q587=$R587)*1+($Q587=$S587)*1+($R587=$S587)*1))*(6-(($T587=$U587)*1+($T587=$V587)*1+($T587=$W587)*1+($U587=$V587)*1+($U587=$W587)*1+($V587=$W587)*1))),"")</f>
        <v>0.666666666666667</v>
      </c>
      <c r="AI587" s="0" t="n">
        <f aca="false">MATCH(MAX($K587:$O587),$K587:$O587,0)</f>
        <v>5</v>
      </c>
      <c r="AJ587" s="0" t="n">
        <f aca="false">IF(AI587&lt;&gt;$E587,1,0)</f>
        <v>1</v>
      </c>
      <c r="AK587" s="0" t="n">
        <f aca="false">IF(AJ587=1,INDEX($F587:$J587,AI587)/MAX($P587:$S587),"")</f>
        <v>1</v>
      </c>
      <c r="AL587" s="0" t="n">
        <f aca="false">IF(AJ587=1,1+COUNTIF($P587:$S587,"&gt;"&amp;INDEX($F587:$J587,AI587)),"")</f>
        <v>1</v>
      </c>
      <c r="AM587" s="0" t="n">
        <f aca="false">AVERAGE($P587:$S587)/MAX($P587:$S587)</f>
        <v>0.637700534759358</v>
      </c>
      <c r="AN587" s="0" t="n">
        <f aca="false">100-INDEX($F587:$J587,$E587)</f>
        <v>47.8</v>
      </c>
    </row>
    <row r="588" customFormat="false" ht="15" hidden="false" customHeight="false" outlineLevel="0" collapsed="false">
      <c r="A588" s="0" t="s">
        <v>61</v>
      </c>
      <c r="B588" s="0" t="n">
        <v>2022</v>
      </c>
      <c r="C588" s="0" t="s">
        <v>58</v>
      </c>
      <c r="D588" s="0" t="s">
        <v>45</v>
      </c>
      <c r="E588" s="0" t="n">
        <v>3</v>
      </c>
      <c r="F588" s="0" t="n">
        <v>16.9</v>
      </c>
      <c r="G588" s="0" t="n">
        <v>10.6</v>
      </c>
      <c r="H588" s="0" t="n">
        <v>46.8</v>
      </c>
      <c r="I588" s="0" t="n">
        <v>14.2</v>
      </c>
      <c r="J588" s="0" t="n">
        <v>11.4</v>
      </c>
      <c r="K588" s="0" t="n">
        <v>13.6001540008</v>
      </c>
      <c r="L588" s="0" t="n">
        <v>5.55909903084</v>
      </c>
      <c r="M588" s="0" t="n">
        <v>42.8181655474</v>
      </c>
      <c r="N588" s="0" t="n">
        <v>9.18354447482</v>
      </c>
      <c r="O588" s="0" t="n">
        <v>28.8390369461</v>
      </c>
      <c r="P588" s="0" t="n">
        <f aca="false">INDEX($F588:$J588,IF(1&lt;$E588,1,1+1))</f>
        <v>16.9</v>
      </c>
      <c r="Q588" s="0" t="n">
        <f aca="false">INDEX($F588:$J588,IF(2&lt;$E588,2,2+1))</f>
        <v>10.6</v>
      </c>
      <c r="R588" s="0" t="n">
        <f aca="false">INDEX($F588:$J588,IF(3&lt;$E588,3,3+1))</f>
        <v>14.2</v>
      </c>
      <c r="S588" s="0" t="n">
        <f aca="false">INDEX($F588:$J588,IF(4&lt;$E588,4,4+1))</f>
        <v>11.4</v>
      </c>
      <c r="T588" s="0" t="n">
        <f aca="false">INDEX($K588:$O588,IF(1&lt;$E588,1,1+1))</f>
        <v>13.6001540008</v>
      </c>
      <c r="U588" s="0" t="n">
        <f aca="false">INDEX($K588:$O588,IF(2&lt;$E588,2,2+1))</f>
        <v>5.55909903084</v>
      </c>
      <c r="V588" s="0" t="n">
        <f aca="false">INDEX($K588:$O588,IF(3&lt;$E588,3,3+1))</f>
        <v>9.18354447482</v>
      </c>
      <c r="W588" s="0" t="n">
        <f aca="false">INDEX($K588:$O588,IF(4&lt;$E588,4,4+1))</f>
        <v>28.8390369461</v>
      </c>
      <c r="X588" s="0" t="n">
        <f aca="false">1+COUNTIF($P588:$S588,"&gt;"&amp;$P588)+(COUNTIF($P588:$S588,$P588)-1)/2</f>
        <v>1</v>
      </c>
      <c r="Y588" s="0" t="n">
        <f aca="false">1+COUNTIF($P588:$S588,"&gt;"&amp;$Q588)+(COUNTIF($P588:$S588,$Q588)-1)/2</f>
        <v>4</v>
      </c>
      <c r="Z588" s="0" t="n">
        <f aca="false">1+COUNTIF($P588:$S588,"&gt;"&amp;$R588)+(COUNTIF($P588:$S588,$R588)-1)/2</f>
        <v>2</v>
      </c>
      <c r="AA588" s="0" t="n">
        <f aca="false">1+COUNTIF($P588:$S588,"&gt;"&amp;$S588)+(COUNTIF($P588:$S588,$S588)-1)/2</f>
        <v>3</v>
      </c>
      <c r="AB588" s="0" t="n">
        <f aca="false">1+COUNTIF($T588:$W588,"&gt;"&amp;$T588)+(COUNTIF($T588:$W588,$T588)-1)/2</f>
        <v>2</v>
      </c>
      <c r="AC588" s="0" t="n">
        <f aca="false">1+COUNTIF($T588:$W588,"&gt;"&amp;$U588)+(COUNTIF($T588:$W588,$U588)-1)/2</f>
        <v>4</v>
      </c>
      <c r="AD588" s="0" t="n">
        <f aca="false">1+COUNTIF($T588:$W588,"&gt;"&amp;$V588)+(COUNTIF($T588:$W588,$V588)-1)/2</f>
        <v>3</v>
      </c>
      <c r="AE588" s="0" t="n">
        <f aca="false">1+COUNTIF($T588:$W588,"&gt;"&amp;$W588)+(COUNTIF($T588:$W588,$W588)-1)/2</f>
        <v>1</v>
      </c>
      <c r="AF588" s="0" t="n">
        <f aca="false">IFERROR(CORREL($P588:$S588,$T588:$W588),"")</f>
        <v>-0.126582225500525</v>
      </c>
      <c r="AG588" s="0" t="n">
        <f aca="false">IFERROR(CORREL($X588:$AA588,$AB588:$AE588),"")</f>
        <v>0.4</v>
      </c>
      <c r="AH588" s="0" t="n">
        <f aca="false">IFERROR((SIGN($P588-$Q588)*SIGN($T588-$U588)+SIGN($P588-$R588)*SIGN($T588-$V588)+SIGN($P588-$S588)*SIGN($T588-$W588)+SIGN($Q588-$R588)*SIGN($U588-$V588)+SIGN($Q588-$S588)*SIGN($U588-$W588)+SIGN($R588-$S588)*SIGN($V588-$W588))/SQRT((6-(($P588=$Q588)*1+($P588=$R588)*1+($P588=$S588)*1+($Q588=$R588)*1+($Q588=$S588)*1+($R588=$S588)*1))*(6-(($T588=$U588)*1+($T588=$V588)*1+($T588=$W588)*1+($U588=$V588)*1+($U588=$W588)*1+($V588=$W588)*1))),"")</f>
        <v>0.333333333333333</v>
      </c>
      <c r="AI588" s="0" t="n">
        <f aca="false">MATCH(MAX($K588:$O588),$K588:$O588,0)</f>
        <v>3</v>
      </c>
      <c r="AJ588" s="0" t="n">
        <f aca="false">IF(AI588&lt;&gt;$E588,1,0)</f>
        <v>0</v>
      </c>
      <c r="AK588" s="0" t="str">
        <f aca="false">IF(AJ588=1,INDEX($F588:$J588,AI588)/MAX($P588:$S588),"")</f>
        <v/>
      </c>
      <c r="AL588" s="0" t="str">
        <f aca="false">IF(AJ588=1,1+COUNTIF($P588:$S588,"&gt;"&amp;INDEX($F588:$J588,AI588)),"")</f>
        <v/>
      </c>
      <c r="AM588" s="0" t="n">
        <f aca="false">AVERAGE($P588:$S588)/MAX($P588:$S588)</f>
        <v>0.785502958579882</v>
      </c>
      <c r="AN588" s="0" t="n">
        <f aca="false">100-INDEX($F588:$J588,$E588)</f>
        <v>53.2</v>
      </c>
    </row>
    <row r="589" customFormat="false" ht="15" hidden="false" customHeight="false" outlineLevel="0" collapsed="false">
      <c r="A589" s="0" t="s">
        <v>61</v>
      </c>
      <c r="B589" s="0" t="n">
        <v>2022</v>
      </c>
      <c r="C589" s="0" t="s">
        <v>49</v>
      </c>
      <c r="D589" s="0" t="s">
        <v>42</v>
      </c>
      <c r="E589" s="0" t="n">
        <v>2</v>
      </c>
      <c r="F589" s="0" t="n">
        <v>15.6</v>
      </c>
      <c r="G589" s="0" t="n">
        <v>41.4</v>
      </c>
      <c r="H589" s="0" t="n">
        <v>11.3</v>
      </c>
      <c r="I589" s="0" t="n">
        <v>19.4</v>
      </c>
      <c r="J589" s="0" t="n">
        <v>12.3</v>
      </c>
      <c r="K589" s="0" t="n">
        <v>0.19075736047</v>
      </c>
      <c r="L589" s="0" t="n">
        <v>8.55999901355</v>
      </c>
      <c r="M589" s="0" t="n">
        <v>0.185425379957</v>
      </c>
      <c r="N589" s="0" t="n">
        <v>90.6673133377</v>
      </c>
      <c r="O589" s="0" t="n">
        <v>0.396504908361</v>
      </c>
      <c r="P589" s="0" t="n">
        <f aca="false">INDEX($F589:$J589,IF(1&lt;$E589,1,1+1))</f>
        <v>15.6</v>
      </c>
      <c r="Q589" s="0" t="n">
        <f aca="false">INDEX($F589:$J589,IF(2&lt;$E589,2,2+1))</f>
        <v>11.3</v>
      </c>
      <c r="R589" s="0" t="n">
        <f aca="false">INDEX($F589:$J589,IF(3&lt;$E589,3,3+1))</f>
        <v>19.4</v>
      </c>
      <c r="S589" s="0" t="n">
        <f aca="false">INDEX($F589:$J589,IF(4&lt;$E589,4,4+1))</f>
        <v>12.3</v>
      </c>
      <c r="T589" s="0" t="n">
        <f aca="false">INDEX($K589:$O589,IF(1&lt;$E589,1,1+1))</f>
        <v>0.19075736047</v>
      </c>
      <c r="U589" s="0" t="n">
        <f aca="false">INDEX($K589:$O589,IF(2&lt;$E589,2,2+1))</f>
        <v>0.185425379957</v>
      </c>
      <c r="V589" s="0" t="n">
        <f aca="false">INDEX($K589:$O589,IF(3&lt;$E589,3,3+1))</f>
        <v>90.6673133377</v>
      </c>
      <c r="W589" s="0" t="n">
        <f aca="false">INDEX($K589:$O589,IF(4&lt;$E589,4,4+1))</f>
        <v>0.396504908361</v>
      </c>
      <c r="X589" s="0" t="n">
        <f aca="false">1+COUNTIF($P589:$S589,"&gt;"&amp;$P589)+(COUNTIF($P589:$S589,$P589)-1)/2</f>
        <v>2</v>
      </c>
      <c r="Y589" s="0" t="n">
        <f aca="false">1+COUNTIF($P589:$S589,"&gt;"&amp;$Q589)+(COUNTIF($P589:$S589,$Q589)-1)/2</f>
        <v>4</v>
      </c>
      <c r="Z589" s="0" t="n">
        <f aca="false">1+COUNTIF($P589:$S589,"&gt;"&amp;$R589)+(COUNTIF($P589:$S589,$R589)-1)/2</f>
        <v>1</v>
      </c>
      <c r="AA589" s="0" t="n">
        <f aca="false">1+COUNTIF($P589:$S589,"&gt;"&amp;$S589)+(COUNTIF($P589:$S589,$S589)-1)/2</f>
        <v>3</v>
      </c>
      <c r="AB589" s="0" t="n">
        <f aca="false">1+COUNTIF($T589:$W589,"&gt;"&amp;$T589)+(COUNTIF($T589:$W589,$T589)-1)/2</f>
        <v>3</v>
      </c>
      <c r="AC589" s="0" t="n">
        <f aca="false">1+COUNTIF($T589:$W589,"&gt;"&amp;$U589)+(COUNTIF($T589:$W589,$U589)-1)/2</f>
        <v>4</v>
      </c>
      <c r="AD589" s="0" t="n">
        <f aca="false">1+COUNTIF($T589:$W589,"&gt;"&amp;$V589)+(COUNTIF($T589:$W589,$V589)-1)/2</f>
        <v>1</v>
      </c>
      <c r="AE589" s="0" t="n">
        <f aca="false">1+COUNTIF($T589:$W589,"&gt;"&amp;$W589)+(COUNTIF($T589:$W589,$W589)-1)/2</f>
        <v>2</v>
      </c>
      <c r="AF589" s="0" t="n">
        <f aca="false">IFERROR(CORREL($P589:$S589,$T589:$W589),"")</f>
        <v>0.864659056908743</v>
      </c>
      <c r="AG589" s="0" t="n">
        <f aca="false">IFERROR(CORREL($X589:$AA589,$AB589:$AE589),"")</f>
        <v>0.8</v>
      </c>
      <c r="AH589" s="0" t="n">
        <f aca="false">IFERROR((SIGN($P589-$Q589)*SIGN($T589-$U589)+SIGN($P589-$R589)*SIGN($T589-$V589)+SIGN($P589-$S589)*SIGN($T589-$W589)+SIGN($Q589-$R589)*SIGN($U589-$V589)+SIGN($Q589-$S589)*SIGN($U589-$W589)+SIGN($R589-$S589)*SIGN($V589-$W589))/SQRT((6-(($P589=$Q589)*1+($P589=$R589)*1+($P589=$S589)*1+($Q589=$R589)*1+($Q589=$S589)*1+($R589=$S589)*1))*(6-(($T589=$U589)*1+($T589=$V589)*1+($T589=$W589)*1+($U589=$V589)*1+($U589=$W589)*1+($V589=$W589)*1))),"")</f>
        <v>0.666666666666667</v>
      </c>
      <c r="AI589" s="0" t="n">
        <f aca="false">MATCH(MAX($K589:$O589),$K589:$O589,0)</f>
        <v>4</v>
      </c>
      <c r="AJ589" s="0" t="n">
        <f aca="false">IF(AI589&lt;&gt;$E589,1,0)</f>
        <v>1</v>
      </c>
      <c r="AK589" s="0" t="n">
        <f aca="false">IF(AJ589=1,INDEX($F589:$J589,AI589)/MAX($P589:$S589),"")</f>
        <v>1</v>
      </c>
      <c r="AL589" s="0" t="n">
        <f aca="false">IF(AJ589=1,1+COUNTIF($P589:$S589,"&gt;"&amp;INDEX($F589:$J589,AI589)),"")</f>
        <v>1</v>
      </c>
      <c r="AM589" s="0" t="n">
        <f aca="false">AVERAGE($P589:$S589)/MAX($P589:$S589)</f>
        <v>0.755154639175258</v>
      </c>
      <c r="AN589" s="0" t="n">
        <f aca="false">100-INDEX($F589:$J589,$E589)</f>
        <v>58.6</v>
      </c>
    </row>
    <row r="590" customFormat="false" ht="15" hidden="false" customHeight="false" outlineLevel="0" collapsed="false">
      <c r="A590" s="0" t="s">
        <v>61</v>
      </c>
      <c r="B590" s="0" t="n">
        <v>2022</v>
      </c>
      <c r="C590" s="0" t="s">
        <v>49</v>
      </c>
      <c r="D590" s="0" t="s">
        <v>43</v>
      </c>
      <c r="E590" s="0" t="n">
        <v>5</v>
      </c>
      <c r="F590" s="0" t="n">
        <v>21.8</v>
      </c>
      <c r="G590" s="0" t="n">
        <v>8.3</v>
      </c>
      <c r="H590" s="0" t="n">
        <v>9.7</v>
      </c>
      <c r="I590" s="0" t="n">
        <v>10.4</v>
      </c>
      <c r="J590" s="0" t="n">
        <v>49.9</v>
      </c>
      <c r="K590" s="0" t="n">
        <v>3.69812476464</v>
      </c>
      <c r="L590" s="0" t="n">
        <v>1.65897701518</v>
      </c>
      <c r="M590" s="0" t="n">
        <v>7.1507466918</v>
      </c>
      <c r="N590" s="0" t="n">
        <v>5.51818528136</v>
      </c>
      <c r="O590" s="0" t="n">
        <v>81.973966247</v>
      </c>
      <c r="P590" s="0" t="n">
        <f aca="false">INDEX($F590:$J590,IF(1&lt;$E590,1,1+1))</f>
        <v>21.8</v>
      </c>
      <c r="Q590" s="0" t="n">
        <f aca="false">INDEX($F590:$J590,IF(2&lt;$E590,2,2+1))</f>
        <v>8.3</v>
      </c>
      <c r="R590" s="0" t="n">
        <f aca="false">INDEX($F590:$J590,IF(3&lt;$E590,3,3+1))</f>
        <v>9.7</v>
      </c>
      <c r="S590" s="0" t="n">
        <f aca="false">INDEX($F590:$J590,IF(4&lt;$E590,4,4+1))</f>
        <v>10.4</v>
      </c>
      <c r="T590" s="0" t="n">
        <f aca="false">INDEX($K590:$O590,IF(1&lt;$E590,1,1+1))</f>
        <v>3.69812476464</v>
      </c>
      <c r="U590" s="0" t="n">
        <f aca="false">INDEX($K590:$O590,IF(2&lt;$E590,2,2+1))</f>
        <v>1.65897701518</v>
      </c>
      <c r="V590" s="0" t="n">
        <f aca="false">INDEX($K590:$O590,IF(3&lt;$E590,3,3+1))</f>
        <v>7.1507466918</v>
      </c>
      <c r="W590" s="0" t="n">
        <f aca="false">INDEX($K590:$O590,IF(4&lt;$E590,4,4+1))</f>
        <v>5.51818528136</v>
      </c>
      <c r="X590" s="0" t="n">
        <f aca="false">1+COUNTIF($P590:$S590,"&gt;"&amp;$P590)+(COUNTIF($P590:$S590,$P590)-1)/2</f>
        <v>1</v>
      </c>
      <c r="Y590" s="0" t="n">
        <f aca="false">1+COUNTIF($P590:$S590,"&gt;"&amp;$Q590)+(COUNTIF($P590:$S590,$Q590)-1)/2</f>
        <v>4</v>
      </c>
      <c r="Z590" s="0" t="n">
        <f aca="false">1+COUNTIF($P590:$S590,"&gt;"&amp;$R590)+(COUNTIF($P590:$S590,$R590)-1)/2</f>
        <v>3</v>
      </c>
      <c r="AA590" s="0" t="n">
        <f aca="false">1+COUNTIF($P590:$S590,"&gt;"&amp;$S590)+(COUNTIF($P590:$S590,$S590)-1)/2</f>
        <v>2</v>
      </c>
      <c r="AB590" s="0" t="n">
        <f aca="false">1+COUNTIF($T590:$W590,"&gt;"&amp;$T590)+(COUNTIF($T590:$W590,$T590)-1)/2</f>
        <v>3</v>
      </c>
      <c r="AC590" s="0" t="n">
        <f aca="false">1+COUNTIF($T590:$W590,"&gt;"&amp;$U590)+(COUNTIF($T590:$W590,$U590)-1)/2</f>
        <v>4</v>
      </c>
      <c r="AD590" s="0" t="n">
        <f aca="false">1+COUNTIF($T590:$W590,"&gt;"&amp;$V590)+(COUNTIF($T590:$W590,$V590)-1)/2</f>
        <v>1</v>
      </c>
      <c r="AE590" s="0" t="n">
        <f aca="false">1+COUNTIF($T590:$W590,"&gt;"&amp;$W590)+(COUNTIF($T590:$W590,$W590)-1)/2</f>
        <v>2</v>
      </c>
      <c r="AF590" s="0" t="n">
        <f aca="false">IFERROR(CORREL($P590:$S590,$T590:$W590),"")</f>
        <v>-0.115121201913663</v>
      </c>
      <c r="AG590" s="0" t="n">
        <f aca="false">IFERROR(CORREL($X590:$AA590,$AB590:$AE590),"")</f>
        <v>0.2</v>
      </c>
      <c r="AH590" s="0" t="n">
        <f aca="false">IFERROR((SIGN($P590-$Q590)*SIGN($T590-$U590)+SIGN($P590-$R590)*SIGN($T590-$V590)+SIGN($P590-$S590)*SIGN($T590-$W590)+SIGN($Q590-$R590)*SIGN($U590-$V590)+SIGN($Q590-$S590)*SIGN($U590-$W590)+SIGN($R590-$S590)*SIGN($V590-$W590))/SQRT((6-(($P590=$Q590)*1+($P590=$R590)*1+($P590=$S590)*1+($Q590=$R590)*1+($Q590=$S590)*1+($R590=$S590)*1))*(6-(($T590=$U590)*1+($T590=$V590)*1+($T590=$W590)*1+($U590=$V590)*1+($U590=$W590)*1+($V590=$W590)*1))),"")</f>
        <v>0</v>
      </c>
      <c r="AI590" s="0" t="n">
        <f aca="false">MATCH(MAX($K590:$O590),$K590:$O590,0)</f>
        <v>5</v>
      </c>
      <c r="AJ590" s="0" t="n">
        <f aca="false">IF(AI590&lt;&gt;$E590,1,0)</f>
        <v>0</v>
      </c>
      <c r="AK590" s="0" t="str">
        <f aca="false">IF(AJ590=1,INDEX($F590:$J590,AI590)/MAX($P590:$S590),"")</f>
        <v/>
      </c>
      <c r="AL590" s="0" t="str">
        <f aca="false">IF(AJ590=1,1+COUNTIF($P590:$S590,"&gt;"&amp;INDEX($F590:$J590,AI590)),"")</f>
        <v/>
      </c>
      <c r="AM590" s="0" t="n">
        <f aca="false">AVERAGE($P590:$S590)/MAX($P590:$S590)</f>
        <v>0.575688073394496</v>
      </c>
      <c r="AN590" s="0" t="n">
        <f aca="false">100-INDEX($F590:$J590,$E590)</f>
        <v>50.1</v>
      </c>
    </row>
    <row r="591" customFormat="false" ht="15" hidden="false" customHeight="false" outlineLevel="0" collapsed="false">
      <c r="A591" s="0" t="s">
        <v>61</v>
      </c>
      <c r="B591" s="0" t="n">
        <v>2022</v>
      </c>
      <c r="C591" s="0" t="s">
        <v>49</v>
      </c>
      <c r="D591" s="0" t="s">
        <v>44</v>
      </c>
      <c r="E591" s="0" t="n">
        <v>1</v>
      </c>
      <c r="F591" s="0" t="n">
        <v>43.7</v>
      </c>
      <c r="G591" s="0" t="n">
        <v>17.4</v>
      </c>
      <c r="H591" s="0" t="n">
        <v>11.5</v>
      </c>
      <c r="I591" s="0" t="n">
        <v>19.9</v>
      </c>
      <c r="J591" s="0" t="n">
        <v>7.4</v>
      </c>
      <c r="K591" s="0" t="n">
        <v>7.45516683606</v>
      </c>
      <c r="L591" s="0" t="n">
        <v>26.4765022473</v>
      </c>
      <c r="M591" s="0" t="n">
        <v>9.72393761981</v>
      </c>
      <c r="N591" s="0" t="n">
        <v>27.2888678797</v>
      </c>
      <c r="O591" s="0" t="n">
        <v>29.0555254171</v>
      </c>
      <c r="P591" s="0" t="n">
        <f aca="false">INDEX($F591:$J591,IF(1&lt;$E591,1,1+1))</f>
        <v>17.4</v>
      </c>
      <c r="Q591" s="0" t="n">
        <f aca="false">INDEX($F591:$J591,IF(2&lt;$E591,2,2+1))</f>
        <v>11.5</v>
      </c>
      <c r="R591" s="0" t="n">
        <f aca="false">INDEX($F591:$J591,IF(3&lt;$E591,3,3+1))</f>
        <v>19.9</v>
      </c>
      <c r="S591" s="0" t="n">
        <f aca="false">INDEX($F591:$J591,IF(4&lt;$E591,4,4+1))</f>
        <v>7.4</v>
      </c>
      <c r="T591" s="0" t="n">
        <f aca="false">INDEX($K591:$O591,IF(1&lt;$E591,1,1+1))</f>
        <v>26.4765022473</v>
      </c>
      <c r="U591" s="0" t="n">
        <f aca="false">INDEX($K591:$O591,IF(2&lt;$E591,2,2+1))</f>
        <v>9.72393761981</v>
      </c>
      <c r="V591" s="0" t="n">
        <f aca="false">INDEX($K591:$O591,IF(3&lt;$E591,3,3+1))</f>
        <v>27.2888678797</v>
      </c>
      <c r="W591" s="0" t="n">
        <f aca="false">INDEX($K591:$O591,IF(4&lt;$E591,4,4+1))</f>
        <v>29.0555254171</v>
      </c>
      <c r="X591" s="0" t="n">
        <f aca="false">1+COUNTIF($P591:$S591,"&gt;"&amp;$P591)+(COUNTIF($P591:$S591,$P591)-1)/2</f>
        <v>2</v>
      </c>
      <c r="Y591" s="0" t="n">
        <f aca="false">1+COUNTIF($P591:$S591,"&gt;"&amp;$Q591)+(COUNTIF($P591:$S591,$Q591)-1)/2</f>
        <v>3</v>
      </c>
      <c r="Z591" s="0" t="n">
        <f aca="false">1+COUNTIF($P591:$S591,"&gt;"&amp;$R591)+(COUNTIF($P591:$S591,$R591)-1)/2</f>
        <v>1</v>
      </c>
      <c r="AA591" s="0" t="n">
        <f aca="false">1+COUNTIF($P591:$S591,"&gt;"&amp;$S591)+(COUNTIF($P591:$S591,$S591)-1)/2</f>
        <v>4</v>
      </c>
      <c r="AB591" s="0" t="n">
        <f aca="false">1+COUNTIF($T591:$W591,"&gt;"&amp;$T591)+(COUNTIF($T591:$W591,$T591)-1)/2</f>
        <v>3</v>
      </c>
      <c r="AC591" s="0" t="n">
        <f aca="false">1+COUNTIF($T591:$W591,"&gt;"&amp;$U591)+(COUNTIF($T591:$W591,$U591)-1)/2</f>
        <v>4</v>
      </c>
      <c r="AD591" s="0" t="n">
        <f aca="false">1+COUNTIF($T591:$W591,"&gt;"&amp;$V591)+(COUNTIF($T591:$W591,$V591)-1)/2</f>
        <v>2</v>
      </c>
      <c r="AE591" s="0" t="n">
        <f aca="false">1+COUNTIF($T591:$W591,"&gt;"&amp;$W591)+(COUNTIF($T591:$W591,$W591)-1)/2</f>
        <v>1</v>
      </c>
      <c r="AF591" s="0" t="n">
        <f aca="false">IFERROR(CORREL($P591:$S591,$T591:$W591),"")</f>
        <v>0.198209545870509</v>
      </c>
      <c r="AG591" s="0" t="n">
        <f aca="false">IFERROR(CORREL($X591:$AA591,$AB591:$AE591),"")</f>
        <v>-0.2</v>
      </c>
      <c r="AH591" s="0" t="n">
        <f aca="false">IFERROR((SIGN($P591-$Q591)*SIGN($T591-$U591)+SIGN($P591-$R591)*SIGN($T591-$V591)+SIGN($P591-$S591)*SIGN($T591-$W591)+SIGN($Q591-$R591)*SIGN($U591-$V591)+SIGN($Q591-$S591)*SIGN($U591-$W591)+SIGN($R591-$S591)*SIGN($V591-$W591))/SQRT((6-(($P591=$Q591)*1+($P591=$R591)*1+($P591=$S591)*1+($Q591=$R591)*1+($Q591=$S591)*1+($R591=$S591)*1))*(6-(($T591=$U591)*1+($T591=$V591)*1+($T591=$W591)*1+($U591=$V591)*1+($U591=$W591)*1+($V591=$W591)*1))),"")</f>
        <v>0</v>
      </c>
      <c r="AI591" s="0" t="n">
        <f aca="false">MATCH(MAX($K591:$O591),$K591:$O591,0)</f>
        <v>5</v>
      </c>
      <c r="AJ591" s="0" t="n">
        <f aca="false">IF(AI591&lt;&gt;$E591,1,0)</f>
        <v>1</v>
      </c>
      <c r="AK591" s="0" t="n">
        <f aca="false">IF(AJ591=1,INDEX($F591:$J591,AI591)/MAX($P591:$S591),"")</f>
        <v>0.371859296482412</v>
      </c>
      <c r="AL591" s="0" t="n">
        <f aca="false">IF(AJ591=1,1+COUNTIF($P591:$S591,"&gt;"&amp;INDEX($F591:$J591,AI591)),"")</f>
        <v>4</v>
      </c>
      <c r="AM591" s="0" t="n">
        <f aca="false">AVERAGE($P591:$S591)/MAX($P591:$S591)</f>
        <v>0.706030150753769</v>
      </c>
      <c r="AN591" s="0" t="n">
        <f aca="false">100-INDEX($F591:$J591,$E591)</f>
        <v>56.3</v>
      </c>
    </row>
    <row r="592" customFormat="false" ht="15" hidden="false" customHeight="false" outlineLevel="0" collapsed="false">
      <c r="A592" s="0" t="s">
        <v>61</v>
      </c>
      <c r="B592" s="0" t="n">
        <v>2022</v>
      </c>
      <c r="C592" s="0" t="s">
        <v>49</v>
      </c>
      <c r="D592" s="0" t="s">
        <v>45</v>
      </c>
      <c r="E592" s="0" t="n">
        <v>5</v>
      </c>
      <c r="F592" s="0" t="n">
        <v>8.8</v>
      </c>
      <c r="G592" s="0" t="n">
        <v>15.8</v>
      </c>
      <c r="H592" s="0" t="n">
        <v>10.7</v>
      </c>
      <c r="I592" s="0" t="n">
        <v>18.1</v>
      </c>
      <c r="J592" s="0" t="n">
        <v>46.5</v>
      </c>
      <c r="K592" s="0" t="n">
        <v>15.5438013054</v>
      </c>
      <c r="L592" s="0" t="n">
        <v>5.92193009011</v>
      </c>
      <c r="M592" s="0" t="n">
        <v>1.57556301807</v>
      </c>
      <c r="N592" s="0" t="n">
        <v>16.7137952129</v>
      </c>
      <c r="O592" s="0" t="n">
        <v>60.2449103736</v>
      </c>
      <c r="P592" s="0" t="n">
        <f aca="false">INDEX($F592:$J592,IF(1&lt;$E592,1,1+1))</f>
        <v>8.8</v>
      </c>
      <c r="Q592" s="0" t="n">
        <f aca="false">INDEX($F592:$J592,IF(2&lt;$E592,2,2+1))</f>
        <v>15.8</v>
      </c>
      <c r="R592" s="0" t="n">
        <f aca="false">INDEX($F592:$J592,IF(3&lt;$E592,3,3+1))</f>
        <v>10.7</v>
      </c>
      <c r="S592" s="0" t="n">
        <f aca="false">INDEX($F592:$J592,IF(4&lt;$E592,4,4+1))</f>
        <v>18.1</v>
      </c>
      <c r="T592" s="0" t="n">
        <f aca="false">INDEX($K592:$O592,IF(1&lt;$E592,1,1+1))</f>
        <v>15.5438013054</v>
      </c>
      <c r="U592" s="0" t="n">
        <f aca="false">INDEX($K592:$O592,IF(2&lt;$E592,2,2+1))</f>
        <v>5.92193009011</v>
      </c>
      <c r="V592" s="0" t="n">
        <f aca="false">INDEX($K592:$O592,IF(3&lt;$E592,3,3+1))</f>
        <v>1.57556301807</v>
      </c>
      <c r="W592" s="0" t="n">
        <f aca="false">INDEX($K592:$O592,IF(4&lt;$E592,4,4+1))</f>
        <v>16.7137952129</v>
      </c>
      <c r="X592" s="0" t="n">
        <f aca="false">1+COUNTIF($P592:$S592,"&gt;"&amp;$P592)+(COUNTIF($P592:$S592,$P592)-1)/2</f>
        <v>4</v>
      </c>
      <c r="Y592" s="0" t="n">
        <f aca="false">1+COUNTIF($P592:$S592,"&gt;"&amp;$Q592)+(COUNTIF($P592:$S592,$Q592)-1)/2</f>
        <v>2</v>
      </c>
      <c r="Z592" s="0" t="n">
        <f aca="false">1+COUNTIF($P592:$S592,"&gt;"&amp;$R592)+(COUNTIF($P592:$S592,$R592)-1)/2</f>
        <v>3</v>
      </c>
      <c r="AA592" s="0" t="n">
        <f aca="false">1+COUNTIF($P592:$S592,"&gt;"&amp;$S592)+(COUNTIF($P592:$S592,$S592)-1)/2</f>
        <v>1</v>
      </c>
      <c r="AB592" s="0" t="n">
        <f aca="false">1+COUNTIF($T592:$W592,"&gt;"&amp;$T592)+(COUNTIF($T592:$W592,$T592)-1)/2</f>
        <v>2</v>
      </c>
      <c r="AC592" s="0" t="n">
        <f aca="false">1+COUNTIF($T592:$W592,"&gt;"&amp;$U592)+(COUNTIF($T592:$W592,$U592)-1)/2</f>
        <v>3</v>
      </c>
      <c r="AD592" s="0" t="n">
        <f aca="false">1+COUNTIF($T592:$W592,"&gt;"&amp;$V592)+(COUNTIF($T592:$W592,$V592)-1)/2</f>
        <v>4</v>
      </c>
      <c r="AE592" s="0" t="n">
        <f aca="false">1+COUNTIF($T592:$W592,"&gt;"&amp;$W592)+(COUNTIF($T592:$W592,$W592)-1)/2</f>
        <v>1</v>
      </c>
      <c r="AF592" s="0" t="n">
        <f aca="false">IFERROR(CORREL($P592:$S592,$T592:$W592),"")</f>
        <v>0.198112274606663</v>
      </c>
      <c r="AG592" s="0" t="n">
        <f aca="false">IFERROR(CORREL($X592:$AA592,$AB592:$AE592),"")</f>
        <v>0.4</v>
      </c>
      <c r="AH592" s="0" t="n">
        <f aca="false">IFERROR((SIGN($P592-$Q592)*SIGN($T592-$U592)+SIGN($P592-$R592)*SIGN($T592-$V592)+SIGN($P592-$S592)*SIGN($T592-$W592)+SIGN($Q592-$R592)*SIGN($U592-$V592)+SIGN($Q592-$S592)*SIGN($U592-$W592)+SIGN($R592-$S592)*SIGN($V592-$W592))/SQRT((6-(($P592=$Q592)*1+($P592=$R592)*1+($P592=$S592)*1+($Q592=$R592)*1+($Q592=$S592)*1+($R592=$S592)*1))*(6-(($T592=$U592)*1+($T592=$V592)*1+($T592=$W592)*1+($U592=$V592)*1+($U592=$W592)*1+($V592=$W592)*1))),"")</f>
        <v>0.333333333333333</v>
      </c>
      <c r="AI592" s="0" t="n">
        <f aca="false">MATCH(MAX($K592:$O592),$K592:$O592,0)</f>
        <v>5</v>
      </c>
      <c r="AJ592" s="0" t="n">
        <f aca="false">IF(AI592&lt;&gt;$E592,1,0)</f>
        <v>0</v>
      </c>
      <c r="AK592" s="0" t="str">
        <f aca="false">IF(AJ592=1,INDEX($F592:$J592,AI592)/MAX($P592:$S592),"")</f>
        <v/>
      </c>
      <c r="AL592" s="0" t="str">
        <f aca="false">IF(AJ592=1,1+COUNTIF($P592:$S592,"&gt;"&amp;INDEX($F592:$J592,AI592)),"")</f>
        <v/>
      </c>
      <c r="AM592" s="0" t="n">
        <f aca="false">AVERAGE($P592:$S592)/MAX($P592:$S592)</f>
        <v>0.737569060773481</v>
      </c>
      <c r="AN592" s="0" t="n">
        <f aca="false">100-INDEX($F592:$J592,$E592)</f>
        <v>53.5</v>
      </c>
    </row>
    <row r="593" customFormat="false" ht="15" hidden="false" customHeight="false" outlineLevel="0" collapsed="false">
      <c r="A593" s="0" t="s">
        <v>61</v>
      </c>
      <c r="B593" s="0" t="n">
        <v>2022</v>
      </c>
      <c r="C593" s="0" t="s">
        <v>51</v>
      </c>
      <c r="D593" s="0" t="s">
        <v>42</v>
      </c>
      <c r="E593" s="0" t="n">
        <v>1</v>
      </c>
      <c r="F593" s="0" t="n">
        <v>44.7</v>
      </c>
      <c r="G593" s="0" t="n">
        <v>19.2</v>
      </c>
      <c r="H593" s="0" t="n">
        <v>13.7</v>
      </c>
      <c r="I593" s="0" t="n">
        <v>14.9</v>
      </c>
      <c r="J593" s="0" t="n">
        <v>7.4</v>
      </c>
      <c r="K593" s="0" t="n">
        <v>98.5161415584</v>
      </c>
      <c r="L593" s="0" t="n">
        <v>0.112960338327</v>
      </c>
      <c r="M593" s="0" t="n">
        <v>0.000945253050069</v>
      </c>
      <c r="N593" s="0" t="n">
        <v>1.34144529321</v>
      </c>
      <c r="O593" s="0" t="n">
        <v>0.0285075569817</v>
      </c>
      <c r="P593" s="0" t="n">
        <f aca="false">INDEX($F593:$J593,IF(1&lt;$E593,1,1+1))</f>
        <v>19.2</v>
      </c>
      <c r="Q593" s="0" t="n">
        <f aca="false">INDEX($F593:$J593,IF(2&lt;$E593,2,2+1))</f>
        <v>13.7</v>
      </c>
      <c r="R593" s="0" t="n">
        <f aca="false">INDEX($F593:$J593,IF(3&lt;$E593,3,3+1))</f>
        <v>14.9</v>
      </c>
      <c r="S593" s="0" t="n">
        <f aca="false">INDEX($F593:$J593,IF(4&lt;$E593,4,4+1))</f>
        <v>7.4</v>
      </c>
      <c r="T593" s="0" t="n">
        <f aca="false">INDEX($K593:$O593,IF(1&lt;$E593,1,1+1))</f>
        <v>0.112960338327</v>
      </c>
      <c r="U593" s="0" t="n">
        <f aca="false">INDEX($K593:$O593,IF(2&lt;$E593,2,2+1))</f>
        <v>0.000945253050069</v>
      </c>
      <c r="V593" s="0" t="n">
        <f aca="false">INDEX($K593:$O593,IF(3&lt;$E593,3,3+1))</f>
        <v>1.34144529321</v>
      </c>
      <c r="W593" s="0" t="n">
        <f aca="false">INDEX($K593:$O593,IF(4&lt;$E593,4,4+1))</f>
        <v>0.0285075569817</v>
      </c>
      <c r="X593" s="0" t="n">
        <f aca="false">1+COUNTIF($P593:$S593,"&gt;"&amp;$P593)+(COUNTIF($P593:$S593,$P593)-1)/2</f>
        <v>1</v>
      </c>
      <c r="Y593" s="0" t="n">
        <f aca="false">1+COUNTIF($P593:$S593,"&gt;"&amp;$Q593)+(COUNTIF($P593:$S593,$Q593)-1)/2</f>
        <v>3</v>
      </c>
      <c r="Z593" s="0" t="n">
        <f aca="false">1+COUNTIF($P593:$S593,"&gt;"&amp;$R593)+(COUNTIF($P593:$S593,$R593)-1)/2</f>
        <v>2</v>
      </c>
      <c r="AA593" s="0" t="n">
        <f aca="false">1+COUNTIF($P593:$S593,"&gt;"&amp;$S593)+(COUNTIF($P593:$S593,$S593)-1)/2</f>
        <v>4</v>
      </c>
      <c r="AB593" s="0" t="n">
        <f aca="false">1+COUNTIF($T593:$W593,"&gt;"&amp;$T593)+(COUNTIF($T593:$W593,$T593)-1)/2</f>
        <v>2</v>
      </c>
      <c r="AC593" s="0" t="n">
        <f aca="false">1+COUNTIF($T593:$W593,"&gt;"&amp;$U593)+(COUNTIF($T593:$W593,$U593)-1)/2</f>
        <v>4</v>
      </c>
      <c r="AD593" s="0" t="n">
        <f aca="false">1+COUNTIF($T593:$W593,"&gt;"&amp;$V593)+(COUNTIF($T593:$W593,$V593)-1)/2</f>
        <v>1</v>
      </c>
      <c r="AE593" s="0" t="n">
        <f aca="false">1+COUNTIF($T593:$W593,"&gt;"&amp;$W593)+(COUNTIF($T593:$W593,$W593)-1)/2</f>
        <v>3</v>
      </c>
      <c r="AF593" s="0" t="n">
        <f aca="false">IFERROR(CORREL($P593:$S593,$T593:$W593),"")</f>
        <v>0.200515762897066</v>
      </c>
      <c r="AG593" s="0" t="n">
        <f aca="false">IFERROR(CORREL($X593:$AA593,$AB593:$AE593),"")</f>
        <v>0.6</v>
      </c>
      <c r="AH593" s="0" t="n">
        <f aca="false">IFERROR((SIGN($P593-$Q593)*SIGN($T593-$U593)+SIGN($P593-$R593)*SIGN($T593-$V593)+SIGN($P593-$S593)*SIGN($T593-$W593)+SIGN($Q593-$R593)*SIGN($U593-$V593)+SIGN($Q593-$S593)*SIGN($U593-$W593)+SIGN($R593-$S593)*SIGN($V593-$W593))/SQRT((6-(($P593=$Q593)*1+($P593=$R593)*1+($P593=$S593)*1+($Q593=$R593)*1+($Q593=$S593)*1+($R593=$S593)*1))*(6-(($T593=$U593)*1+($T593=$V593)*1+($T593=$W593)*1+($U593=$V593)*1+($U593=$W593)*1+($V593=$W593)*1))),"")</f>
        <v>0.333333333333333</v>
      </c>
      <c r="AI593" s="0" t="n">
        <f aca="false">MATCH(MAX($K593:$O593),$K593:$O593,0)</f>
        <v>1</v>
      </c>
      <c r="AJ593" s="0" t="n">
        <f aca="false">IF(AI593&lt;&gt;$E593,1,0)</f>
        <v>0</v>
      </c>
      <c r="AK593" s="0" t="str">
        <f aca="false">IF(AJ593=1,INDEX($F593:$J593,AI593)/MAX($P593:$S593),"")</f>
        <v/>
      </c>
      <c r="AL593" s="0" t="str">
        <f aca="false">IF(AJ593=1,1+COUNTIF($P593:$S593,"&gt;"&amp;INDEX($F593:$J593,AI593)),"")</f>
        <v/>
      </c>
      <c r="AM593" s="0" t="n">
        <f aca="false">AVERAGE($P593:$S593)/MAX($P593:$S593)</f>
        <v>0.71875</v>
      </c>
      <c r="AN593" s="0" t="n">
        <f aca="false">100-INDEX($F593:$J593,$E593)</f>
        <v>55.3</v>
      </c>
    </row>
    <row r="594" customFormat="false" ht="15" hidden="false" customHeight="false" outlineLevel="0" collapsed="false">
      <c r="A594" s="0" t="s">
        <v>61</v>
      </c>
      <c r="B594" s="0" t="n">
        <v>2022</v>
      </c>
      <c r="C594" s="0" t="s">
        <v>51</v>
      </c>
      <c r="D594" s="0" t="s">
        <v>43</v>
      </c>
      <c r="E594" s="0" t="n">
        <v>2</v>
      </c>
      <c r="F594" s="0" t="n">
        <v>17</v>
      </c>
      <c r="G594" s="0" t="n">
        <v>52.7</v>
      </c>
      <c r="H594" s="0" t="n">
        <v>5.3</v>
      </c>
      <c r="I594" s="0" t="n">
        <v>19.5</v>
      </c>
      <c r="J594" s="0" t="n">
        <v>5.6</v>
      </c>
      <c r="K594" s="0" t="n">
        <v>11.2935616973</v>
      </c>
      <c r="L594" s="0" t="n">
        <v>52.8096121766</v>
      </c>
      <c r="M594" s="0" t="n">
        <v>11.3681740393</v>
      </c>
      <c r="N594" s="0" t="n">
        <v>22.0640945852</v>
      </c>
      <c r="O594" s="0" t="n">
        <v>2.46455750153</v>
      </c>
      <c r="P594" s="0" t="n">
        <f aca="false">INDEX($F594:$J594,IF(1&lt;$E594,1,1+1))</f>
        <v>17</v>
      </c>
      <c r="Q594" s="0" t="n">
        <f aca="false">INDEX($F594:$J594,IF(2&lt;$E594,2,2+1))</f>
        <v>5.3</v>
      </c>
      <c r="R594" s="0" t="n">
        <f aca="false">INDEX($F594:$J594,IF(3&lt;$E594,3,3+1))</f>
        <v>19.5</v>
      </c>
      <c r="S594" s="0" t="n">
        <f aca="false">INDEX($F594:$J594,IF(4&lt;$E594,4,4+1))</f>
        <v>5.6</v>
      </c>
      <c r="T594" s="0" t="n">
        <f aca="false">INDEX($K594:$O594,IF(1&lt;$E594,1,1+1))</f>
        <v>11.2935616973</v>
      </c>
      <c r="U594" s="0" t="n">
        <f aca="false">INDEX($K594:$O594,IF(2&lt;$E594,2,2+1))</f>
        <v>11.3681740393</v>
      </c>
      <c r="V594" s="0" t="n">
        <f aca="false">INDEX($K594:$O594,IF(3&lt;$E594,3,3+1))</f>
        <v>22.0640945852</v>
      </c>
      <c r="W594" s="0" t="n">
        <f aca="false">INDEX($K594:$O594,IF(4&lt;$E594,4,4+1))</f>
        <v>2.46455750153</v>
      </c>
      <c r="X594" s="0" t="n">
        <f aca="false">1+COUNTIF($P594:$S594,"&gt;"&amp;$P594)+(COUNTIF($P594:$S594,$P594)-1)/2</f>
        <v>2</v>
      </c>
      <c r="Y594" s="0" t="n">
        <f aca="false">1+COUNTIF($P594:$S594,"&gt;"&amp;$Q594)+(COUNTIF($P594:$S594,$Q594)-1)/2</f>
        <v>4</v>
      </c>
      <c r="Z594" s="0" t="n">
        <f aca="false">1+COUNTIF($P594:$S594,"&gt;"&amp;$R594)+(COUNTIF($P594:$S594,$R594)-1)/2</f>
        <v>1</v>
      </c>
      <c r="AA594" s="0" t="n">
        <f aca="false">1+COUNTIF($P594:$S594,"&gt;"&amp;$S594)+(COUNTIF($P594:$S594,$S594)-1)/2</f>
        <v>3</v>
      </c>
      <c r="AB594" s="0" t="n">
        <f aca="false">1+COUNTIF($T594:$W594,"&gt;"&amp;$T594)+(COUNTIF($T594:$W594,$T594)-1)/2</f>
        <v>3</v>
      </c>
      <c r="AC594" s="0" t="n">
        <f aca="false">1+COUNTIF($T594:$W594,"&gt;"&amp;$U594)+(COUNTIF($T594:$W594,$U594)-1)/2</f>
        <v>2</v>
      </c>
      <c r="AD594" s="0" t="n">
        <f aca="false">1+COUNTIF($T594:$W594,"&gt;"&amp;$V594)+(COUNTIF($T594:$W594,$V594)-1)/2</f>
        <v>1</v>
      </c>
      <c r="AE594" s="0" t="n">
        <f aca="false">1+COUNTIF($T594:$W594,"&gt;"&amp;$W594)+(COUNTIF($T594:$W594,$W594)-1)/2</f>
        <v>4</v>
      </c>
      <c r="AF594" s="0" t="n">
        <f aca="false">IFERROR(CORREL($P594:$S594,$T594:$W594),"")</f>
        <v>0.763675149201257</v>
      </c>
      <c r="AG594" s="0" t="n">
        <f aca="false">IFERROR(CORREL($X594:$AA594,$AB594:$AE594),"")</f>
        <v>0.4</v>
      </c>
      <c r="AH594" s="0" t="n">
        <f aca="false">IFERROR((SIGN($P594-$Q594)*SIGN($T594-$U594)+SIGN($P594-$R594)*SIGN($T594-$V594)+SIGN($P594-$S594)*SIGN($T594-$W594)+SIGN($Q594-$R594)*SIGN($U594-$V594)+SIGN($Q594-$S594)*SIGN($U594-$W594)+SIGN($R594-$S594)*SIGN($V594-$W594))/SQRT((6-(($P594=$Q594)*1+($P594=$R594)*1+($P594=$S594)*1+($Q594=$R594)*1+($Q594=$S594)*1+($R594=$S594)*1))*(6-(($T594=$U594)*1+($T594=$V594)*1+($T594=$W594)*1+($U594=$V594)*1+($U594=$W594)*1+($V594=$W594)*1))),"")</f>
        <v>0.333333333333333</v>
      </c>
      <c r="AI594" s="0" t="n">
        <f aca="false">MATCH(MAX($K594:$O594),$K594:$O594,0)</f>
        <v>2</v>
      </c>
      <c r="AJ594" s="0" t="n">
        <f aca="false">IF(AI594&lt;&gt;$E594,1,0)</f>
        <v>0</v>
      </c>
      <c r="AK594" s="0" t="str">
        <f aca="false">IF(AJ594=1,INDEX($F594:$J594,AI594)/MAX($P594:$S594),"")</f>
        <v/>
      </c>
      <c r="AL594" s="0" t="str">
        <f aca="false">IF(AJ594=1,1+COUNTIF($P594:$S594,"&gt;"&amp;INDEX($F594:$J594,AI594)),"")</f>
        <v/>
      </c>
      <c r="AM594" s="0" t="n">
        <f aca="false">AVERAGE($P594:$S594)/MAX($P594:$S594)</f>
        <v>0.607692307692308</v>
      </c>
      <c r="AN594" s="0" t="n">
        <f aca="false">100-INDEX($F594:$J594,$E594)</f>
        <v>47.3</v>
      </c>
    </row>
    <row r="595" customFormat="false" ht="15" hidden="false" customHeight="false" outlineLevel="0" collapsed="false">
      <c r="A595" s="0" t="s">
        <v>61</v>
      </c>
      <c r="B595" s="0" t="n">
        <v>2022</v>
      </c>
      <c r="C595" s="0" t="s">
        <v>51</v>
      </c>
      <c r="D595" s="0" t="s">
        <v>44</v>
      </c>
      <c r="E595" s="0" t="n">
        <v>3</v>
      </c>
      <c r="F595" s="0" t="n">
        <v>14.2</v>
      </c>
      <c r="G595" s="0" t="n">
        <v>10.1</v>
      </c>
      <c r="H595" s="0" t="n">
        <v>40.9</v>
      </c>
      <c r="I595" s="0" t="n">
        <v>27.9</v>
      </c>
      <c r="J595" s="0" t="n">
        <v>7</v>
      </c>
      <c r="K595" s="0" t="n">
        <v>5.41204200949</v>
      </c>
      <c r="L595" s="0" t="n">
        <v>1.77925468884</v>
      </c>
      <c r="M595" s="0" t="n">
        <v>75.1537421798</v>
      </c>
      <c r="N595" s="0" t="n">
        <v>10.9896462152</v>
      </c>
      <c r="O595" s="0" t="n">
        <v>6.66531490664</v>
      </c>
      <c r="P595" s="0" t="n">
        <f aca="false">INDEX($F595:$J595,IF(1&lt;$E595,1,1+1))</f>
        <v>14.2</v>
      </c>
      <c r="Q595" s="0" t="n">
        <f aca="false">INDEX($F595:$J595,IF(2&lt;$E595,2,2+1))</f>
        <v>10.1</v>
      </c>
      <c r="R595" s="0" t="n">
        <f aca="false">INDEX($F595:$J595,IF(3&lt;$E595,3,3+1))</f>
        <v>27.9</v>
      </c>
      <c r="S595" s="0" t="n">
        <f aca="false">INDEX($F595:$J595,IF(4&lt;$E595,4,4+1))</f>
        <v>7</v>
      </c>
      <c r="T595" s="0" t="n">
        <f aca="false">INDEX($K595:$O595,IF(1&lt;$E595,1,1+1))</f>
        <v>5.41204200949</v>
      </c>
      <c r="U595" s="0" t="n">
        <f aca="false">INDEX($K595:$O595,IF(2&lt;$E595,2,2+1))</f>
        <v>1.77925468884</v>
      </c>
      <c r="V595" s="0" t="n">
        <f aca="false">INDEX($K595:$O595,IF(3&lt;$E595,3,3+1))</f>
        <v>10.9896462152</v>
      </c>
      <c r="W595" s="0" t="n">
        <f aca="false">INDEX($K595:$O595,IF(4&lt;$E595,4,4+1))</f>
        <v>6.66531490664</v>
      </c>
      <c r="X595" s="0" t="n">
        <f aca="false">1+COUNTIF($P595:$S595,"&gt;"&amp;$P595)+(COUNTIF($P595:$S595,$P595)-1)/2</f>
        <v>2</v>
      </c>
      <c r="Y595" s="0" t="n">
        <f aca="false">1+COUNTIF($P595:$S595,"&gt;"&amp;$Q595)+(COUNTIF($P595:$S595,$Q595)-1)/2</f>
        <v>3</v>
      </c>
      <c r="Z595" s="0" t="n">
        <f aca="false">1+COUNTIF($P595:$S595,"&gt;"&amp;$R595)+(COUNTIF($P595:$S595,$R595)-1)/2</f>
        <v>1</v>
      </c>
      <c r="AA595" s="0" t="n">
        <f aca="false">1+COUNTIF($P595:$S595,"&gt;"&amp;$S595)+(COUNTIF($P595:$S595,$S595)-1)/2</f>
        <v>4</v>
      </c>
      <c r="AB595" s="0" t="n">
        <f aca="false">1+COUNTIF($T595:$W595,"&gt;"&amp;$T595)+(COUNTIF($T595:$W595,$T595)-1)/2</f>
        <v>3</v>
      </c>
      <c r="AC595" s="0" t="n">
        <f aca="false">1+COUNTIF($T595:$W595,"&gt;"&amp;$U595)+(COUNTIF($T595:$W595,$U595)-1)/2</f>
        <v>4</v>
      </c>
      <c r="AD595" s="0" t="n">
        <f aca="false">1+COUNTIF($T595:$W595,"&gt;"&amp;$V595)+(COUNTIF($T595:$W595,$V595)-1)/2</f>
        <v>1</v>
      </c>
      <c r="AE595" s="0" t="n">
        <f aca="false">1+COUNTIF($T595:$W595,"&gt;"&amp;$W595)+(COUNTIF($T595:$W595,$W595)-1)/2</f>
        <v>2</v>
      </c>
      <c r="AF595" s="0" t="n">
        <f aca="false">IFERROR(CORREL($P595:$S595,$T595:$W595),"")</f>
        <v>0.764779091928311</v>
      </c>
      <c r="AG595" s="0" t="n">
        <f aca="false">IFERROR(CORREL($X595:$AA595,$AB595:$AE595),"")</f>
        <v>0.4</v>
      </c>
      <c r="AH595" s="0" t="n">
        <f aca="false">IFERROR((SIGN($P595-$Q595)*SIGN($T595-$U595)+SIGN($P595-$R595)*SIGN($T595-$V595)+SIGN($P595-$S595)*SIGN($T595-$W595)+SIGN($Q595-$R595)*SIGN($U595-$V595)+SIGN($Q595-$S595)*SIGN($U595-$W595)+SIGN($R595-$S595)*SIGN($V595-$W595))/SQRT((6-(($P595=$Q595)*1+($P595=$R595)*1+($P595=$S595)*1+($Q595=$R595)*1+($Q595=$S595)*1+($R595=$S595)*1))*(6-(($T595=$U595)*1+($T595=$V595)*1+($T595=$W595)*1+($U595=$V595)*1+($U595=$W595)*1+($V595=$W595)*1))),"")</f>
        <v>0.333333333333333</v>
      </c>
      <c r="AI595" s="0" t="n">
        <f aca="false">MATCH(MAX($K595:$O595),$K595:$O595,0)</f>
        <v>3</v>
      </c>
      <c r="AJ595" s="0" t="n">
        <f aca="false">IF(AI595&lt;&gt;$E595,1,0)</f>
        <v>0</v>
      </c>
      <c r="AK595" s="0" t="str">
        <f aca="false">IF(AJ595=1,INDEX($F595:$J595,AI595)/MAX($P595:$S595),"")</f>
        <v/>
      </c>
      <c r="AL595" s="0" t="str">
        <f aca="false">IF(AJ595=1,1+COUNTIF($P595:$S595,"&gt;"&amp;INDEX($F595:$J595,AI595)),"")</f>
        <v/>
      </c>
      <c r="AM595" s="0" t="n">
        <f aca="false">AVERAGE($P595:$S595)/MAX($P595:$S595)</f>
        <v>0.530465949820789</v>
      </c>
      <c r="AN595" s="0" t="n">
        <f aca="false">100-INDEX($F595:$J595,$E595)</f>
        <v>59.1</v>
      </c>
    </row>
    <row r="596" customFormat="false" ht="15" hidden="false" customHeight="false" outlineLevel="0" collapsed="false">
      <c r="A596" s="0" t="s">
        <v>61</v>
      </c>
      <c r="B596" s="0" t="n">
        <v>2022</v>
      </c>
      <c r="C596" s="0" t="s">
        <v>51</v>
      </c>
      <c r="D596" s="0" t="s">
        <v>45</v>
      </c>
      <c r="E596" s="0" t="n">
        <v>2</v>
      </c>
      <c r="F596" s="0" t="n">
        <v>13.6</v>
      </c>
      <c r="G596" s="0" t="n">
        <v>42.2</v>
      </c>
      <c r="H596" s="0" t="n">
        <v>12.4</v>
      </c>
      <c r="I596" s="0" t="n">
        <v>12.4</v>
      </c>
      <c r="J596" s="0" t="n">
        <v>19.4</v>
      </c>
      <c r="K596" s="0" t="n">
        <v>16.6099950933</v>
      </c>
      <c r="L596" s="0" t="n">
        <v>14.2775817696</v>
      </c>
      <c r="M596" s="0" t="n">
        <v>3.93613510777</v>
      </c>
      <c r="N596" s="0" t="n">
        <v>17.1624039598</v>
      </c>
      <c r="O596" s="0" t="n">
        <v>48.0138840695</v>
      </c>
      <c r="P596" s="0" t="n">
        <f aca="false">INDEX($F596:$J596,IF(1&lt;$E596,1,1+1))</f>
        <v>13.6</v>
      </c>
      <c r="Q596" s="0" t="n">
        <f aca="false">INDEX($F596:$J596,IF(2&lt;$E596,2,2+1))</f>
        <v>12.4</v>
      </c>
      <c r="R596" s="0" t="n">
        <f aca="false">INDEX($F596:$J596,IF(3&lt;$E596,3,3+1))</f>
        <v>12.4</v>
      </c>
      <c r="S596" s="0" t="n">
        <f aca="false">INDEX($F596:$J596,IF(4&lt;$E596,4,4+1))</f>
        <v>19.4</v>
      </c>
      <c r="T596" s="0" t="n">
        <f aca="false">INDEX($K596:$O596,IF(1&lt;$E596,1,1+1))</f>
        <v>16.6099950933</v>
      </c>
      <c r="U596" s="0" t="n">
        <f aca="false">INDEX($K596:$O596,IF(2&lt;$E596,2,2+1))</f>
        <v>3.93613510777</v>
      </c>
      <c r="V596" s="0" t="n">
        <f aca="false">INDEX($K596:$O596,IF(3&lt;$E596,3,3+1))</f>
        <v>17.1624039598</v>
      </c>
      <c r="W596" s="0" t="n">
        <f aca="false">INDEX($K596:$O596,IF(4&lt;$E596,4,4+1))</f>
        <v>48.0138840695</v>
      </c>
      <c r="X596" s="0" t="n">
        <f aca="false">1+COUNTIF($P596:$S596,"&gt;"&amp;$P596)+(COUNTIF($P596:$S596,$P596)-1)/2</f>
        <v>2</v>
      </c>
      <c r="Y596" s="0" t="n">
        <f aca="false">1+COUNTIF($P596:$S596,"&gt;"&amp;$Q596)+(COUNTIF($P596:$S596,$Q596)-1)/2</f>
        <v>3.5</v>
      </c>
      <c r="Z596" s="0" t="n">
        <f aca="false">1+COUNTIF($P596:$S596,"&gt;"&amp;$R596)+(COUNTIF($P596:$S596,$R596)-1)/2</f>
        <v>3.5</v>
      </c>
      <c r="AA596" s="0" t="n">
        <f aca="false">1+COUNTIF($P596:$S596,"&gt;"&amp;$S596)+(COUNTIF($P596:$S596,$S596)-1)/2</f>
        <v>1</v>
      </c>
      <c r="AB596" s="0" t="n">
        <f aca="false">1+COUNTIF($T596:$W596,"&gt;"&amp;$T596)+(COUNTIF($T596:$W596,$T596)-1)/2</f>
        <v>3</v>
      </c>
      <c r="AC596" s="0" t="n">
        <f aca="false">1+COUNTIF($T596:$W596,"&gt;"&amp;$U596)+(COUNTIF($T596:$W596,$U596)-1)/2</f>
        <v>4</v>
      </c>
      <c r="AD596" s="0" t="n">
        <f aca="false">1+COUNTIF($T596:$W596,"&gt;"&amp;$V596)+(COUNTIF($T596:$W596,$V596)-1)/2</f>
        <v>2</v>
      </c>
      <c r="AE596" s="0" t="n">
        <f aca="false">1+COUNTIF($T596:$W596,"&gt;"&amp;$W596)+(COUNTIF($T596:$W596,$W596)-1)/2</f>
        <v>1</v>
      </c>
      <c r="AF596" s="0" t="n">
        <f aca="false">IFERROR(CORREL($P596:$S596,$T596:$W596),"")</f>
        <v>0.957568848398482</v>
      </c>
      <c r="AG596" s="0" t="n">
        <f aca="false">IFERROR(CORREL($X596:$AA596,$AB596:$AE596),"")</f>
        <v>0.632455532033676</v>
      </c>
      <c r="AH596" s="0" t="n">
        <f aca="false">IFERROR((SIGN($P596-$Q596)*SIGN($T596-$U596)+SIGN($P596-$R596)*SIGN($T596-$V596)+SIGN($P596-$S596)*SIGN($T596-$W596)+SIGN($Q596-$R596)*SIGN($U596-$V596)+SIGN($Q596-$S596)*SIGN($U596-$W596)+SIGN($R596-$S596)*SIGN($V596-$W596))/SQRT((6-(($P596=$Q596)*1+($P596=$R596)*1+($P596=$S596)*1+($Q596=$R596)*1+($Q596=$S596)*1+($R596=$S596)*1))*(6-(($T596=$U596)*1+($T596=$V596)*1+($T596=$W596)*1+($U596=$V596)*1+($U596=$W596)*1+($V596=$W596)*1))),"")</f>
        <v>0.547722557505166</v>
      </c>
      <c r="AI596" s="0" t="n">
        <f aca="false">MATCH(MAX($K596:$O596),$K596:$O596,0)</f>
        <v>5</v>
      </c>
      <c r="AJ596" s="0" t="n">
        <f aca="false">IF(AI596&lt;&gt;$E596,1,0)</f>
        <v>1</v>
      </c>
      <c r="AK596" s="0" t="n">
        <f aca="false">IF(AJ596=1,INDEX($F596:$J596,AI596)/MAX($P596:$S596),"")</f>
        <v>1</v>
      </c>
      <c r="AL596" s="0" t="n">
        <f aca="false">IF(AJ596=1,1+COUNTIF($P596:$S596,"&gt;"&amp;INDEX($F596:$J596,AI596)),"")</f>
        <v>1</v>
      </c>
      <c r="AM596" s="0" t="n">
        <f aca="false">AVERAGE($P596:$S596)/MAX($P596:$S596)</f>
        <v>0.744845360824742</v>
      </c>
      <c r="AN596" s="0" t="n">
        <f aca="false">100-INDEX($F596:$J596,$E596)</f>
        <v>57.8</v>
      </c>
    </row>
    <row r="597" customFormat="false" ht="15" hidden="false" customHeight="false" outlineLevel="0" collapsed="false">
      <c r="A597" s="0" t="s">
        <v>61</v>
      </c>
      <c r="B597" s="0" t="n">
        <v>2022</v>
      </c>
      <c r="C597" s="0" t="s">
        <v>46</v>
      </c>
      <c r="D597" s="0" t="s">
        <v>42</v>
      </c>
      <c r="E597" s="0" t="n">
        <v>2</v>
      </c>
      <c r="F597" s="0" t="n">
        <v>20.4</v>
      </c>
      <c r="G597" s="0" t="n">
        <v>42</v>
      </c>
      <c r="H597" s="0" t="n">
        <v>16.2</v>
      </c>
      <c r="I597" s="0" t="n">
        <v>10.3</v>
      </c>
      <c r="J597" s="0" t="n">
        <v>8.8</v>
      </c>
      <c r="K597" s="0" t="n">
        <v>0.755398521117</v>
      </c>
      <c r="L597" s="0" t="n">
        <v>94.3604153898</v>
      </c>
      <c r="M597" s="0" t="n">
        <v>0.00591055722691</v>
      </c>
      <c r="N597" s="0" t="n">
        <v>4.70537552107</v>
      </c>
      <c r="O597" s="0" t="n">
        <v>0.172900010829</v>
      </c>
      <c r="P597" s="0" t="n">
        <f aca="false">INDEX($F597:$J597,IF(1&lt;$E597,1,1+1))</f>
        <v>20.4</v>
      </c>
      <c r="Q597" s="0" t="n">
        <f aca="false">INDEX($F597:$J597,IF(2&lt;$E597,2,2+1))</f>
        <v>16.2</v>
      </c>
      <c r="R597" s="0" t="n">
        <f aca="false">INDEX($F597:$J597,IF(3&lt;$E597,3,3+1))</f>
        <v>10.3</v>
      </c>
      <c r="S597" s="0" t="n">
        <f aca="false">INDEX($F597:$J597,IF(4&lt;$E597,4,4+1))</f>
        <v>8.8</v>
      </c>
      <c r="T597" s="0" t="n">
        <f aca="false">INDEX($K597:$O597,IF(1&lt;$E597,1,1+1))</f>
        <v>0.755398521117</v>
      </c>
      <c r="U597" s="0" t="n">
        <f aca="false">INDEX($K597:$O597,IF(2&lt;$E597,2,2+1))</f>
        <v>0.00591055722691</v>
      </c>
      <c r="V597" s="0" t="n">
        <f aca="false">INDEX($K597:$O597,IF(3&lt;$E597,3,3+1))</f>
        <v>4.70537552107</v>
      </c>
      <c r="W597" s="0" t="n">
        <f aca="false">INDEX($K597:$O597,IF(4&lt;$E597,4,4+1))</f>
        <v>0.172900010829</v>
      </c>
      <c r="X597" s="0" t="n">
        <f aca="false">1+COUNTIF($P597:$S597,"&gt;"&amp;$P597)+(COUNTIF($P597:$S597,$P597)-1)/2</f>
        <v>1</v>
      </c>
      <c r="Y597" s="0" t="n">
        <f aca="false">1+COUNTIF($P597:$S597,"&gt;"&amp;$Q597)+(COUNTIF($P597:$S597,$Q597)-1)/2</f>
        <v>2</v>
      </c>
      <c r="Z597" s="0" t="n">
        <f aca="false">1+COUNTIF($P597:$S597,"&gt;"&amp;$R597)+(COUNTIF($P597:$S597,$R597)-1)/2</f>
        <v>3</v>
      </c>
      <c r="AA597" s="0" t="n">
        <f aca="false">1+COUNTIF($P597:$S597,"&gt;"&amp;$S597)+(COUNTIF($P597:$S597,$S597)-1)/2</f>
        <v>4</v>
      </c>
      <c r="AB597" s="0" t="n">
        <f aca="false">1+COUNTIF($T597:$W597,"&gt;"&amp;$T597)+(COUNTIF($T597:$W597,$T597)-1)/2</f>
        <v>2</v>
      </c>
      <c r="AC597" s="0" t="n">
        <f aca="false">1+COUNTIF($T597:$W597,"&gt;"&amp;$U597)+(COUNTIF($T597:$W597,$U597)-1)/2</f>
        <v>4</v>
      </c>
      <c r="AD597" s="0" t="n">
        <f aca="false">1+COUNTIF($T597:$W597,"&gt;"&amp;$V597)+(COUNTIF($T597:$W597,$V597)-1)/2</f>
        <v>1</v>
      </c>
      <c r="AE597" s="0" t="n">
        <f aca="false">1+COUNTIF($T597:$W597,"&gt;"&amp;$W597)+(COUNTIF($T597:$W597,$W597)-1)/2</f>
        <v>3</v>
      </c>
      <c r="AF597" s="0" t="n">
        <f aca="false">IFERROR(CORREL($P597:$S597,$T597:$W597),"")</f>
        <v>-0.364515971288887</v>
      </c>
      <c r="AG597" s="0" t="n">
        <f aca="false">IFERROR(CORREL($X597:$AA597,$AB597:$AE597),"")</f>
        <v>0</v>
      </c>
      <c r="AH597" s="0" t="n">
        <f aca="false">IFERROR((SIGN($P597-$Q597)*SIGN($T597-$U597)+SIGN($P597-$R597)*SIGN($T597-$V597)+SIGN($P597-$S597)*SIGN($T597-$W597)+SIGN($Q597-$R597)*SIGN($U597-$V597)+SIGN($Q597-$S597)*SIGN($U597-$W597)+SIGN($R597-$S597)*SIGN($V597-$W597))/SQRT((6-(($P597=$Q597)*1+($P597=$R597)*1+($P597=$S597)*1+($Q597=$R597)*1+($Q597=$S597)*1+($R597=$S597)*1))*(6-(($T597=$U597)*1+($T597=$V597)*1+($T597=$W597)*1+($U597=$V597)*1+($U597=$W597)*1+($V597=$W597)*1))),"")</f>
        <v>0</v>
      </c>
      <c r="AI597" s="0" t="n">
        <f aca="false">MATCH(MAX($K597:$O597),$K597:$O597,0)</f>
        <v>2</v>
      </c>
      <c r="AJ597" s="0" t="n">
        <f aca="false">IF(AI597&lt;&gt;$E597,1,0)</f>
        <v>0</v>
      </c>
      <c r="AK597" s="0" t="str">
        <f aca="false">IF(AJ597=1,INDEX($F597:$J597,AI597)/MAX($P597:$S597),"")</f>
        <v/>
      </c>
      <c r="AL597" s="0" t="str">
        <f aca="false">IF(AJ597=1,1+COUNTIF($P597:$S597,"&gt;"&amp;INDEX($F597:$J597,AI597)),"")</f>
        <v/>
      </c>
      <c r="AM597" s="0" t="n">
        <f aca="false">AVERAGE($P597:$S597)/MAX($P597:$S597)</f>
        <v>0.682598039215686</v>
      </c>
      <c r="AN597" s="0" t="n">
        <f aca="false">100-INDEX($F597:$J597,$E597)</f>
        <v>58</v>
      </c>
    </row>
    <row r="598" customFormat="false" ht="15" hidden="false" customHeight="false" outlineLevel="0" collapsed="false">
      <c r="A598" s="0" t="s">
        <v>61</v>
      </c>
      <c r="B598" s="0" t="n">
        <v>2022</v>
      </c>
      <c r="C598" s="0" t="s">
        <v>46</v>
      </c>
      <c r="D598" s="0" t="s">
        <v>43</v>
      </c>
      <c r="E598" s="0" t="n">
        <v>3</v>
      </c>
      <c r="F598" s="0" t="n">
        <v>8.5</v>
      </c>
      <c r="G598" s="0" t="n">
        <v>14.5</v>
      </c>
      <c r="H598" s="0" t="n">
        <v>44.6</v>
      </c>
      <c r="I598" s="0" t="n">
        <v>21.4</v>
      </c>
      <c r="J598" s="0" t="n">
        <v>8.7</v>
      </c>
      <c r="K598" s="0" t="n">
        <v>24.2092172455</v>
      </c>
      <c r="L598" s="0" t="n">
        <v>13.2735699067</v>
      </c>
      <c r="M598" s="0" t="n">
        <v>9.10452990577</v>
      </c>
      <c r="N598" s="0" t="n">
        <v>41.8885641788</v>
      </c>
      <c r="O598" s="0" t="n">
        <v>11.5241187632</v>
      </c>
      <c r="P598" s="0" t="n">
        <f aca="false">INDEX($F598:$J598,IF(1&lt;$E598,1,1+1))</f>
        <v>8.5</v>
      </c>
      <c r="Q598" s="0" t="n">
        <f aca="false">INDEX($F598:$J598,IF(2&lt;$E598,2,2+1))</f>
        <v>14.5</v>
      </c>
      <c r="R598" s="0" t="n">
        <f aca="false">INDEX($F598:$J598,IF(3&lt;$E598,3,3+1))</f>
        <v>21.4</v>
      </c>
      <c r="S598" s="0" t="n">
        <f aca="false">INDEX($F598:$J598,IF(4&lt;$E598,4,4+1))</f>
        <v>8.7</v>
      </c>
      <c r="T598" s="0" t="n">
        <f aca="false">INDEX($K598:$O598,IF(1&lt;$E598,1,1+1))</f>
        <v>24.2092172455</v>
      </c>
      <c r="U598" s="0" t="n">
        <f aca="false">INDEX($K598:$O598,IF(2&lt;$E598,2,2+1))</f>
        <v>13.2735699067</v>
      </c>
      <c r="V598" s="0" t="n">
        <f aca="false">INDEX($K598:$O598,IF(3&lt;$E598,3,3+1))</f>
        <v>41.8885641788</v>
      </c>
      <c r="W598" s="0" t="n">
        <f aca="false">INDEX($K598:$O598,IF(4&lt;$E598,4,4+1))</f>
        <v>11.5241187632</v>
      </c>
      <c r="X598" s="0" t="n">
        <f aca="false">1+COUNTIF($P598:$S598,"&gt;"&amp;$P598)+(COUNTIF($P598:$S598,$P598)-1)/2</f>
        <v>4</v>
      </c>
      <c r="Y598" s="0" t="n">
        <f aca="false">1+COUNTIF($P598:$S598,"&gt;"&amp;$Q598)+(COUNTIF($P598:$S598,$Q598)-1)/2</f>
        <v>2</v>
      </c>
      <c r="Z598" s="0" t="n">
        <f aca="false">1+COUNTIF($P598:$S598,"&gt;"&amp;$R598)+(COUNTIF($P598:$S598,$R598)-1)/2</f>
        <v>1</v>
      </c>
      <c r="AA598" s="0" t="n">
        <f aca="false">1+COUNTIF($P598:$S598,"&gt;"&amp;$S598)+(COUNTIF($P598:$S598,$S598)-1)/2</f>
        <v>3</v>
      </c>
      <c r="AB598" s="0" t="n">
        <f aca="false">1+COUNTIF($T598:$W598,"&gt;"&amp;$T598)+(COUNTIF($T598:$W598,$T598)-1)/2</f>
        <v>2</v>
      </c>
      <c r="AC598" s="0" t="n">
        <f aca="false">1+COUNTIF($T598:$W598,"&gt;"&amp;$U598)+(COUNTIF($T598:$W598,$U598)-1)/2</f>
        <v>3</v>
      </c>
      <c r="AD598" s="0" t="n">
        <f aca="false">1+COUNTIF($T598:$W598,"&gt;"&amp;$V598)+(COUNTIF($T598:$W598,$V598)-1)/2</f>
        <v>1</v>
      </c>
      <c r="AE598" s="0" t="n">
        <f aca="false">1+COUNTIF($T598:$W598,"&gt;"&amp;$W598)+(COUNTIF($T598:$W598,$W598)-1)/2</f>
        <v>4</v>
      </c>
      <c r="AF598" s="0" t="n">
        <f aca="false">IFERROR(CORREL($P598:$S598,$T598:$W598),"")</f>
        <v>0.738536713545552</v>
      </c>
      <c r="AG598" s="0" t="n">
        <f aca="false">IFERROR(CORREL($X598:$AA598,$AB598:$AE598),"")</f>
        <v>0.4</v>
      </c>
      <c r="AH598" s="0" t="n">
        <f aca="false">IFERROR((SIGN($P598-$Q598)*SIGN($T598-$U598)+SIGN($P598-$R598)*SIGN($T598-$V598)+SIGN($P598-$S598)*SIGN($T598-$W598)+SIGN($Q598-$R598)*SIGN($U598-$V598)+SIGN($Q598-$S598)*SIGN($U598-$W598)+SIGN($R598-$S598)*SIGN($V598-$W598))/SQRT((6-(($P598=$Q598)*1+($P598=$R598)*1+($P598=$S598)*1+($Q598=$R598)*1+($Q598=$S598)*1+($R598=$S598)*1))*(6-(($T598=$U598)*1+($T598=$V598)*1+($T598=$W598)*1+($U598=$V598)*1+($U598=$W598)*1+($V598=$W598)*1))),"")</f>
        <v>0.333333333333333</v>
      </c>
      <c r="AI598" s="0" t="n">
        <f aca="false">MATCH(MAX($K598:$O598),$K598:$O598,0)</f>
        <v>4</v>
      </c>
      <c r="AJ598" s="0" t="n">
        <f aca="false">IF(AI598&lt;&gt;$E598,1,0)</f>
        <v>1</v>
      </c>
      <c r="AK598" s="0" t="n">
        <f aca="false">IF(AJ598=1,INDEX($F598:$J598,AI598)/MAX($P598:$S598),"")</f>
        <v>1</v>
      </c>
      <c r="AL598" s="0" t="n">
        <f aca="false">IF(AJ598=1,1+COUNTIF($P598:$S598,"&gt;"&amp;INDEX($F598:$J598,AI598)),"")</f>
        <v>1</v>
      </c>
      <c r="AM598" s="0" t="n">
        <f aca="false">AVERAGE($P598:$S598)/MAX($P598:$S598)</f>
        <v>0.620327102803738</v>
      </c>
      <c r="AN598" s="0" t="n">
        <f aca="false">100-INDEX($F598:$J598,$E598)</f>
        <v>55.4</v>
      </c>
    </row>
    <row r="599" customFormat="false" ht="15" hidden="false" customHeight="false" outlineLevel="0" collapsed="false">
      <c r="A599" s="0" t="s">
        <v>61</v>
      </c>
      <c r="B599" s="0" t="n">
        <v>2022</v>
      </c>
      <c r="C599" s="0" t="s">
        <v>46</v>
      </c>
      <c r="D599" s="0" t="s">
        <v>44</v>
      </c>
      <c r="E599" s="0" t="n">
        <v>1</v>
      </c>
      <c r="F599" s="0" t="n">
        <v>54.1</v>
      </c>
      <c r="G599" s="0" t="n">
        <v>11.6</v>
      </c>
      <c r="H599" s="0" t="n">
        <v>9.2</v>
      </c>
      <c r="I599" s="0" t="n">
        <v>6.9</v>
      </c>
      <c r="J599" s="0" t="n">
        <v>15.8</v>
      </c>
      <c r="K599" s="0" t="n">
        <v>36.8284471063</v>
      </c>
      <c r="L599" s="0" t="n">
        <v>24.195194997</v>
      </c>
      <c r="M599" s="0" t="n">
        <v>12.5947332462</v>
      </c>
      <c r="N599" s="0" t="n">
        <v>5.93417988858</v>
      </c>
      <c r="O599" s="0" t="n">
        <v>20.4474447619</v>
      </c>
      <c r="P599" s="0" t="n">
        <f aca="false">INDEX($F599:$J599,IF(1&lt;$E599,1,1+1))</f>
        <v>11.6</v>
      </c>
      <c r="Q599" s="0" t="n">
        <f aca="false">INDEX($F599:$J599,IF(2&lt;$E599,2,2+1))</f>
        <v>9.2</v>
      </c>
      <c r="R599" s="0" t="n">
        <f aca="false">INDEX($F599:$J599,IF(3&lt;$E599,3,3+1))</f>
        <v>6.9</v>
      </c>
      <c r="S599" s="0" t="n">
        <f aca="false">INDEX($F599:$J599,IF(4&lt;$E599,4,4+1))</f>
        <v>15.8</v>
      </c>
      <c r="T599" s="0" t="n">
        <f aca="false">INDEX($K599:$O599,IF(1&lt;$E599,1,1+1))</f>
        <v>24.195194997</v>
      </c>
      <c r="U599" s="0" t="n">
        <f aca="false">INDEX($K599:$O599,IF(2&lt;$E599,2,2+1))</f>
        <v>12.5947332462</v>
      </c>
      <c r="V599" s="0" t="n">
        <f aca="false">INDEX($K599:$O599,IF(3&lt;$E599,3,3+1))</f>
        <v>5.93417988858</v>
      </c>
      <c r="W599" s="0" t="n">
        <f aca="false">INDEX($K599:$O599,IF(4&lt;$E599,4,4+1))</f>
        <v>20.4474447619</v>
      </c>
      <c r="X599" s="0" t="n">
        <f aca="false">1+COUNTIF($P599:$S599,"&gt;"&amp;$P599)+(COUNTIF($P599:$S599,$P599)-1)/2</f>
        <v>2</v>
      </c>
      <c r="Y599" s="0" t="n">
        <f aca="false">1+COUNTIF($P599:$S599,"&gt;"&amp;$Q599)+(COUNTIF($P599:$S599,$Q599)-1)/2</f>
        <v>3</v>
      </c>
      <c r="Z599" s="0" t="n">
        <f aca="false">1+COUNTIF($P599:$S599,"&gt;"&amp;$R599)+(COUNTIF($P599:$S599,$R599)-1)/2</f>
        <v>4</v>
      </c>
      <c r="AA599" s="0" t="n">
        <f aca="false">1+COUNTIF($P599:$S599,"&gt;"&amp;$S599)+(COUNTIF($P599:$S599,$S599)-1)/2</f>
        <v>1</v>
      </c>
      <c r="AB599" s="0" t="n">
        <f aca="false">1+COUNTIF($T599:$W599,"&gt;"&amp;$T599)+(COUNTIF($T599:$W599,$T599)-1)/2</f>
        <v>1</v>
      </c>
      <c r="AC599" s="0" t="n">
        <f aca="false">1+COUNTIF($T599:$W599,"&gt;"&amp;$U599)+(COUNTIF($T599:$W599,$U599)-1)/2</f>
        <v>3</v>
      </c>
      <c r="AD599" s="0" t="n">
        <f aca="false">1+COUNTIF($T599:$W599,"&gt;"&amp;$V599)+(COUNTIF($T599:$W599,$V599)-1)/2</f>
        <v>4</v>
      </c>
      <c r="AE599" s="0" t="n">
        <f aca="false">1+COUNTIF($T599:$W599,"&gt;"&amp;$W599)+(COUNTIF($T599:$W599,$W599)-1)/2</f>
        <v>2</v>
      </c>
      <c r="AF599" s="0" t="n">
        <f aca="false">IFERROR(CORREL($P599:$S599,$T599:$W599),"")</f>
        <v>0.790295282073827</v>
      </c>
      <c r="AG599" s="0" t="n">
        <f aca="false">IFERROR(CORREL($X599:$AA599,$AB599:$AE599),"")</f>
        <v>0.8</v>
      </c>
      <c r="AH599" s="0" t="n">
        <f aca="false">IFERROR((SIGN($P599-$Q599)*SIGN($T599-$U599)+SIGN($P599-$R599)*SIGN($T599-$V599)+SIGN($P599-$S599)*SIGN($T599-$W599)+SIGN($Q599-$R599)*SIGN($U599-$V599)+SIGN($Q599-$S599)*SIGN($U599-$W599)+SIGN($R599-$S599)*SIGN($V599-$W599))/SQRT((6-(($P599=$Q599)*1+($P599=$R599)*1+($P599=$S599)*1+($Q599=$R599)*1+($Q599=$S599)*1+($R599=$S599)*1))*(6-(($T599=$U599)*1+($T599=$V599)*1+($T599=$W599)*1+($U599=$V599)*1+($U599=$W599)*1+($V599=$W599)*1))),"")</f>
        <v>0.666666666666667</v>
      </c>
      <c r="AI599" s="0" t="n">
        <f aca="false">MATCH(MAX($K599:$O599),$K599:$O599,0)</f>
        <v>1</v>
      </c>
      <c r="AJ599" s="0" t="n">
        <f aca="false">IF(AI599&lt;&gt;$E599,1,0)</f>
        <v>0</v>
      </c>
      <c r="AK599" s="0" t="str">
        <f aca="false">IF(AJ599=1,INDEX($F599:$J599,AI599)/MAX($P599:$S599),"")</f>
        <v/>
      </c>
      <c r="AL599" s="0" t="str">
        <f aca="false">IF(AJ599=1,1+COUNTIF($P599:$S599,"&gt;"&amp;INDEX($F599:$J599,AI599)),"")</f>
        <v/>
      </c>
      <c r="AM599" s="0" t="n">
        <f aca="false">AVERAGE($P599:$S599)/MAX($P599:$S599)</f>
        <v>0.688291139240506</v>
      </c>
      <c r="AN599" s="0" t="n">
        <f aca="false">100-INDEX($F599:$J599,$E599)</f>
        <v>45.9</v>
      </c>
    </row>
    <row r="600" customFormat="false" ht="15" hidden="false" customHeight="false" outlineLevel="0" collapsed="false">
      <c r="A600" s="0" t="s">
        <v>61</v>
      </c>
      <c r="B600" s="0" t="n">
        <v>2022</v>
      </c>
      <c r="C600" s="0" t="s">
        <v>46</v>
      </c>
      <c r="D600" s="0" t="s">
        <v>45</v>
      </c>
      <c r="E600" s="0" t="n">
        <v>1</v>
      </c>
      <c r="F600" s="0" t="n">
        <v>17</v>
      </c>
      <c r="G600" s="0" t="n">
        <v>29.5</v>
      </c>
      <c r="H600" s="0" t="n">
        <v>12.9</v>
      </c>
      <c r="I600" s="0" t="n">
        <v>10.1</v>
      </c>
      <c r="J600" s="0" t="n">
        <v>28</v>
      </c>
      <c r="K600" s="0" t="n">
        <v>17.3797542864</v>
      </c>
      <c r="L600" s="0" t="n">
        <v>1.45008330228</v>
      </c>
      <c r="M600" s="0" t="n">
        <v>15.2933841625</v>
      </c>
      <c r="N600" s="0" t="n">
        <v>40.275644783</v>
      </c>
      <c r="O600" s="0" t="n">
        <v>25.6011334658</v>
      </c>
      <c r="P600" s="0" t="n">
        <f aca="false">INDEX($F600:$J600,IF(1&lt;$E600,1,1+1))</f>
        <v>29.5</v>
      </c>
      <c r="Q600" s="0" t="n">
        <f aca="false">INDEX($F600:$J600,IF(2&lt;$E600,2,2+1))</f>
        <v>12.9</v>
      </c>
      <c r="R600" s="0" t="n">
        <f aca="false">INDEX($F600:$J600,IF(3&lt;$E600,3,3+1))</f>
        <v>10.1</v>
      </c>
      <c r="S600" s="0" t="n">
        <f aca="false">INDEX($F600:$J600,IF(4&lt;$E600,4,4+1))</f>
        <v>28</v>
      </c>
      <c r="T600" s="0" t="n">
        <f aca="false">INDEX($K600:$O600,IF(1&lt;$E600,1,1+1))</f>
        <v>1.45008330228</v>
      </c>
      <c r="U600" s="0" t="n">
        <f aca="false">INDEX($K600:$O600,IF(2&lt;$E600,2,2+1))</f>
        <v>15.2933841625</v>
      </c>
      <c r="V600" s="0" t="n">
        <f aca="false">INDEX($K600:$O600,IF(3&lt;$E600,3,3+1))</f>
        <v>40.275644783</v>
      </c>
      <c r="W600" s="0" t="n">
        <f aca="false">INDEX($K600:$O600,IF(4&lt;$E600,4,4+1))</f>
        <v>25.6011334658</v>
      </c>
      <c r="X600" s="0" t="n">
        <f aca="false">1+COUNTIF($P600:$S600,"&gt;"&amp;$P600)+(COUNTIF($P600:$S600,$P600)-1)/2</f>
        <v>1</v>
      </c>
      <c r="Y600" s="0" t="n">
        <f aca="false">1+COUNTIF($P600:$S600,"&gt;"&amp;$Q600)+(COUNTIF($P600:$S600,$Q600)-1)/2</f>
        <v>3</v>
      </c>
      <c r="Z600" s="0" t="n">
        <f aca="false">1+COUNTIF($P600:$S600,"&gt;"&amp;$R600)+(COUNTIF($P600:$S600,$R600)-1)/2</f>
        <v>4</v>
      </c>
      <c r="AA600" s="0" t="n">
        <f aca="false">1+COUNTIF($P600:$S600,"&gt;"&amp;$S600)+(COUNTIF($P600:$S600,$S600)-1)/2</f>
        <v>2</v>
      </c>
      <c r="AB600" s="0" t="n">
        <f aca="false">1+COUNTIF($T600:$W600,"&gt;"&amp;$T600)+(COUNTIF($T600:$W600,$T600)-1)/2</f>
        <v>4</v>
      </c>
      <c r="AC600" s="0" t="n">
        <f aca="false">1+COUNTIF($T600:$W600,"&gt;"&amp;$U600)+(COUNTIF($T600:$W600,$U600)-1)/2</f>
        <v>3</v>
      </c>
      <c r="AD600" s="0" t="n">
        <f aca="false">1+COUNTIF($T600:$W600,"&gt;"&amp;$V600)+(COUNTIF($T600:$W600,$V600)-1)/2</f>
        <v>1</v>
      </c>
      <c r="AE600" s="0" t="n">
        <f aca="false">1+COUNTIF($T600:$W600,"&gt;"&amp;$W600)+(COUNTIF($T600:$W600,$W600)-1)/2</f>
        <v>2</v>
      </c>
      <c r="AF600" s="0" t="n">
        <f aca="false">IFERROR(CORREL($P600:$S600,$T600:$W600),"")</f>
        <v>-0.605161434570664</v>
      </c>
      <c r="AG600" s="0" t="n">
        <f aca="false">IFERROR(CORREL($X600:$AA600,$AB600:$AE600),"")</f>
        <v>-0.8</v>
      </c>
      <c r="AH600" s="0" t="n">
        <f aca="false">IFERROR((SIGN($P600-$Q600)*SIGN($T600-$U600)+SIGN($P600-$R600)*SIGN($T600-$V600)+SIGN($P600-$S600)*SIGN($T600-$W600)+SIGN($Q600-$R600)*SIGN($U600-$V600)+SIGN($Q600-$S600)*SIGN($U600-$W600)+SIGN($R600-$S600)*SIGN($V600-$W600))/SQRT((6-(($P600=$Q600)*1+($P600=$R600)*1+($P600=$S600)*1+($Q600=$R600)*1+($Q600=$S600)*1+($R600=$S600)*1))*(6-(($T600=$U600)*1+($T600=$V600)*1+($T600=$W600)*1+($U600=$V600)*1+($U600=$W600)*1+($V600=$W600)*1))),"")</f>
        <v>-0.666666666666667</v>
      </c>
      <c r="AI600" s="0" t="n">
        <f aca="false">MATCH(MAX($K600:$O600),$K600:$O600,0)</f>
        <v>4</v>
      </c>
      <c r="AJ600" s="0" t="n">
        <f aca="false">IF(AI600&lt;&gt;$E600,1,0)</f>
        <v>1</v>
      </c>
      <c r="AK600" s="0" t="n">
        <f aca="false">IF(AJ600=1,INDEX($F600:$J600,AI600)/MAX($P600:$S600),"")</f>
        <v>0.342372881355932</v>
      </c>
      <c r="AL600" s="0" t="n">
        <f aca="false">IF(AJ600=1,1+COUNTIF($P600:$S600,"&gt;"&amp;INDEX($F600:$J600,AI600)),"")</f>
        <v>4</v>
      </c>
      <c r="AM600" s="0" t="n">
        <f aca="false">AVERAGE($P600:$S600)/MAX($P600:$S600)</f>
        <v>0.682203389830508</v>
      </c>
      <c r="AN600" s="0" t="n">
        <f aca="false">100-INDEX($F600:$J600,$E600)</f>
        <v>83</v>
      </c>
    </row>
    <row r="601" customFormat="false" ht="15" hidden="false" customHeight="false" outlineLevel="0" collapsed="false">
      <c r="A601" s="0" t="s">
        <v>61</v>
      </c>
      <c r="B601" s="0" t="n">
        <v>2021</v>
      </c>
      <c r="C601" s="0" t="s">
        <v>58</v>
      </c>
      <c r="D601" s="0" t="s">
        <v>42</v>
      </c>
      <c r="E601" s="0" t="n">
        <v>2</v>
      </c>
      <c r="F601" s="0" t="n">
        <v>12.6</v>
      </c>
      <c r="G601" s="0" t="n">
        <v>49.6</v>
      </c>
      <c r="H601" s="0" t="n">
        <v>10</v>
      </c>
      <c r="I601" s="0" t="n">
        <v>11</v>
      </c>
      <c r="J601" s="0" t="n">
        <v>9.4</v>
      </c>
      <c r="K601" s="0" t="n">
        <v>0.447051921363</v>
      </c>
      <c r="L601" s="0" t="n">
        <v>96.8321554292</v>
      </c>
      <c r="M601" s="0" t="n">
        <v>0.215941779692</v>
      </c>
      <c r="N601" s="0" t="n">
        <v>1.28406150127</v>
      </c>
      <c r="O601" s="0" t="n">
        <v>1.22078936846</v>
      </c>
      <c r="P601" s="0" t="n">
        <f aca="false">INDEX($F601:$J601,IF(1&lt;$E601,1,1+1))</f>
        <v>12.6</v>
      </c>
      <c r="Q601" s="0" t="n">
        <f aca="false">INDEX($F601:$J601,IF(2&lt;$E601,2,2+1))</f>
        <v>10</v>
      </c>
      <c r="R601" s="0" t="n">
        <f aca="false">INDEX($F601:$J601,IF(3&lt;$E601,3,3+1))</f>
        <v>11</v>
      </c>
      <c r="S601" s="0" t="n">
        <f aca="false">INDEX($F601:$J601,IF(4&lt;$E601,4,4+1))</f>
        <v>9.4</v>
      </c>
      <c r="T601" s="0" t="n">
        <f aca="false">INDEX($K601:$O601,IF(1&lt;$E601,1,1+1))</f>
        <v>0.447051921363</v>
      </c>
      <c r="U601" s="0" t="n">
        <f aca="false">INDEX($K601:$O601,IF(2&lt;$E601,2,2+1))</f>
        <v>0.215941779692</v>
      </c>
      <c r="V601" s="0" t="n">
        <f aca="false">INDEX($K601:$O601,IF(3&lt;$E601,3,3+1))</f>
        <v>1.28406150127</v>
      </c>
      <c r="W601" s="0" t="n">
        <f aca="false">INDEX($K601:$O601,IF(4&lt;$E601,4,4+1))</f>
        <v>1.22078936846</v>
      </c>
      <c r="X601" s="0" t="n">
        <f aca="false">1+COUNTIF($P601:$S601,"&gt;"&amp;$P601)+(COUNTIF($P601:$S601,$P601)-1)/2</f>
        <v>1</v>
      </c>
      <c r="Y601" s="0" t="n">
        <f aca="false">1+COUNTIF($P601:$S601,"&gt;"&amp;$Q601)+(COUNTIF($P601:$S601,$Q601)-1)/2</f>
        <v>3</v>
      </c>
      <c r="Z601" s="0" t="n">
        <f aca="false">1+COUNTIF($P601:$S601,"&gt;"&amp;$R601)+(COUNTIF($P601:$S601,$R601)-1)/2</f>
        <v>2</v>
      </c>
      <c r="AA601" s="0" t="n">
        <f aca="false">1+COUNTIF($P601:$S601,"&gt;"&amp;$S601)+(COUNTIF($P601:$S601,$S601)-1)/2</f>
        <v>4</v>
      </c>
      <c r="AB601" s="0" t="n">
        <f aca="false">1+COUNTIF($T601:$W601,"&gt;"&amp;$T601)+(COUNTIF($T601:$W601,$T601)-1)/2</f>
        <v>3</v>
      </c>
      <c r="AC601" s="0" t="n">
        <f aca="false">1+COUNTIF($T601:$W601,"&gt;"&amp;$U601)+(COUNTIF($T601:$W601,$U601)-1)/2</f>
        <v>4</v>
      </c>
      <c r="AD601" s="0" t="n">
        <f aca="false">1+COUNTIF($T601:$W601,"&gt;"&amp;$V601)+(COUNTIF($T601:$W601,$V601)-1)/2</f>
        <v>1</v>
      </c>
      <c r="AE601" s="0" t="n">
        <f aca="false">1+COUNTIF($T601:$W601,"&gt;"&amp;$W601)+(COUNTIF($T601:$W601,$W601)-1)/2</f>
        <v>2</v>
      </c>
      <c r="AF601" s="0" t="n">
        <f aca="false">IFERROR(CORREL($P601:$S601,$T601:$W601),"")</f>
        <v>-0.291782040183915</v>
      </c>
      <c r="AG601" s="0" t="n">
        <f aca="false">IFERROR(CORREL($X601:$AA601,$AB601:$AE601),"")</f>
        <v>0</v>
      </c>
      <c r="AH601" s="0" t="n">
        <f aca="false">IFERROR((SIGN($P601-$Q601)*SIGN($T601-$U601)+SIGN($P601-$R601)*SIGN($T601-$V601)+SIGN($P601-$S601)*SIGN($T601-$W601)+SIGN($Q601-$R601)*SIGN($U601-$V601)+SIGN($Q601-$S601)*SIGN($U601-$W601)+SIGN($R601-$S601)*SIGN($V601-$W601))/SQRT((6-(($P601=$Q601)*1+($P601=$R601)*1+($P601=$S601)*1+($Q601=$R601)*1+($Q601=$S601)*1+($R601=$S601)*1))*(6-(($T601=$U601)*1+($T601=$V601)*1+($T601=$W601)*1+($U601=$V601)*1+($U601=$W601)*1+($V601=$W601)*1))),"")</f>
        <v>0</v>
      </c>
      <c r="AI601" s="0" t="n">
        <f aca="false">MATCH(MAX($K601:$O601),$K601:$O601,0)</f>
        <v>2</v>
      </c>
      <c r="AJ601" s="0" t="n">
        <f aca="false">IF(AI601&lt;&gt;$E601,1,0)</f>
        <v>0</v>
      </c>
      <c r="AK601" s="0" t="str">
        <f aca="false">IF(AJ601=1,INDEX($F601:$J601,AI601)/MAX($P601:$S601),"")</f>
        <v/>
      </c>
      <c r="AL601" s="0" t="str">
        <f aca="false">IF(AJ601=1,1+COUNTIF($P601:$S601,"&gt;"&amp;INDEX($F601:$J601,AI601)),"")</f>
        <v/>
      </c>
      <c r="AM601" s="0" t="n">
        <f aca="false">AVERAGE($P601:$S601)/MAX($P601:$S601)</f>
        <v>0.853174603174603</v>
      </c>
      <c r="AN601" s="0" t="n">
        <f aca="false">100-INDEX($F601:$J601,$E601)</f>
        <v>50.4</v>
      </c>
    </row>
    <row r="602" customFormat="false" ht="15" hidden="false" customHeight="false" outlineLevel="0" collapsed="false">
      <c r="A602" s="0" t="s">
        <v>61</v>
      </c>
      <c r="B602" s="0" t="n">
        <v>2021</v>
      </c>
      <c r="C602" s="0" t="s">
        <v>58</v>
      </c>
      <c r="D602" s="0" t="s">
        <v>44</v>
      </c>
      <c r="E602" s="0" t="n">
        <v>2</v>
      </c>
      <c r="F602" s="0" t="n">
        <v>7.7</v>
      </c>
      <c r="G602" s="0" t="n">
        <v>32.6</v>
      </c>
      <c r="H602" s="0" t="n">
        <v>13.4</v>
      </c>
      <c r="I602" s="0" t="n">
        <v>27.7</v>
      </c>
      <c r="J602" s="0" t="n">
        <v>11.2</v>
      </c>
      <c r="K602" s="0" t="n">
        <v>4.02692351493</v>
      </c>
      <c r="L602" s="0" t="n">
        <v>8.69917188643</v>
      </c>
      <c r="M602" s="0" t="n">
        <v>49.3876381204</v>
      </c>
      <c r="N602" s="0" t="n">
        <v>15.9510343155</v>
      </c>
      <c r="O602" s="0" t="n">
        <v>21.9352321627</v>
      </c>
      <c r="P602" s="0" t="n">
        <f aca="false">INDEX($F602:$J602,IF(1&lt;$E602,1,1+1))</f>
        <v>7.7</v>
      </c>
      <c r="Q602" s="0" t="n">
        <f aca="false">INDEX($F602:$J602,IF(2&lt;$E602,2,2+1))</f>
        <v>13.4</v>
      </c>
      <c r="R602" s="0" t="n">
        <f aca="false">INDEX($F602:$J602,IF(3&lt;$E602,3,3+1))</f>
        <v>27.7</v>
      </c>
      <c r="S602" s="0" t="n">
        <f aca="false">INDEX($F602:$J602,IF(4&lt;$E602,4,4+1))</f>
        <v>11.2</v>
      </c>
      <c r="T602" s="0" t="n">
        <f aca="false">INDEX($K602:$O602,IF(1&lt;$E602,1,1+1))</f>
        <v>4.02692351493</v>
      </c>
      <c r="U602" s="0" t="n">
        <f aca="false">INDEX($K602:$O602,IF(2&lt;$E602,2,2+1))</f>
        <v>49.3876381204</v>
      </c>
      <c r="V602" s="0" t="n">
        <f aca="false">INDEX($K602:$O602,IF(3&lt;$E602,3,3+1))</f>
        <v>15.9510343155</v>
      </c>
      <c r="W602" s="0" t="n">
        <f aca="false">INDEX($K602:$O602,IF(4&lt;$E602,4,4+1))</f>
        <v>21.9352321627</v>
      </c>
      <c r="X602" s="0" t="n">
        <f aca="false">1+COUNTIF($P602:$S602,"&gt;"&amp;$P602)+(COUNTIF($P602:$S602,$P602)-1)/2</f>
        <v>4</v>
      </c>
      <c r="Y602" s="0" t="n">
        <f aca="false">1+COUNTIF($P602:$S602,"&gt;"&amp;$Q602)+(COUNTIF($P602:$S602,$Q602)-1)/2</f>
        <v>2</v>
      </c>
      <c r="Z602" s="0" t="n">
        <f aca="false">1+COUNTIF($P602:$S602,"&gt;"&amp;$R602)+(COUNTIF($P602:$S602,$R602)-1)/2</f>
        <v>1</v>
      </c>
      <c r="AA602" s="0" t="n">
        <f aca="false">1+COUNTIF($P602:$S602,"&gt;"&amp;$S602)+(COUNTIF($P602:$S602,$S602)-1)/2</f>
        <v>3</v>
      </c>
      <c r="AB602" s="0" t="n">
        <f aca="false">1+COUNTIF($T602:$W602,"&gt;"&amp;$T602)+(COUNTIF($T602:$W602,$T602)-1)/2</f>
        <v>4</v>
      </c>
      <c r="AC602" s="0" t="n">
        <f aca="false">1+COUNTIF($T602:$W602,"&gt;"&amp;$U602)+(COUNTIF($T602:$W602,$U602)-1)/2</f>
        <v>1</v>
      </c>
      <c r="AD602" s="0" t="n">
        <f aca="false">1+COUNTIF($T602:$W602,"&gt;"&amp;$V602)+(COUNTIF($T602:$W602,$V602)-1)/2</f>
        <v>3</v>
      </c>
      <c r="AE602" s="0" t="n">
        <f aca="false">1+COUNTIF($T602:$W602,"&gt;"&amp;$W602)+(COUNTIF($T602:$W602,$W602)-1)/2</f>
        <v>2</v>
      </c>
      <c r="AF602" s="0" t="n">
        <f aca="false">IFERROR(CORREL($P602:$S602,$T602:$W602),"")</f>
        <v>0.0213453648485554</v>
      </c>
      <c r="AG602" s="0" t="n">
        <f aca="false">IFERROR(CORREL($X602:$AA602,$AB602:$AE602),"")</f>
        <v>0.4</v>
      </c>
      <c r="AH602" s="0" t="n">
        <f aca="false">IFERROR((SIGN($P602-$Q602)*SIGN($T602-$U602)+SIGN($P602-$R602)*SIGN($T602-$V602)+SIGN($P602-$S602)*SIGN($T602-$W602)+SIGN($Q602-$R602)*SIGN($U602-$V602)+SIGN($Q602-$S602)*SIGN($U602-$W602)+SIGN($R602-$S602)*SIGN($V602-$W602))/SQRT((6-(($P602=$Q602)*1+($P602=$R602)*1+($P602=$S602)*1+($Q602=$R602)*1+($Q602=$S602)*1+($R602=$S602)*1))*(6-(($T602=$U602)*1+($T602=$V602)*1+($T602=$W602)*1+($U602=$V602)*1+($U602=$W602)*1+($V602=$W602)*1))),"")</f>
        <v>0.333333333333333</v>
      </c>
      <c r="AI602" s="0" t="n">
        <f aca="false">MATCH(MAX($K602:$O602),$K602:$O602,0)</f>
        <v>3</v>
      </c>
      <c r="AJ602" s="0" t="n">
        <f aca="false">IF(AI602&lt;&gt;$E602,1,0)</f>
        <v>1</v>
      </c>
      <c r="AK602" s="0" t="n">
        <f aca="false">IF(AJ602=1,INDEX($F602:$J602,AI602)/MAX($P602:$S602),"")</f>
        <v>0.483754512635379</v>
      </c>
      <c r="AL602" s="0" t="n">
        <f aca="false">IF(AJ602=1,1+COUNTIF($P602:$S602,"&gt;"&amp;INDEX($F602:$J602,AI602)),"")</f>
        <v>2</v>
      </c>
      <c r="AM602" s="0" t="n">
        <f aca="false">AVERAGE($P602:$S602)/MAX($P602:$S602)</f>
        <v>0.541516245487365</v>
      </c>
      <c r="AN602" s="0" t="n">
        <f aca="false">100-INDEX($F602:$J602,$E602)</f>
        <v>67.4</v>
      </c>
    </row>
    <row r="603" customFormat="false" ht="15" hidden="false" customHeight="false" outlineLevel="0" collapsed="false">
      <c r="A603" s="0" t="s">
        <v>61</v>
      </c>
      <c r="B603" s="0" t="n">
        <v>2021</v>
      </c>
      <c r="C603" s="0" t="s">
        <v>58</v>
      </c>
      <c r="D603" s="0" t="s">
        <v>45</v>
      </c>
      <c r="E603" s="0" t="n">
        <v>4</v>
      </c>
      <c r="F603" s="0" t="n">
        <v>10.6</v>
      </c>
      <c r="G603" s="0" t="n">
        <v>11.7</v>
      </c>
      <c r="H603" s="0" t="n">
        <v>15.5</v>
      </c>
      <c r="I603" s="0" t="n">
        <v>45</v>
      </c>
      <c r="J603" s="0" t="n">
        <v>9.7</v>
      </c>
      <c r="K603" s="0" t="n">
        <v>20.1083417363</v>
      </c>
      <c r="L603" s="0" t="n">
        <v>0.0429327443937</v>
      </c>
      <c r="M603" s="0" t="n">
        <v>11.0319980931</v>
      </c>
      <c r="N603" s="0" t="n">
        <v>36.7207140437</v>
      </c>
      <c r="O603" s="0" t="n">
        <v>32.0960133825</v>
      </c>
      <c r="P603" s="0" t="n">
        <f aca="false">INDEX($F603:$J603,IF(1&lt;$E603,1,1+1))</f>
        <v>10.6</v>
      </c>
      <c r="Q603" s="0" t="n">
        <f aca="false">INDEX($F603:$J603,IF(2&lt;$E603,2,2+1))</f>
        <v>11.7</v>
      </c>
      <c r="R603" s="0" t="n">
        <f aca="false">INDEX($F603:$J603,IF(3&lt;$E603,3,3+1))</f>
        <v>15.5</v>
      </c>
      <c r="S603" s="0" t="n">
        <f aca="false">INDEX($F603:$J603,IF(4&lt;$E603,4,4+1))</f>
        <v>9.7</v>
      </c>
      <c r="T603" s="0" t="n">
        <f aca="false">INDEX($K603:$O603,IF(1&lt;$E603,1,1+1))</f>
        <v>20.1083417363</v>
      </c>
      <c r="U603" s="0" t="n">
        <f aca="false">INDEX($K603:$O603,IF(2&lt;$E603,2,2+1))</f>
        <v>0.0429327443937</v>
      </c>
      <c r="V603" s="0" t="n">
        <f aca="false">INDEX($K603:$O603,IF(3&lt;$E603,3,3+1))</f>
        <v>11.0319980931</v>
      </c>
      <c r="W603" s="0" t="n">
        <f aca="false">INDEX($K603:$O603,IF(4&lt;$E603,4,4+1))</f>
        <v>32.0960133825</v>
      </c>
      <c r="X603" s="0" t="n">
        <f aca="false">1+COUNTIF($P603:$S603,"&gt;"&amp;$P603)+(COUNTIF($P603:$S603,$P603)-1)/2</f>
        <v>3</v>
      </c>
      <c r="Y603" s="0" t="n">
        <f aca="false">1+COUNTIF($P603:$S603,"&gt;"&amp;$Q603)+(COUNTIF($P603:$S603,$Q603)-1)/2</f>
        <v>2</v>
      </c>
      <c r="Z603" s="0" t="n">
        <f aca="false">1+COUNTIF($P603:$S603,"&gt;"&amp;$R603)+(COUNTIF($P603:$S603,$R603)-1)/2</f>
        <v>1</v>
      </c>
      <c r="AA603" s="0" t="n">
        <f aca="false">1+COUNTIF($P603:$S603,"&gt;"&amp;$S603)+(COUNTIF($P603:$S603,$S603)-1)/2</f>
        <v>4</v>
      </c>
      <c r="AB603" s="0" t="n">
        <f aca="false">1+COUNTIF($T603:$W603,"&gt;"&amp;$T603)+(COUNTIF($T603:$W603,$T603)-1)/2</f>
        <v>2</v>
      </c>
      <c r="AC603" s="0" t="n">
        <f aca="false">1+COUNTIF($T603:$W603,"&gt;"&amp;$U603)+(COUNTIF($T603:$W603,$U603)-1)/2</f>
        <v>4</v>
      </c>
      <c r="AD603" s="0" t="n">
        <f aca="false">1+COUNTIF($T603:$W603,"&gt;"&amp;$V603)+(COUNTIF($T603:$W603,$V603)-1)/2</f>
        <v>3</v>
      </c>
      <c r="AE603" s="0" t="n">
        <f aca="false">1+COUNTIF($T603:$W603,"&gt;"&amp;$W603)+(COUNTIF($T603:$W603,$W603)-1)/2</f>
        <v>1</v>
      </c>
      <c r="AF603" s="0" t="n">
        <f aca="false">IFERROR(CORREL($P603:$S603,$T603:$W603),"")</f>
        <v>-0.532700181121642</v>
      </c>
      <c r="AG603" s="0" t="n">
        <f aca="false">IFERROR(CORREL($X603:$AA603,$AB603:$AE603),"")</f>
        <v>-0.8</v>
      </c>
      <c r="AH603" s="0" t="n">
        <f aca="false">IFERROR((SIGN($P603-$Q603)*SIGN($T603-$U603)+SIGN($P603-$R603)*SIGN($T603-$V603)+SIGN($P603-$S603)*SIGN($T603-$W603)+SIGN($Q603-$R603)*SIGN($U603-$V603)+SIGN($Q603-$S603)*SIGN($U603-$W603)+SIGN($R603-$S603)*SIGN($V603-$W603))/SQRT((6-(($P603=$Q603)*1+($P603=$R603)*1+($P603=$S603)*1+($Q603=$R603)*1+($Q603=$S603)*1+($R603=$S603)*1))*(6-(($T603=$U603)*1+($T603=$V603)*1+($T603=$W603)*1+($U603=$V603)*1+($U603=$W603)*1+($V603=$W603)*1))),"")</f>
        <v>-0.666666666666667</v>
      </c>
      <c r="AI603" s="0" t="n">
        <f aca="false">MATCH(MAX($K603:$O603),$K603:$O603,0)</f>
        <v>4</v>
      </c>
      <c r="AJ603" s="0" t="n">
        <f aca="false">IF(AI603&lt;&gt;$E603,1,0)</f>
        <v>0</v>
      </c>
      <c r="AK603" s="0" t="str">
        <f aca="false">IF(AJ603=1,INDEX($F603:$J603,AI603)/MAX($P603:$S603),"")</f>
        <v/>
      </c>
      <c r="AL603" s="0" t="str">
        <f aca="false">IF(AJ603=1,1+COUNTIF($P603:$S603,"&gt;"&amp;INDEX($F603:$J603,AI603)),"")</f>
        <v/>
      </c>
      <c r="AM603" s="0" t="n">
        <f aca="false">AVERAGE($P603:$S603)/MAX($P603:$S603)</f>
        <v>0.766129032258065</v>
      </c>
      <c r="AN603" s="0" t="n">
        <f aca="false">100-INDEX($F603:$J603,$E603)</f>
        <v>55</v>
      </c>
    </row>
    <row r="604" customFormat="false" ht="15" hidden="false" customHeight="false" outlineLevel="0" collapsed="false">
      <c r="A604" s="0" t="s">
        <v>61</v>
      </c>
      <c r="B604" s="0" t="n">
        <v>2021</v>
      </c>
      <c r="C604" s="0" t="s">
        <v>49</v>
      </c>
      <c r="D604" s="0" t="s">
        <v>42</v>
      </c>
      <c r="E604" s="0" t="n">
        <v>1</v>
      </c>
      <c r="F604" s="0" t="n">
        <v>46.7</v>
      </c>
      <c r="G604" s="0" t="n">
        <v>22</v>
      </c>
      <c r="H604" s="0" t="n">
        <v>8.7</v>
      </c>
      <c r="I604" s="0" t="n">
        <v>10</v>
      </c>
      <c r="J604" s="0" t="n">
        <v>5.8</v>
      </c>
      <c r="K604" s="0" t="n">
        <v>1.91698017549</v>
      </c>
      <c r="L604" s="0" t="n">
        <v>8.33184163134</v>
      </c>
      <c r="M604" s="0" t="n">
        <v>0.9375291268</v>
      </c>
      <c r="N604" s="0" t="n">
        <v>2.5048694554</v>
      </c>
      <c r="O604" s="0" t="n">
        <v>86.308779611</v>
      </c>
      <c r="P604" s="0" t="n">
        <f aca="false">INDEX($F604:$J604,IF(1&lt;$E604,1,1+1))</f>
        <v>22</v>
      </c>
      <c r="Q604" s="0" t="n">
        <f aca="false">INDEX($F604:$J604,IF(2&lt;$E604,2,2+1))</f>
        <v>8.7</v>
      </c>
      <c r="R604" s="0" t="n">
        <f aca="false">INDEX($F604:$J604,IF(3&lt;$E604,3,3+1))</f>
        <v>10</v>
      </c>
      <c r="S604" s="0" t="n">
        <f aca="false">INDEX($F604:$J604,IF(4&lt;$E604,4,4+1))</f>
        <v>5.8</v>
      </c>
      <c r="T604" s="0" t="n">
        <f aca="false">INDEX($K604:$O604,IF(1&lt;$E604,1,1+1))</f>
        <v>8.33184163134</v>
      </c>
      <c r="U604" s="0" t="n">
        <f aca="false">INDEX($K604:$O604,IF(2&lt;$E604,2,2+1))</f>
        <v>0.9375291268</v>
      </c>
      <c r="V604" s="0" t="n">
        <f aca="false">INDEX($K604:$O604,IF(3&lt;$E604,3,3+1))</f>
        <v>2.5048694554</v>
      </c>
      <c r="W604" s="0" t="n">
        <f aca="false">INDEX($K604:$O604,IF(4&lt;$E604,4,4+1))</f>
        <v>86.308779611</v>
      </c>
      <c r="X604" s="0" t="n">
        <f aca="false">1+COUNTIF($P604:$S604,"&gt;"&amp;$P604)+(COUNTIF($P604:$S604,$P604)-1)/2</f>
        <v>1</v>
      </c>
      <c r="Y604" s="0" t="n">
        <f aca="false">1+COUNTIF($P604:$S604,"&gt;"&amp;$Q604)+(COUNTIF($P604:$S604,$Q604)-1)/2</f>
        <v>3</v>
      </c>
      <c r="Z604" s="0" t="n">
        <f aca="false">1+COUNTIF($P604:$S604,"&gt;"&amp;$R604)+(COUNTIF($P604:$S604,$R604)-1)/2</f>
        <v>2</v>
      </c>
      <c r="AA604" s="0" t="n">
        <f aca="false">1+COUNTIF($P604:$S604,"&gt;"&amp;$S604)+(COUNTIF($P604:$S604,$S604)-1)/2</f>
        <v>4</v>
      </c>
      <c r="AB604" s="0" t="n">
        <f aca="false">1+COUNTIF($T604:$W604,"&gt;"&amp;$T604)+(COUNTIF($T604:$W604,$T604)-1)/2</f>
        <v>2</v>
      </c>
      <c r="AC604" s="0" t="n">
        <f aca="false">1+COUNTIF($T604:$W604,"&gt;"&amp;$U604)+(COUNTIF($T604:$W604,$U604)-1)/2</f>
        <v>4</v>
      </c>
      <c r="AD604" s="0" t="n">
        <f aca="false">1+COUNTIF($T604:$W604,"&gt;"&amp;$V604)+(COUNTIF($T604:$W604,$V604)-1)/2</f>
        <v>3</v>
      </c>
      <c r="AE604" s="0" t="n">
        <f aca="false">1+COUNTIF($T604:$W604,"&gt;"&amp;$W604)+(COUNTIF($T604:$W604,$W604)-1)/2</f>
        <v>1</v>
      </c>
      <c r="AF604" s="0" t="n">
        <f aca="false">IFERROR(CORREL($P604:$S604,$T604:$W604),"")</f>
        <v>-0.478389307196667</v>
      </c>
      <c r="AG604" s="0" t="n">
        <f aca="false">IFERROR(CORREL($X604:$AA604,$AB604:$AE604),"")</f>
        <v>-0.2</v>
      </c>
      <c r="AH604" s="0" t="n">
        <f aca="false">IFERROR((SIGN($P604-$Q604)*SIGN($T604-$U604)+SIGN($P604-$R604)*SIGN($T604-$V604)+SIGN($P604-$S604)*SIGN($T604-$W604)+SIGN($Q604-$R604)*SIGN($U604-$V604)+SIGN($Q604-$S604)*SIGN($U604-$W604)+SIGN($R604-$S604)*SIGN($V604-$W604))/SQRT((6-(($P604=$Q604)*1+($P604=$R604)*1+($P604=$S604)*1+($Q604=$R604)*1+($Q604=$S604)*1+($R604=$S604)*1))*(6-(($T604=$U604)*1+($T604=$V604)*1+($T604=$W604)*1+($U604=$V604)*1+($U604=$W604)*1+($V604=$W604)*1))),"")</f>
        <v>0</v>
      </c>
      <c r="AI604" s="0" t="n">
        <f aca="false">MATCH(MAX($K604:$O604),$K604:$O604,0)</f>
        <v>5</v>
      </c>
      <c r="AJ604" s="0" t="n">
        <f aca="false">IF(AI604&lt;&gt;$E604,1,0)</f>
        <v>1</v>
      </c>
      <c r="AK604" s="0" t="n">
        <f aca="false">IF(AJ604=1,INDEX($F604:$J604,AI604)/MAX($P604:$S604),"")</f>
        <v>0.263636363636364</v>
      </c>
      <c r="AL604" s="0" t="n">
        <f aca="false">IF(AJ604=1,1+COUNTIF($P604:$S604,"&gt;"&amp;INDEX($F604:$J604,AI604)),"")</f>
        <v>4</v>
      </c>
      <c r="AM604" s="0" t="n">
        <f aca="false">AVERAGE($P604:$S604)/MAX($P604:$S604)</f>
        <v>0.528409090909091</v>
      </c>
      <c r="AN604" s="0" t="n">
        <f aca="false">100-INDEX($F604:$J604,$E604)</f>
        <v>53.3</v>
      </c>
    </row>
    <row r="605" customFormat="false" ht="15" hidden="false" customHeight="false" outlineLevel="0" collapsed="false">
      <c r="A605" s="0" t="s">
        <v>61</v>
      </c>
      <c r="B605" s="0" t="n">
        <v>2021</v>
      </c>
      <c r="C605" s="0" t="s">
        <v>49</v>
      </c>
      <c r="D605" s="0" t="s">
        <v>44</v>
      </c>
      <c r="E605" s="0" t="n">
        <v>1</v>
      </c>
      <c r="F605" s="0" t="n">
        <v>32.8</v>
      </c>
      <c r="G605" s="0" t="n">
        <v>11.8</v>
      </c>
      <c r="H605" s="0" t="n">
        <v>23.4</v>
      </c>
      <c r="I605" s="0" t="n">
        <v>11.6</v>
      </c>
      <c r="J605" s="0" t="n">
        <v>13.4</v>
      </c>
      <c r="K605" s="0" t="n">
        <v>47.2727059629</v>
      </c>
      <c r="L605" s="0" t="n">
        <v>1.61265244303</v>
      </c>
      <c r="M605" s="0" t="n">
        <v>17.4521823038</v>
      </c>
      <c r="N605" s="0" t="n">
        <v>26.3829785488</v>
      </c>
      <c r="O605" s="0" t="n">
        <v>7.27948074147</v>
      </c>
      <c r="P605" s="0" t="n">
        <f aca="false">INDEX($F605:$J605,IF(1&lt;$E605,1,1+1))</f>
        <v>11.8</v>
      </c>
      <c r="Q605" s="0" t="n">
        <f aca="false">INDEX($F605:$J605,IF(2&lt;$E605,2,2+1))</f>
        <v>23.4</v>
      </c>
      <c r="R605" s="0" t="n">
        <f aca="false">INDEX($F605:$J605,IF(3&lt;$E605,3,3+1))</f>
        <v>11.6</v>
      </c>
      <c r="S605" s="0" t="n">
        <f aca="false">INDEX($F605:$J605,IF(4&lt;$E605,4,4+1))</f>
        <v>13.4</v>
      </c>
      <c r="T605" s="0" t="n">
        <f aca="false">INDEX($K605:$O605,IF(1&lt;$E605,1,1+1))</f>
        <v>1.61265244303</v>
      </c>
      <c r="U605" s="0" t="n">
        <f aca="false">INDEX($K605:$O605,IF(2&lt;$E605,2,2+1))</f>
        <v>17.4521823038</v>
      </c>
      <c r="V605" s="0" t="n">
        <f aca="false">INDEX($K605:$O605,IF(3&lt;$E605,3,3+1))</f>
        <v>26.3829785488</v>
      </c>
      <c r="W605" s="0" t="n">
        <f aca="false">INDEX($K605:$O605,IF(4&lt;$E605,4,4+1))</f>
        <v>7.27948074147</v>
      </c>
      <c r="X605" s="0" t="n">
        <f aca="false">1+COUNTIF($P605:$S605,"&gt;"&amp;$P605)+(COUNTIF($P605:$S605,$P605)-1)/2</f>
        <v>3</v>
      </c>
      <c r="Y605" s="0" t="n">
        <f aca="false">1+COUNTIF($P605:$S605,"&gt;"&amp;$Q605)+(COUNTIF($P605:$S605,$Q605)-1)/2</f>
        <v>1</v>
      </c>
      <c r="Z605" s="0" t="n">
        <f aca="false">1+COUNTIF($P605:$S605,"&gt;"&amp;$R605)+(COUNTIF($P605:$S605,$R605)-1)/2</f>
        <v>4</v>
      </c>
      <c r="AA605" s="0" t="n">
        <f aca="false">1+COUNTIF($P605:$S605,"&gt;"&amp;$S605)+(COUNTIF($P605:$S605,$S605)-1)/2</f>
        <v>2</v>
      </c>
      <c r="AB605" s="0" t="n">
        <f aca="false">1+COUNTIF($T605:$W605,"&gt;"&amp;$T605)+(COUNTIF($T605:$W605,$T605)-1)/2</f>
        <v>4</v>
      </c>
      <c r="AC605" s="0" t="n">
        <f aca="false">1+COUNTIF($T605:$W605,"&gt;"&amp;$U605)+(COUNTIF($T605:$W605,$U605)-1)/2</f>
        <v>2</v>
      </c>
      <c r="AD605" s="0" t="n">
        <f aca="false">1+COUNTIF($T605:$W605,"&gt;"&amp;$V605)+(COUNTIF($T605:$W605,$V605)-1)/2</f>
        <v>1</v>
      </c>
      <c r="AE605" s="0" t="n">
        <f aca="false">1+COUNTIF($T605:$W605,"&gt;"&amp;$W605)+(COUNTIF($T605:$W605,$W605)-1)/2</f>
        <v>3</v>
      </c>
      <c r="AF605" s="0" t="n">
        <f aca="false">IFERROR(CORREL($P605:$S605,$T605:$W605),"")</f>
        <v>0.202280207172338</v>
      </c>
      <c r="AG605" s="0" t="n">
        <f aca="false">IFERROR(CORREL($X605:$AA605,$AB605:$AE605),"")</f>
        <v>-0.2</v>
      </c>
      <c r="AH605" s="0" t="n">
        <f aca="false">IFERROR((SIGN($P605-$Q605)*SIGN($T605-$U605)+SIGN($P605-$R605)*SIGN($T605-$V605)+SIGN($P605-$S605)*SIGN($T605-$W605)+SIGN($Q605-$R605)*SIGN($U605-$V605)+SIGN($Q605-$S605)*SIGN($U605-$W605)+SIGN($R605-$S605)*SIGN($V605-$W605))/SQRT((6-(($P605=$Q605)*1+($P605=$R605)*1+($P605=$S605)*1+($Q605=$R605)*1+($Q605=$S605)*1+($R605=$S605)*1))*(6-(($T605=$U605)*1+($T605=$V605)*1+($T605=$W605)*1+($U605=$V605)*1+($U605=$W605)*1+($V605=$W605)*1))),"")</f>
        <v>0</v>
      </c>
      <c r="AI605" s="0" t="n">
        <f aca="false">MATCH(MAX($K605:$O605),$K605:$O605,0)</f>
        <v>1</v>
      </c>
      <c r="AJ605" s="0" t="n">
        <f aca="false">IF(AI605&lt;&gt;$E605,1,0)</f>
        <v>0</v>
      </c>
      <c r="AK605" s="0" t="str">
        <f aca="false">IF(AJ605=1,INDEX($F605:$J605,AI605)/MAX($P605:$S605),"")</f>
        <v/>
      </c>
      <c r="AL605" s="0" t="str">
        <f aca="false">IF(AJ605=1,1+COUNTIF($P605:$S605,"&gt;"&amp;INDEX($F605:$J605,AI605)),"")</f>
        <v/>
      </c>
      <c r="AM605" s="0" t="n">
        <f aca="false">AVERAGE($P605:$S605)/MAX($P605:$S605)</f>
        <v>0.643162393162393</v>
      </c>
      <c r="AN605" s="0" t="n">
        <f aca="false">100-INDEX($F605:$J605,$E605)</f>
        <v>67.2</v>
      </c>
    </row>
    <row r="606" customFormat="false" ht="15" hidden="false" customHeight="false" outlineLevel="0" collapsed="false">
      <c r="A606" s="0" t="s">
        <v>61</v>
      </c>
      <c r="B606" s="0" t="n">
        <v>2021</v>
      </c>
      <c r="C606" s="0" t="s">
        <v>49</v>
      </c>
      <c r="D606" s="0" t="s">
        <v>45</v>
      </c>
      <c r="E606" s="0" t="n">
        <v>5</v>
      </c>
      <c r="F606" s="0" t="n">
        <v>11.3</v>
      </c>
      <c r="G606" s="0" t="n">
        <v>9.7</v>
      </c>
      <c r="H606" s="0" t="n">
        <v>9.4</v>
      </c>
      <c r="I606" s="0" t="n">
        <v>17.9</v>
      </c>
      <c r="J606" s="0" t="n">
        <v>44.7</v>
      </c>
      <c r="K606" s="0" t="n">
        <v>18.4854696548</v>
      </c>
      <c r="L606" s="0" t="n">
        <v>16.4888604611</v>
      </c>
      <c r="M606" s="0" t="n">
        <v>5.69233194014</v>
      </c>
      <c r="N606" s="0" t="n">
        <v>26.9109197215</v>
      </c>
      <c r="O606" s="0" t="n">
        <v>32.4224182224</v>
      </c>
      <c r="P606" s="0" t="n">
        <f aca="false">INDEX($F606:$J606,IF(1&lt;$E606,1,1+1))</f>
        <v>11.3</v>
      </c>
      <c r="Q606" s="0" t="n">
        <f aca="false">INDEX($F606:$J606,IF(2&lt;$E606,2,2+1))</f>
        <v>9.7</v>
      </c>
      <c r="R606" s="0" t="n">
        <f aca="false">INDEX($F606:$J606,IF(3&lt;$E606,3,3+1))</f>
        <v>9.4</v>
      </c>
      <c r="S606" s="0" t="n">
        <f aca="false">INDEX($F606:$J606,IF(4&lt;$E606,4,4+1))</f>
        <v>17.9</v>
      </c>
      <c r="T606" s="0" t="n">
        <f aca="false">INDEX($K606:$O606,IF(1&lt;$E606,1,1+1))</f>
        <v>18.4854696548</v>
      </c>
      <c r="U606" s="0" t="n">
        <f aca="false">INDEX($K606:$O606,IF(2&lt;$E606,2,2+1))</f>
        <v>16.4888604611</v>
      </c>
      <c r="V606" s="0" t="n">
        <f aca="false">INDEX($K606:$O606,IF(3&lt;$E606,3,3+1))</f>
        <v>5.69233194014</v>
      </c>
      <c r="W606" s="0" t="n">
        <f aca="false">INDEX($K606:$O606,IF(4&lt;$E606,4,4+1))</f>
        <v>26.9109197215</v>
      </c>
      <c r="X606" s="0" t="n">
        <f aca="false">1+COUNTIF($P606:$S606,"&gt;"&amp;$P606)+(COUNTIF($P606:$S606,$P606)-1)/2</f>
        <v>2</v>
      </c>
      <c r="Y606" s="0" t="n">
        <f aca="false">1+COUNTIF($P606:$S606,"&gt;"&amp;$Q606)+(COUNTIF($P606:$S606,$Q606)-1)/2</f>
        <v>3</v>
      </c>
      <c r="Z606" s="0" t="n">
        <f aca="false">1+COUNTIF($P606:$S606,"&gt;"&amp;$R606)+(COUNTIF($P606:$S606,$R606)-1)/2</f>
        <v>4</v>
      </c>
      <c r="AA606" s="0" t="n">
        <f aca="false">1+COUNTIF($P606:$S606,"&gt;"&amp;$S606)+(COUNTIF($P606:$S606,$S606)-1)/2</f>
        <v>1</v>
      </c>
      <c r="AB606" s="0" t="n">
        <f aca="false">1+COUNTIF($T606:$W606,"&gt;"&amp;$T606)+(COUNTIF($T606:$W606,$T606)-1)/2</f>
        <v>2</v>
      </c>
      <c r="AC606" s="0" t="n">
        <f aca="false">1+COUNTIF($T606:$W606,"&gt;"&amp;$U606)+(COUNTIF($T606:$W606,$U606)-1)/2</f>
        <v>3</v>
      </c>
      <c r="AD606" s="0" t="n">
        <f aca="false">1+COUNTIF($T606:$W606,"&gt;"&amp;$V606)+(COUNTIF($T606:$W606,$V606)-1)/2</f>
        <v>4</v>
      </c>
      <c r="AE606" s="0" t="n">
        <f aca="false">1+COUNTIF($T606:$W606,"&gt;"&amp;$W606)+(COUNTIF($T606:$W606,$W606)-1)/2</f>
        <v>1</v>
      </c>
      <c r="AF606" s="0" t="n">
        <f aca="false">IFERROR(CORREL($P606:$S606,$T606:$W606),"")</f>
        <v>0.846597328687861</v>
      </c>
      <c r="AG606" s="0" t="n">
        <f aca="false">IFERROR(CORREL($X606:$AA606,$AB606:$AE606),"")</f>
        <v>1</v>
      </c>
      <c r="AH606" s="0" t="n">
        <f aca="false">IFERROR((SIGN($P606-$Q606)*SIGN($T606-$U606)+SIGN($P606-$R606)*SIGN($T606-$V606)+SIGN($P606-$S606)*SIGN($T606-$W606)+SIGN($Q606-$R606)*SIGN($U606-$V606)+SIGN($Q606-$S606)*SIGN($U606-$W606)+SIGN($R606-$S606)*SIGN($V606-$W606))/SQRT((6-(($P606=$Q606)*1+($P606=$R606)*1+($P606=$S606)*1+($Q606=$R606)*1+($Q606=$S606)*1+($R606=$S606)*1))*(6-(($T606=$U606)*1+($T606=$V606)*1+($T606=$W606)*1+($U606=$V606)*1+($U606=$W606)*1+($V606=$W606)*1))),"")</f>
        <v>1</v>
      </c>
      <c r="AI606" s="0" t="n">
        <f aca="false">MATCH(MAX($K606:$O606),$K606:$O606,0)</f>
        <v>5</v>
      </c>
      <c r="AJ606" s="0" t="n">
        <f aca="false">IF(AI606&lt;&gt;$E606,1,0)</f>
        <v>0</v>
      </c>
      <c r="AK606" s="0" t="str">
        <f aca="false">IF(AJ606=1,INDEX($F606:$J606,AI606)/MAX($P606:$S606),"")</f>
        <v/>
      </c>
      <c r="AL606" s="0" t="str">
        <f aca="false">IF(AJ606=1,1+COUNTIF($P606:$S606,"&gt;"&amp;INDEX($F606:$J606,AI606)),"")</f>
        <v/>
      </c>
      <c r="AM606" s="0" t="n">
        <f aca="false">AVERAGE($P606:$S606)/MAX($P606:$S606)</f>
        <v>0.674581005586592</v>
      </c>
      <c r="AN606" s="0" t="n">
        <f aca="false">100-INDEX($F606:$J606,$E606)</f>
        <v>55.3</v>
      </c>
    </row>
    <row r="607" customFormat="false" ht="15" hidden="false" customHeight="false" outlineLevel="0" collapsed="false">
      <c r="A607" s="0" t="s">
        <v>61</v>
      </c>
      <c r="B607" s="0" t="n">
        <v>2021</v>
      </c>
      <c r="C607" s="0" t="s">
        <v>51</v>
      </c>
      <c r="D607" s="0" t="s">
        <v>42</v>
      </c>
      <c r="E607" s="0" t="n">
        <v>1</v>
      </c>
      <c r="F607" s="0" t="n">
        <v>39.3</v>
      </c>
      <c r="G607" s="0" t="n">
        <v>7.9</v>
      </c>
      <c r="H607" s="0" t="n">
        <v>23.3</v>
      </c>
      <c r="I607" s="0" t="n">
        <v>9.7</v>
      </c>
      <c r="J607" s="0" t="n">
        <v>12.3</v>
      </c>
      <c r="K607" s="0" t="n">
        <v>73.6737233184</v>
      </c>
      <c r="L607" s="0" t="n">
        <v>0.086131110961</v>
      </c>
      <c r="M607" s="0" t="n">
        <v>24.2107899991</v>
      </c>
      <c r="N607" s="0" t="n">
        <v>1.47936520644</v>
      </c>
      <c r="O607" s="0" t="n">
        <v>0.549990365023</v>
      </c>
      <c r="P607" s="0" t="n">
        <f aca="false">INDEX($F607:$J607,IF(1&lt;$E607,1,1+1))</f>
        <v>7.9</v>
      </c>
      <c r="Q607" s="0" t="n">
        <f aca="false">INDEX($F607:$J607,IF(2&lt;$E607,2,2+1))</f>
        <v>23.3</v>
      </c>
      <c r="R607" s="0" t="n">
        <f aca="false">INDEX($F607:$J607,IF(3&lt;$E607,3,3+1))</f>
        <v>9.7</v>
      </c>
      <c r="S607" s="0" t="n">
        <f aca="false">INDEX($F607:$J607,IF(4&lt;$E607,4,4+1))</f>
        <v>12.3</v>
      </c>
      <c r="T607" s="0" t="n">
        <f aca="false">INDEX($K607:$O607,IF(1&lt;$E607,1,1+1))</f>
        <v>0.086131110961</v>
      </c>
      <c r="U607" s="0" t="n">
        <f aca="false">INDEX($K607:$O607,IF(2&lt;$E607,2,2+1))</f>
        <v>24.2107899991</v>
      </c>
      <c r="V607" s="0" t="n">
        <f aca="false">INDEX($K607:$O607,IF(3&lt;$E607,3,3+1))</f>
        <v>1.47936520644</v>
      </c>
      <c r="W607" s="0" t="n">
        <f aca="false">INDEX($K607:$O607,IF(4&lt;$E607,4,4+1))</f>
        <v>0.549990365023</v>
      </c>
      <c r="X607" s="0" t="n">
        <f aca="false">1+COUNTIF($P607:$S607,"&gt;"&amp;$P607)+(COUNTIF($P607:$S607,$P607)-1)/2</f>
        <v>4</v>
      </c>
      <c r="Y607" s="0" t="n">
        <f aca="false">1+COUNTIF($P607:$S607,"&gt;"&amp;$Q607)+(COUNTIF($P607:$S607,$Q607)-1)/2</f>
        <v>1</v>
      </c>
      <c r="Z607" s="0" t="n">
        <f aca="false">1+COUNTIF($P607:$S607,"&gt;"&amp;$R607)+(COUNTIF($P607:$S607,$R607)-1)/2</f>
        <v>3</v>
      </c>
      <c r="AA607" s="0" t="n">
        <f aca="false">1+COUNTIF($P607:$S607,"&gt;"&amp;$S607)+(COUNTIF($P607:$S607,$S607)-1)/2</f>
        <v>2</v>
      </c>
      <c r="AB607" s="0" t="n">
        <f aca="false">1+COUNTIF($T607:$W607,"&gt;"&amp;$T607)+(COUNTIF($T607:$W607,$T607)-1)/2</f>
        <v>4</v>
      </c>
      <c r="AC607" s="0" t="n">
        <f aca="false">1+COUNTIF($T607:$W607,"&gt;"&amp;$U607)+(COUNTIF($T607:$W607,$U607)-1)/2</f>
        <v>1</v>
      </c>
      <c r="AD607" s="0" t="n">
        <f aca="false">1+COUNTIF($T607:$W607,"&gt;"&amp;$V607)+(COUNTIF($T607:$W607,$V607)-1)/2</f>
        <v>2</v>
      </c>
      <c r="AE607" s="0" t="n">
        <f aca="false">1+COUNTIF($T607:$W607,"&gt;"&amp;$W607)+(COUNTIF($T607:$W607,$W607)-1)/2</f>
        <v>3</v>
      </c>
      <c r="AF607" s="0" t="n">
        <f aca="false">IFERROR(CORREL($P607:$S607,$T607:$W607),"")</f>
        <v>0.966949183786225</v>
      </c>
      <c r="AG607" s="0" t="n">
        <f aca="false">IFERROR(CORREL($X607:$AA607,$AB607:$AE607),"")</f>
        <v>0.8</v>
      </c>
      <c r="AH607" s="0" t="n">
        <f aca="false">IFERROR((SIGN($P607-$Q607)*SIGN($T607-$U607)+SIGN($P607-$R607)*SIGN($T607-$V607)+SIGN($P607-$S607)*SIGN($T607-$W607)+SIGN($Q607-$R607)*SIGN($U607-$V607)+SIGN($Q607-$S607)*SIGN($U607-$W607)+SIGN($R607-$S607)*SIGN($V607-$W607))/SQRT((6-(($P607=$Q607)*1+($P607=$R607)*1+($P607=$S607)*1+($Q607=$R607)*1+($Q607=$S607)*1+($R607=$S607)*1))*(6-(($T607=$U607)*1+($T607=$V607)*1+($T607=$W607)*1+($U607=$V607)*1+($U607=$W607)*1+($V607=$W607)*1))),"")</f>
        <v>0.666666666666667</v>
      </c>
      <c r="AI607" s="0" t="n">
        <f aca="false">MATCH(MAX($K607:$O607),$K607:$O607,0)</f>
        <v>1</v>
      </c>
      <c r="AJ607" s="0" t="n">
        <f aca="false">IF(AI607&lt;&gt;$E607,1,0)</f>
        <v>0</v>
      </c>
      <c r="AK607" s="0" t="str">
        <f aca="false">IF(AJ607=1,INDEX($F607:$J607,AI607)/MAX($P607:$S607),"")</f>
        <v/>
      </c>
      <c r="AL607" s="0" t="str">
        <f aca="false">IF(AJ607=1,1+COUNTIF($P607:$S607,"&gt;"&amp;INDEX($F607:$J607,AI607)),"")</f>
        <v/>
      </c>
      <c r="AM607" s="0" t="n">
        <f aca="false">AVERAGE($P607:$S607)/MAX($P607:$S607)</f>
        <v>0.570815450643777</v>
      </c>
      <c r="AN607" s="0" t="n">
        <f aca="false">100-INDEX($F607:$J607,$E607)</f>
        <v>60.7</v>
      </c>
    </row>
    <row r="608" customFormat="false" ht="15" hidden="false" customHeight="false" outlineLevel="0" collapsed="false">
      <c r="A608" s="0" t="s">
        <v>61</v>
      </c>
      <c r="B608" s="0" t="n">
        <v>2021</v>
      </c>
      <c r="C608" s="0" t="s">
        <v>51</v>
      </c>
      <c r="D608" s="0" t="s">
        <v>43</v>
      </c>
      <c r="E608" s="0" t="n">
        <v>5</v>
      </c>
      <c r="F608" s="0" t="n">
        <v>15.9</v>
      </c>
      <c r="G608" s="0" t="n">
        <v>16.2</v>
      </c>
      <c r="H608" s="0" t="n">
        <v>9.5</v>
      </c>
      <c r="I608" s="0" t="n">
        <v>10.2</v>
      </c>
      <c r="J608" s="0" t="n">
        <v>40.4</v>
      </c>
      <c r="K608" s="0" t="n">
        <v>6.17372132387</v>
      </c>
      <c r="L608" s="0" t="n">
        <v>22.1056057384</v>
      </c>
      <c r="M608" s="0" t="n">
        <v>6.8715728685</v>
      </c>
      <c r="N608" s="0" t="n">
        <v>7.46654264225</v>
      </c>
      <c r="O608" s="0" t="n">
        <v>57.382557427</v>
      </c>
      <c r="P608" s="0" t="n">
        <f aca="false">INDEX($F608:$J608,IF(1&lt;$E608,1,1+1))</f>
        <v>15.9</v>
      </c>
      <c r="Q608" s="0" t="n">
        <f aca="false">INDEX($F608:$J608,IF(2&lt;$E608,2,2+1))</f>
        <v>16.2</v>
      </c>
      <c r="R608" s="0" t="n">
        <f aca="false">INDEX($F608:$J608,IF(3&lt;$E608,3,3+1))</f>
        <v>9.5</v>
      </c>
      <c r="S608" s="0" t="n">
        <f aca="false">INDEX($F608:$J608,IF(4&lt;$E608,4,4+1))</f>
        <v>10.2</v>
      </c>
      <c r="T608" s="0" t="n">
        <f aca="false">INDEX($K608:$O608,IF(1&lt;$E608,1,1+1))</f>
        <v>6.17372132387</v>
      </c>
      <c r="U608" s="0" t="n">
        <f aca="false">INDEX($K608:$O608,IF(2&lt;$E608,2,2+1))</f>
        <v>22.1056057384</v>
      </c>
      <c r="V608" s="0" t="n">
        <f aca="false">INDEX($K608:$O608,IF(3&lt;$E608,3,3+1))</f>
        <v>6.8715728685</v>
      </c>
      <c r="W608" s="0" t="n">
        <f aca="false">INDEX($K608:$O608,IF(4&lt;$E608,4,4+1))</f>
        <v>7.46654264225</v>
      </c>
      <c r="X608" s="0" t="n">
        <f aca="false">1+COUNTIF($P608:$S608,"&gt;"&amp;$P608)+(COUNTIF($P608:$S608,$P608)-1)/2</f>
        <v>2</v>
      </c>
      <c r="Y608" s="0" t="n">
        <f aca="false">1+COUNTIF($P608:$S608,"&gt;"&amp;$Q608)+(COUNTIF($P608:$S608,$Q608)-1)/2</f>
        <v>1</v>
      </c>
      <c r="Z608" s="0" t="n">
        <f aca="false">1+COUNTIF($P608:$S608,"&gt;"&amp;$R608)+(COUNTIF($P608:$S608,$R608)-1)/2</f>
        <v>4</v>
      </c>
      <c r="AA608" s="0" t="n">
        <f aca="false">1+COUNTIF($P608:$S608,"&gt;"&amp;$S608)+(COUNTIF($P608:$S608,$S608)-1)/2</f>
        <v>3</v>
      </c>
      <c r="AB608" s="0" t="n">
        <f aca="false">1+COUNTIF($T608:$W608,"&gt;"&amp;$T608)+(COUNTIF($T608:$W608,$T608)-1)/2</f>
        <v>4</v>
      </c>
      <c r="AC608" s="0" t="n">
        <f aca="false">1+COUNTIF($T608:$W608,"&gt;"&amp;$U608)+(COUNTIF($T608:$W608,$U608)-1)/2</f>
        <v>1</v>
      </c>
      <c r="AD608" s="0" t="n">
        <f aca="false">1+COUNTIF($T608:$W608,"&gt;"&amp;$V608)+(COUNTIF($T608:$W608,$V608)-1)/2</f>
        <v>3</v>
      </c>
      <c r="AE608" s="0" t="n">
        <f aca="false">1+COUNTIF($T608:$W608,"&gt;"&amp;$W608)+(COUNTIF($T608:$W608,$W608)-1)/2</f>
        <v>2</v>
      </c>
      <c r="AF608" s="0" t="n">
        <f aca="false">IFERROR(CORREL($P608:$S608,$T608:$W608),"")</f>
        <v>0.555432932087543</v>
      </c>
      <c r="AG608" s="0" t="n">
        <f aca="false">IFERROR(CORREL($X608:$AA608,$AB608:$AE608),"")</f>
        <v>0.4</v>
      </c>
      <c r="AH608" s="0" t="n">
        <f aca="false">IFERROR((SIGN($P608-$Q608)*SIGN($T608-$U608)+SIGN($P608-$R608)*SIGN($T608-$V608)+SIGN($P608-$S608)*SIGN($T608-$W608)+SIGN($Q608-$R608)*SIGN($U608-$V608)+SIGN($Q608-$S608)*SIGN($U608-$W608)+SIGN($R608-$S608)*SIGN($V608-$W608))/SQRT((6-(($P608=$Q608)*1+($P608=$R608)*1+($P608=$S608)*1+($Q608=$R608)*1+($Q608=$S608)*1+($R608=$S608)*1))*(6-(($T608=$U608)*1+($T608=$V608)*1+($T608=$W608)*1+($U608=$V608)*1+($U608=$W608)*1+($V608=$W608)*1))),"")</f>
        <v>0.333333333333333</v>
      </c>
      <c r="AI608" s="0" t="n">
        <f aca="false">MATCH(MAX($K608:$O608),$K608:$O608,0)</f>
        <v>5</v>
      </c>
      <c r="AJ608" s="0" t="n">
        <f aca="false">IF(AI608&lt;&gt;$E608,1,0)</f>
        <v>0</v>
      </c>
      <c r="AK608" s="0" t="str">
        <f aca="false">IF(AJ608=1,INDEX($F608:$J608,AI608)/MAX($P608:$S608),"")</f>
        <v/>
      </c>
      <c r="AL608" s="0" t="str">
        <f aca="false">IF(AJ608=1,1+COUNTIF($P608:$S608,"&gt;"&amp;INDEX($F608:$J608,AI608)),"")</f>
        <v/>
      </c>
      <c r="AM608" s="0" t="n">
        <f aca="false">AVERAGE($P608:$S608)/MAX($P608:$S608)</f>
        <v>0.799382716049383</v>
      </c>
      <c r="AN608" s="0" t="n">
        <f aca="false">100-INDEX($F608:$J608,$E608)</f>
        <v>59.6</v>
      </c>
    </row>
    <row r="609" customFormat="false" ht="15" hidden="false" customHeight="false" outlineLevel="0" collapsed="false">
      <c r="A609" s="0" t="s">
        <v>61</v>
      </c>
      <c r="B609" s="0" t="n">
        <v>2021</v>
      </c>
      <c r="C609" s="0" t="s">
        <v>51</v>
      </c>
      <c r="D609" s="0" t="s">
        <v>44</v>
      </c>
      <c r="E609" s="0" t="n">
        <v>1</v>
      </c>
      <c r="F609" s="0" t="n">
        <v>37.7</v>
      </c>
      <c r="G609" s="0" t="n">
        <v>12.3</v>
      </c>
      <c r="H609" s="0" t="n">
        <v>21.3</v>
      </c>
      <c r="I609" s="0" t="n">
        <v>13.7</v>
      </c>
      <c r="J609" s="0" t="n">
        <v>6.9</v>
      </c>
      <c r="K609" s="0" t="n">
        <v>66.8189002383</v>
      </c>
      <c r="L609" s="0" t="n">
        <v>11.259605163</v>
      </c>
      <c r="M609" s="0" t="n">
        <v>7.21342452879</v>
      </c>
      <c r="N609" s="0" t="n">
        <v>5.72701877333</v>
      </c>
      <c r="O609" s="0" t="n">
        <v>8.98105129655</v>
      </c>
      <c r="P609" s="0" t="n">
        <f aca="false">INDEX($F609:$J609,IF(1&lt;$E609,1,1+1))</f>
        <v>12.3</v>
      </c>
      <c r="Q609" s="0" t="n">
        <f aca="false">INDEX($F609:$J609,IF(2&lt;$E609,2,2+1))</f>
        <v>21.3</v>
      </c>
      <c r="R609" s="0" t="n">
        <f aca="false">INDEX($F609:$J609,IF(3&lt;$E609,3,3+1))</f>
        <v>13.7</v>
      </c>
      <c r="S609" s="0" t="n">
        <f aca="false">INDEX($F609:$J609,IF(4&lt;$E609,4,4+1))</f>
        <v>6.9</v>
      </c>
      <c r="T609" s="0" t="n">
        <f aca="false">INDEX($K609:$O609,IF(1&lt;$E609,1,1+1))</f>
        <v>11.259605163</v>
      </c>
      <c r="U609" s="0" t="n">
        <f aca="false">INDEX($K609:$O609,IF(2&lt;$E609,2,2+1))</f>
        <v>7.21342452879</v>
      </c>
      <c r="V609" s="0" t="n">
        <f aca="false">INDEX($K609:$O609,IF(3&lt;$E609,3,3+1))</f>
        <v>5.72701877333</v>
      </c>
      <c r="W609" s="0" t="n">
        <f aca="false">INDEX($K609:$O609,IF(4&lt;$E609,4,4+1))</f>
        <v>8.98105129655</v>
      </c>
      <c r="X609" s="0" t="n">
        <f aca="false">1+COUNTIF($P609:$S609,"&gt;"&amp;$P609)+(COUNTIF($P609:$S609,$P609)-1)/2</f>
        <v>3</v>
      </c>
      <c r="Y609" s="0" t="n">
        <f aca="false">1+COUNTIF($P609:$S609,"&gt;"&amp;$Q609)+(COUNTIF($P609:$S609,$Q609)-1)/2</f>
        <v>1</v>
      </c>
      <c r="Z609" s="0" t="n">
        <f aca="false">1+COUNTIF($P609:$S609,"&gt;"&amp;$R609)+(COUNTIF($P609:$S609,$R609)-1)/2</f>
        <v>2</v>
      </c>
      <c r="AA609" s="0" t="n">
        <f aca="false">1+COUNTIF($P609:$S609,"&gt;"&amp;$S609)+(COUNTIF($P609:$S609,$S609)-1)/2</f>
        <v>4</v>
      </c>
      <c r="AB609" s="0" t="n">
        <f aca="false">1+COUNTIF($T609:$W609,"&gt;"&amp;$T609)+(COUNTIF($T609:$W609,$T609)-1)/2</f>
        <v>1</v>
      </c>
      <c r="AC609" s="0" t="n">
        <f aca="false">1+COUNTIF($T609:$W609,"&gt;"&amp;$U609)+(COUNTIF($T609:$W609,$U609)-1)/2</f>
        <v>3</v>
      </c>
      <c r="AD609" s="0" t="n">
        <f aca="false">1+COUNTIF($T609:$W609,"&gt;"&amp;$V609)+(COUNTIF($T609:$W609,$V609)-1)/2</f>
        <v>4</v>
      </c>
      <c r="AE609" s="0" t="n">
        <f aca="false">1+COUNTIF($T609:$W609,"&gt;"&amp;$W609)+(COUNTIF($T609:$W609,$W609)-1)/2</f>
        <v>2</v>
      </c>
      <c r="AF609" s="0" t="n">
        <f aca="false">IFERROR(CORREL($P609:$S609,$T609:$W609),"")</f>
        <v>-0.401269994250137</v>
      </c>
      <c r="AG609" s="0" t="n">
        <f aca="false">IFERROR(CORREL($X609:$AA609,$AB609:$AE609),"")</f>
        <v>-0.6</v>
      </c>
      <c r="AH609" s="0" t="n">
        <f aca="false">IFERROR((SIGN($P609-$Q609)*SIGN($T609-$U609)+SIGN($P609-$R609)*SIGN($T609-$V609)+SIGN($P609-$S609)*SIGN($T609-$W609)+SIGN($Q609-$R609)*SIGN($U609-$V609)+SIGN($Q609-$S609)*SIGN($U609-$W609)+SIGN($R609-$S609)*SIGN($V609-$W609))/SQRT((6-(($P609=$Q609)*1+($P609=$R609)*1+($P609=$S609)*1+($Q609=$R609)*1+($Q609=$S609)*1+($R609=$S609)*1))*(6-(($T609=$U609)*1+($T609=$V609)*1+($T609=$W609)*1+($U609=$V609)*1+($U609=$W609)*1+($V609=$W609)*1))),"")</f>
        <v>-0.333333333333333</v>
      </c>
      <c r="AI609" s="0" t="n">
        <f aca="false">MATCH(MAX($K609:$O609),$K609:$O609,0)</f>
        <v>1</v>
      </c>
      <c r="AJ609" s="0" t="n">
        <f aca="false">IF(AI609&lt;&gt;$E609,1,0)</f>
        <v>0</v>
      </c>
      <c r="AK609" s="0" t="str">
        <f aca="false">IF(AJ609=1,INDEX($F609:$J609,AI609)/MAX($P609:$S609),"")</f>
        <v/>
      </c>
      <c r="AL609" s="0" t="str">
        <f aca="false">IF(AJ609=1,1+COUNTIF($P609:$S609,"&gt;"&amp;INDEX($F609:$J609,AI609)),"")</f>
        <v/>
      </c>
      <c r="AM609" s="0" t="n">
        <f aca="false">AVERAGE($P609:$S609)/MAX($P609:$S609)</f>
        <v>0.636150234741784</v>
      </c>
      <c r="AN609" s="0" t="n">
        <f aca="false">100-INDEX($F609:$J609,$E609)</f>
        <v>62.3</v>
      </c>
    </row>
    <row r="610" customFormat="false" ht="15" hidden="false" customHeight="false" outlineLevel="0" collapsed="false">
      <c r="A610" s="0" t="s">
        <v>61</v>
      </c>
      <c r="B610" s="0" t="n">
        <v>2021</v>
      </c>
      <c r="C610" s="0" t="s">
        <v>51</v>
      </c>
      <c r="D610" s="0" t="s">
        <v>45</v>
      </c>
      <c r="E610" s="0" t="n">
        <v>4</v>
      </c>
      <c r="F610" s="0" t="n">
        <v>9.7</v>
      </c>
      <c r="G610" s="0" t="n">
        <v>11.8</v>
      </c>
      <c r="H610" s="0" t="n">
        <v>14.2</v>
      </c>
      <c r="I610" s="0" t="n">
        <v>43.8</v>
      </c>
      <c r="J610" s="0" t="n">
        <v>12.2</v>
      </c>
      <c r="K610" s="0" t="n">
        <v>2.15874639602</v>
      </c>
      <c r="L610" s="0" t="n">
        <v>24.2496794079</v>
      </c>
      <c r="M610" s="0" t="n">
        <v>10.1309233812</v>
      </c>
      <c r="N610" s="0" t="n">
        <v>35.4986872482</v>
      </c>
      <c r="O610" s="0" t="n">
        <v>27.9619635667</v>
      </c>
      <c r="P610" s="0" t="n">
        <f aca="false">INDEX($F610:$J610,IF(1&lt;$E610,1,1+1))</f>
        <v>9.7</v>
      </c>
      <c r="Q610" s="0" t="n">
        <f aca="false">INDEX($F610:$J610,IF(2&lt;$E610,2,2+1))</f>
        <v>11.8</v>
      </c>
      <c r="R610" s="0" t="n">
        <f aca="false">INDEX($F610:$J610,IF(3&lt;$E610,3,3+1))</f>
        <v>14.2</v>
      </c>
      <c r="S610" s="0" t="n">
        <f aca="false">INDEX($F610:$J610,IF(4&lt;$E610,4,4+1))</f>
        <v>12.2</v>
      </c>
      <c r="T610" s="0" t="n">
        <f aca="false">INDEX($K610:$O610,IF(1&lt;$E610,1,1+1))</f>
        <v>2.15874639602</v>
      </c>
      <c r="U610" s="0" t="n">
        <f aca="false">INDEX($K610:$O610,IF(2&lt;$E610,2,2+1))</f>
        <v>24.2496794079</v>
      </c>
      <c r="V610" s="0" t="n">
        <f aca="false">INDEX($K610:$O610,IF(3&lt;$E610,3,3+1))</f>
        <v>10.1309233812</v>
      </c>
      <c r="W610" s="0" t="n">
        <f aca="false">INDEX($K610:$O610,IF(4&lt;$E610,4,4+1))</f>
        <v>27.9619635667</v>
      </c>
      <c r="X610" s="0" t="n">
        <f aca="false">1+COUNTIF($P610:$S610,"&gt;"&amp;$P610)+(COUNTIF($P610:$S610,$P610)-1)/2</f>
        <v>4</v>
      </c>
      <c r="Y610" s="0" t="n">
        <f aca="false">1+COUNTIF($P610:$S610,"&gt;"&amp;$Q610)+(COUNTIF($P610:$S610,$Q610)-1)/2</f>
        <v>3</v>
      </c>
      <c r="Z610" s="0" t="n">
        <f aca="false">1+COUNTIF($P610:$S610,"&gt;"&amp;$R610)+(COUNTIF($P610:$S610,$R610)-1)/2</f>
        <v>1</v>
      </c>
      <c r="AA610" s="0" t="n">
        <f aca="false">1+COUNTIF($P610:$S610,"&gt;"&amp;$S610)+(COUNTIF($P610:$S610,$S610)-1)/2</f>
        <v>2</v>
      </c>
      <c r="AB610" s="0" t="n">
        <f aca="false">1+COUNTIF($T610:$W610,"&gt;"&amp;$T610)+(COUNTIF($T610:$W610,$T610)-1)/2</f>
        <v>4</v>
      </c>
      <c r="AC610" s="0" t="n">
        <f aca="false">1+COUNTIF($T610:$W610,"&gt;"&amp;$U610)+(COUNTIF($T610:$W610,$U610)-1)/2</f>
        <v>2</v>
      </c>
      <c r="AD610" s="0" t="n">
        <f aca="false">1+COUNTIF($T610:$W610,"&gt;"&amp;$V610)+(COUNTIF($T610:$W610,$V610)-1)/2</f>
        <v>3</v>
      </c>
      <c r="AE610" s="0" t="n">
        <f aca="false">1+COUNTIF($T610:$W610,"&gt;"&amp;$W610)+(COUNTIF($T610:$W610,$W610)-1)/2</f>
        <v>1</v>
      </c>
      <c r="AF610" s="0" t="n">
        <f aca="false">IFERROR(CORREL($P610:$S610,$T610:$W610),"")</f>
        <v>0.294594151305618</v>
      </c>
      <c r="AG610" s="0" t="n">
        <f aca="false">IFERROR(CORREL($X610:$AA610,$AB610:$AE610),"")</f>
        <v>0.4</v>
      </c>
      <c r="AH610" s="0" t="n">
        <f aca="false">IFERROR((SIGN($P610-$Q610)*SIGN($T610-$U610)+SIGN($P610-$R610)*SIGN($T610-$V610)+SIGN($P610-$S610)*SIGN($T610-$W610)+SIGN($Q610-$R610)*SIGN($U610-$V610)+SIGN($Q610-$S610)*SIGN($U610-$W610)+SIGN($R610-$S610)*SIGN($V610-$W610))/SQRT((6-(($P610=$Q610)*1+($P610=$R610)*1+($P610=$S610)*1+($Q610=$R610)*1+($Q610=$S610)*1+($R610=$S610)*1))*(6-(($T610=$U610)*1+($T610=$V610)*1+($T610=$W610)*1+($U610=$V610)*1+($U610=$W610)*1+($V610=$W610)*1))),"")</f>
        <v>0.333333333333333</v>
      </c>
      <c r="AI610" s="0" t="n">
        <f aca="false">MATCH(MAX($K610:$O610),$K610:$O610,0)</f>
        <v>4</v>
      </c>
      <c r="AJ610" s="0" t="n">
        <f aca="false">IF(AI610&lt;&gt;$E610,1,0)</f>
        <v>0</v>
      </c>
      <c r="AK610" s="0" t="str">
        <f aca="false">IF(AJ610=1,INDEX($F610:$J610,AI610)/MAX($P610:$S610),"")</f>
        <v/>
      </c>
      <c r="AL610" s="0" t="str">
        <f aca="false">IF(AJ610=1,1+COUNTIF($P610:$S610,"&gt;"&amp;INDEX($F610:$J610,AI610)),"")</f>
        <v/>
      </c>
      <c r="AM610" s="0" t="n">
        <f aca="false">AVERAGE($P610:$S610)/MAX($P610:$S610)</f>
        <v>0.84330985915493</v>
      </c>
      <c r="AN610" s="0" t="n">
        <f aca="false">100-INDEX($F610:$J610,$E610)</f>
        <v>56.2</v>
      </c>
    </row>
    <row r="611" customFormat="false" ht="15" hidden="false" customHeight="false" outlineLevel="0" collapsed="false">
      <c r="A611" s="0" t="s">
        <v>61</v>
      </c>
      <c r="B611" s="0" t="n">
        <v>2021</v>
      </c>
      <c r="C611" s="0" t="s">
        <v>46</v>
      </c>
      <c r="D611" s="0" t="s">
        <v>42</v>
      </c>
      <c r="E611" s="0" t="n">
        <v>5</v>
      </c>
      <c r="F611" s="0" t="n">
        <v>4.2</v>
      </c>
      <c r="G611" s="0" t="n">
        <v>25.4</v>
      </c>
      <c r="H611" s="0" t="n">
        <v>7.2</v>
      </c>
      <c r="I611" s="0" t="n">
        <v>5.6</v>
      </c>
      <c r="J611" s="0" t="n">
        <v>41.1</v>
      </c>
      <c r="K611" s="0" t="n">
        <v>0.00376666499823</v>
      </c>
      <c r="L611" s="0" t="n">
        <v>1.08711415588</v>
      </c>
      <c r="M611" s="0" t="n">
        <v>0.089703211271</v>
      </c>
      <c r="N611" s="0" t="n">
        <v>0.629467345471</v>
      </c>
      <c r="O611" s="0" t="n">
        <v>98.1899486224</v>
      </c>
      <c r="P611" s="0" t="n">
        <f aca="false">INDEX($F611:$J611,IF(1&lt;$E611,1,1+1))</f>
        <v>4.2</v>
      </c>
      <c r="Q611" s="0" t="n">
        <f aca="false">INDEX($F611:$J611,IF(2&lt;$E611,2,2+1))</f>
        <v>25.4</v>
      </c>
      <c r="R611" s="0" t="n">
        <f aca="false">INDEX($F611:$J611,IF(3&lt;$E611,3,3+1))</f>
        <v>7.2</v>
      </c>
      <c r="S611" s="0" t="n">
        <f aca="false">INDEX($F611:$J611,IF(4&lt;$E611,4,4+1))</f>
        <v>5.6</v>
      </c>
      <c r="T611" s="0" t="n">
        <f aca="false">INDEX($K611:$O611,IF(1&lt;$E611,1,1+1))</f>
        <v>0.00376666499823</v>
      </c>
      <c r="U611" s="0" t="n">
        <f aca="false">INDEX($K611:$O611,IF(2&lt;$E611,2,2+1))</f>
        <v>1.08711415588</v>
      </c>
      <c r="V611" s="0" t="n">
        <f aca="false">INDEX($K611:$O611,IF(3&lt;$E611,3,3+1))</f>
        <v>0.089703211271</v>
      </c>
      <c r="W611" s="0" t="n">
        <f aca="false">INDEX($K611:$O611,IF(4&lt;$E611,4,4+1))</f>
        <v>0.629467345471</v>
      </c>
      <c r="X611" s="0" t="n">
        <f aca="false">1+COUNTIF($P611:$S611,"&gt;"&amp;$P611)+(COUNTIF($P611:$S611,$P611)-1)/2</f>
        <v>4</v>
      </c>
      <c r="Y611" s="0" t="n">
        <f aca="false">1+COUNTIF($P611:$S611,"&gt;"&amp;$Q611)+(COUNTIF($P611:$S611,$Q611)-1)/2</f>
        <v>1</v>
      </c>
      <c r="Z611" s="0" t="n">
        <f aca="false">1+COUNTIF($P611:$S611,"&gt;"&amp;$R611)+(COUNTIF($P611:$S611,$R611)-1)/2</f>
        <v>2</v>
      </c>
      <c r="AA611" s="0" t="n">
        <f aca="false">1+COUNTIF($P611:$S611,"&gt;"&amp;$S611)+(COUNTIF($P611:$S611,$S611)-1)/2</f>
        <v>3</v>
      </c>
      <c r="AB611" s="0" t="n">
        <f aca="false">1+COUNTIF($T611:$W611,"&gt;"&amp;$T611)+(COUNTIF($T611:$W611,$T611)-1)/2</f>
        <v>4</v>
      </c>
      <c r="AC611" s="0" t="n">
        <f aca="false">1+COUNTIF($T611:$W611,"&gt;"&amp;$U611)+(COUNTIF($T611:$W611,$U611)-1)/2</f>
        <v>1</v>
      </c>
      <c r="AD611" s="0" t="n">
        <f aca="false">1+COUNTIF($T611:$W611,"&gt;"&amp;$V611)+(COUNTIF($T611:$W611,$V611)-1)/2</f>
        <v>3</v>
      </c>
      <c r="AE611" s="0" t="n">
        <f aca="false">1+COUNTIF($T611:$W611,"&gt;"&amp;$W611)+(COUNTIF($T611:$W611,$W611)-1)/2</f>
        <v>2</v>
      </c>
      <c r="AF611" s="0" t="n">
        <f aca="false">IFERROR(CORREL($P611:$S611,$T611:$W611),"")</f>
        <v>0.836275434130371</v>
      </c>
      <c r="AG611" s="0" t="n">
        <f aca="false">IFERROR(CORREL($X611:$AA611,$AB611:$AE611),"")</f>
        <v>0.8</v>
      </c>
      <c r="AH611" s="0" t="n">
        <f aca="false">IFERROR((SIGN($P611-$Q611)*SIGN($T611-$U611)+SIGN($P611-$R611)*SIGN($T611-$V611)+SIGN($P611-$S611)*SIGN($T611-$W611)+SIGN($Q611-$R611)*SIGN($U611-$V611)+SIGN($Q611-$S611)*SIGN($U611-$W611)+SIGN($R611-$S611)*SIGN($V611-$W611))/SQRT((6-(($P611=$Q611)*1+($P611=$R611)*1+($P611=$S611)*1+($Q611=$R611)*1+($Q611=$S611)*1+($R611=$S611)*1))*(6-(($T611=$U611)*1+($T611=$V611)*1+($T611=$W611)*1+($U611=$V611)*1+($U611=$W611)*1+($V611=$W611)*1))),"")</f>
        <v>0.666666666666667</v>
      </c>
      <c r="AI611" s="0" t="n">
        <f aca="false">MATCH(MAX($K611:$O611),$K611:$O611,0)</f>
        <v>5</v>
      </c>
      <c r="AJ611" s="0" t="n">
        <f aca="false">IF(AI611&lt;&gt;$E611,1,0)</f>
        <v>0</v>
      </c>
      <c r="AK611" s="0" t="str">
        <f aca="false">IF(AJ611=1,INDEX($F611:$J611,AI611)/MAX($P611:$S611),"")</f>
        <v/>
      </c>
      <c r="AL611" s="0" t="str">
        <f aca="false">IF(AJ611=1,1+COUNTIF($P611:$S611,"&gt;"&amp;INDEX($F611:$J611,AI611)),"")</f>
        <v/>
      </c>
      <c r="AM611" s="0" t="n">
        <f aca="false">AVERAGE($P611:$S611)/MAX($P611:$S611)</f>
        <v>0.417322834645669</v>
      </c>
      <c r="AN611" s="0" t="n">
        <f aca="false">100-INDEX($F611:$J611,$E611)</f>
        <v>58.9</v>
      </c>
    </row>
    <row r="612" customFormat="false" ht="15" hidden="false" customHeight="false" outlineLevel="0" collapsed="false">
      <c r="A612" s="0" t="s">
        <v>61</v>
      </c>
      <c r="B612" s="0" t="n">
        <v>2021</v>
      </c>
      <c r="C612" s="0" t="s">
        <v>46</v>
      </c>
      <c r="D612" s="0" t="s">
        <v>44</v>
      </c>
      <c r="E612" s="0" t="n">
        <v>1</v>
      </c>
      <c r="F612" s="0" t="n">
        <v>49.2</v>
      </c>
      <c r="G612" s="0" t="n">
        <v>8.7</v>
      </c>
      <c r="H612" s="0" t="n">
        <v>7.6</v>
      </c>
      <c r="I612" s="0" t="n">
        <v>10.3</v>
      </c>
      <c r="J612" s="0" t="n">
        <v>7</v>
      </c>
      <c r="K612" s="0" t="n">
        <v>11.3893169463</v>
      </c>
      <c r="L612" s="0" t="n">
        <v>5.97073823935</v>
      </c>
      <c r="M612" s="0" t="n">
        <v>34.0435438674</v>
      </c>
      <c r="N612" s="0" t="n">
        <v>17.9698856279</v>
      </c>
      <c r="O612" s="0" t="n">
        <v>30.626515319</v>
      </c>
      <c r="P612" s="0" t="n">
        <f aca="false">INDEX($F612:$J612,IF(1&lt;$E612,1,1+1))</f>
        <v>8.7</v>
      </c>
      <c r="Q612" s="0" t="n">
        <f aca="false">INDEX($F612:$J612,IF(2&lt;$E612,2,2+1))</f>
        <v>7.6</v>
      </c>
      <c r="R612" s="0" t="n">
        <f aca="false">INDEX($F612:$J612,IF(3&lt;$E612,3,3+1))</f>
        <v>10.3</v>
      </c>
      <c r="S612" s="0" t="n">
        <f aca="false">INDEX($F612:$J612,IF(4&lt;$E612,4,4+1))</f>
        <v>7</v>
      </c>
      <c r="T612" s="0" t="n">
        <f aca="false">INDEX($K612:$O612,IF(1&lt;$E612,1,1+1))</f>
        <v>5.97073823935</v>
      </c>
      <c r="U612" s="0" t="n">
        <f aca="false">INDEX($K612:$O612,IF(2&lt;$E612,2,2+1))</f>
        <v>34.0435438674</v>
      </c>
      <c r="V612" s="0" t="n">
        <f aca="false">INDEX($K612:$O612,IF(3&lt;$E612,3,3+1))</f>
        <v>17.9698856279</v>
      </c>
      <c r="W612" s="0" t="n">
        <f aca="false">INDEX($K612:$O612,IF(4&lt;$E612,4,4+1))</f>
        <v>30.626515319</v>
      </c>
      <c r="X612" s="0" t="n">
        <f aca="false">1+COUNTIF($P612:$S612,"&gt;"&amp;$P612)+(COUNTIF($P612:$S612,$P612)-1)/2</f>
        <v>2</v>
      </c>
      <c r="Y612" s="0" t="n">
        <f aca="false">1+COUNTIF($P612:$S612,"&gt;"&amp;$Q612)+(COUNTIF($P612:$S612,$Q612)-1)/2</f>
        <v>3</v>
      </c>
      <c r="Z612" s="0" t="n">
        <f aca="false">1+COUNTIF($P612:$S612,"&gt;"&amp;$R612)+(COUNTIF($P612:$S612,$R612)-1)/2</f>
        <v>1</v>
      </c>
      <c r="AA612" s="0" t="n">
        <f aca="false">1+COUNTIF($P612:$S612,"&gt;"&amp;$S612)+(COUNTIF($P612:$S612,$S612)-1)/2</f>
        <v>4</v>
      </c>
      <c r="AB612" s="0" t="n">
        <f aca="false">1+COUNTIF($T612:$W612,"&gt;"&amp;$T612)+(COUNTIF($T612:$W612,$T612)-1)/2</f>
        <v>4</v>
      </c>
      <c r="AC612" s="0" t="n">
        <f aca="false">1+COUNTIF($T612:$W612,"&gt;"&amp;$U612)+(COUNTIF($T612:$W612,$U612)-1)/2</f>
        <v>1</v>
      </c>
      <c r="AD612" s="0" t="n">
        <f aca="false">1+COUNTIF($T612:$W612,"&gt;"&amp;$V612)+(COUNTIF($T612:$W612,$V612)-1)/2</f>
        <v>3</v>
      </c>
      <c r="AE612" s="0" t="n">
        <f aca="false">1+COUNTIF($T612:$W612,"&gt;"&amp;$W612)+(COUNTIF($T612:$W612,$W612)-1)/2</f>
        <v>2</v>
      </c>
      <c r="AF612" s="0" t="n">
        <f aca="false">IFERROR(CORREL($P612:$S612,$T612:$W612),"")</f>
        <v>-0.613551197709333</v>
      </c>
      <c r="AG612" s="0" t="n">
        <f aca="false">IFERROR(CORREL($X612:$AA612,$AB612:$AE612),"")</f>
        <v>-0.6</v>
      </c>
      <c r="AH612" s="0" t="n">
        <f aca="false">IFERROR((SIGN($P612-$Q612)*SIGN($T612-$U612)+SIGN($P612-$R612)*SIGN($T612-$V612)+SIGN($P612-$S612)*SIGN($T612-$W612)+SIGN($Q612-$R612)*SIGN($U612-$V612)+SIGN($Q612-$S612)*SIGN($U612-$W612)+SIGN($R612-$S612)*SIGN($V612-$W612))/SQRT((6-(($P612=$Q612)*1+($P612=$R612)*1+($P612=$S612)*1+($Q612=$R612)*1+($Q612=$S612)*1+($R612=$S612)*1))*(6-(($T612=$U612)*1+($T612=$V612)*1+($T612=$W612)*1+($U612=$V612)*1+($U612=$W612)*1+($V612=$W612)*1))),"")</f>
        <v>-0.333333333333333</v>
      </c>
      <c r="AI612" s="0" t="n">
        <f aca="false">MATCH(MAX($K612:$O612),$K612:$O612,0)</f>
        <v>3</v>
      </c>
      <c r="AJ612" s="0" t="n">
        <f aca="false">IF(AI612&lt;&gt;$E612,1,0)</f>
        <v>1</v>
      </c>
      <c r="AK612" s="0" t="n">
        <f aca="false">IF(AJ612=1,INDEX($F612:$J612,AI612)/MAX($P612:$S612),"")</f>
        <v>0.737864077669903</v>
      </c>
      <c r="AL612" s="0" t="n">
        <f aca="false">IF(AJ612=1,1+COUNTIF($P612:$S612,"&gt;"&amp;INDEX($F612:$J612,AI612)),"")</f>
        <v>3</v>
      </c>
      <c r="AM612" s="0" t="n">
        <f aca="false">AVERAGE($P612:$S612)/MAX($P612:$S612)</f>
        <v>0.815533980582524</v>
      </c>
      <c r="AN612" s="0" t="n">
        <f aca="false">100-INDEX($F612:$J612,$E612)</f>
        <v>50.8</v>
      </c>
    </row>
    <row r="613" customFormat="false" ht="15" hidden="false" customHeight="false" outlineLevel="0" collapsed="false">
      <c r="A613" s="0" t="s">
        <v>61</v>
      </c>
      <c r="B613" s="0" t="n">
        <v>2021</v>
      </c>
      <c r="C613" s="0" t="s">
        <v>46</v>
      </c>
      <c r="D613" s="0" t="s">
        <v>45</v>
      </c>
      <c r="E613" s="0" t="n">
        <v>5</v>
      </c>
      <c r="F613" s="0" t="n">
        <v>19</v>
      </c>
      <c r="G613" s="0" t="n">
        <v>9.7</v>
      </c>
      <c r="H613" s="0" t="n">
        <v>14.8</v>
      </c>
      <c r="I613" s="0" t="n">
        <v>9.1</v>
      </c>
      <c r="J613" s="0" t="n">
        <v>29.7</v>
      </c>
      <c r="K613" s="0" t="n">
        <v>12.9646790882</v>
      </c>
      <c r="L613" s="0" t="n">
        <v>7.4555489973</v>
      </c>
      <c r="M613" s="0" t="n">
        <v>3.08103397402</v>
      </c>
      <c r="N613" s="0" t="n">
        <v>11.1125236999</v>
      </c>
      <c r="O613" s="0" t="n">
        <v>65.3862142407</v>
      </c>
      <c r="P613" s="0" t="n">
        <f aca="false">INDEX($F613:$J613,IF(1&lt;$E613,1,1+1))</f>
        <v>19</v>
      </c>
      <c r="Q613" s="0" t="n">
        <f aca="false">INDEX($F613:$J613,IF(2&lt;$E613,2,2+1))</f>
        <v>9.7</v>
      </c>
      <c r="R613" s="0" t="n">
        <f aca="false">INDEX($F613:$J613,IF(3&lt;$E613,3,3+1))</f>
        <v>14.8</v>
      </c>
      <c r="S613" s="0" t="n">
        <f aca="false">INDEX($F613:$J613,IF(4&lt;$E613,4,4+1))</f>
        <v>9.1</v>
      </c>
      <c r="T613" s="0" t="n">
        <f aca="false">INDEX($K613:$O613,IF(1&lt;$E613,1,1+1))</f>
        <v>12.9646790882</v>
      </c>
      <c r="U613" s="0" t="n">
        <f aca="false">INDEX($K613:$O613,IF(2&lt;$E613,2,2+1))</f>
        <v>7.4555489973</v>
      </c>
      <c r="V613" s="0" t="n">
        <f aca="false">INDEX($K613:$O613,IF(3&lt;$E613,3,3+1))</f>
        <v>3.08103397402</v>
      </c>
      <c r="W613" s="0" t="n">
        <f aca="false">INDEX($K613:$O613,IF(4&lt;$E613,4,4+1))</f>
        <v>11.1125236999</v>
      </c>
      <c r="X613" s="0" t="n">
        <f aca="false">1+COUNTIF($P613:$S613,"&gt;"&amp;$P613)+(COUNTIF($P613:$S613,$P613)-1)/2</f>
        <v>1</v>
      </c>
      <c r="Y613" s="0" t="n">
        <f aca="false">1+COUNTIF($P613:$S613,"&gt;"&amp;$Q613)+(COUNTIF($P613:$S613,$Q613)-1)/2</f>
        <v>3</v>
      </c>
      <c r="Z613" s="0" t="n">
        <f aca="false">1+COUNTIF($P613:$S613,"&gt;"&amp;$R613)+(COUNTIF($P613:$S613,$R613)-1)/2</f>
        <v>2</v>
      </c>
      <c r="AA613" s="0" t="n">
        <f aca="false">1+COUNTIF($P613:$S613,"&gt;"&amp;$S613)+(COUNTIF($P613:$S613,$S613)-1)/2</f>
        <v>4</v>
      </c>
      <c r="AB613" s="0" t="n">
        <f aca="false">1+COUNTIF($T613:$W613,"&gt;"&amp;$T613)+(COUNTIF($T613:$W613,$T613)-1)/2</f>
        <v>1</v>
      </c>
      <c r="AC613" s="0" t="n">
        <f aca="false">1+COUNTIF($T613:$W613,"&gt;"&amp;$U613)+(COUNTIF($T613:$W613,$U613)-1)/2</f>
        <v>3</v>
      </c>
      <c r="AD613" s="0" t="n">
        <f aca="false">1+COUNTIF($T613:$W613,"&gt;"&amp;$V613)+(COUNTIF($T613:$W613,$V613)-1)/2</f>
        <v>4</v>
      </c>
      <c r="AE613" s="0" t="n">
        <f aca="false">1+COUNTIF($T613:$W613,"&gt;"&amp;$W613)+(COUNTIF($T613:$W613,$W613)-1)/2</f>
        <v>2</v>
      </c>
      <c r="AF613" s="0" t="n">
        <f aca="false">IFERROR(CORREL($P613:$S613,$T613:$W613),"")</f>
        <v>0.167071211183089</v>
      </c>
      <c r="AG613" s="0" t="n">
        <f aca="false">IFERROR(CORREL($X613:$AA613,$AB613:$AE613),"")</f>
        <v>0.2</v>
      </c>
      <c r="AH613" s="0" t="n">
        <f aca="false">IFERROR((SIGN($P613-$Q613)*SIGN($T613-$U613)+SIGN($P613-$R613)*SIGN($T613-$V613)+SIGN($P613-$S613)*SIGN($T613-$W613)+SIGN($Q613-$R613)*SIGN($U613-$V613)+SIGN($Q613-$S613)*SIGN($U613-$W613)+SIGN($R613-$S613)*SIGN($V613-$W613))/SQRT((6-(($P613=$Q613)*1+($P613=$R613)*1+($P613=$S613)*1+($Q613=$R613)*1+($Q613=$S613)*1+($R613=$S613)*1))*(6-(($T613=$U613)*1+($T613=$V613)*1+($T613=$W613)*1+($U613=$V613)*1+($U613=$W613)*1+($V613=$W613)*1))),"")</f>
        <v>0</v>
      </c>
      <c r="AI613" s="0" t="n">
        <f aca="false">MATCH(MAX($K613:$O613),$K613:$O613,0)</f>
        <v>5</v>
      </c>
      <c r="AJ613" s="0" t="n">
        <f aca="false">IF(AI613&lt;&gt;$E613,1,0)</f>
        <v>0</v>
      </c>
      <c r="AK613" s="0" t="str">
        <f aca="false">IF(AJ613=1,INDEX($F613:$J613,AI613)/MAX($P613:$S613),"")</f>
        <v/>
      </c>
      <c r="AL613" s="0" t="str">
        <f aca="false">IF(AJ613=1,1+COUNTIF($P613:$S613,"&gt;"&amp;INDEX($F613:$J613,AI613)),"")</f>
        <v/>
      </c>
      <c r="AM613" s="0" t="n">
        <f aca="false">AVERAGE($P613:$S613)/MAX($P613:$S613)</f>
        <v>0.692105263157895</v>
      </c>
      <c r="AN613" s="0" t="n">
        <f aca="false">100-INDEX($F613:$J613,$E613)</f>
        <v>70.3</v>
      </c>
    </row>
    <row r="614" customFormat="false" ht="15" hidden="false" customHeight="false" outlineLevel="0" collapsed="false">
      <c r="A614" s="0" t="s">
        <v>61</v>
      </c>
      <c r="B614" s="0" t="n">
        <v>2020</v>
      </c>
      <c r="C614" s="0" t="s">
        <v>58</v>
      </c>
      <c r="D614" s="0" t="s">
        <v>42</v>
      </c>
      <c r="E614" s="0" t="n">
        <v>2</v>
      </c>
      <c r="F614" s="0" t="n">
        <v>9.6</v>
      </c>
      <c r="G614" s="0" t="n">
        <v>39.9</v>
      </c>
      <c r="H614" s="0" t="n">
        <v>13.9</v>
      </c>
      <c r="I614" s="0" t="n">
        <v>18.2</v>
      </c>
      <c r="J614" s="0" t="n">
        <v>18</v>
      </c>
      <c r="K614" s="0" t="n">
        <v>37.1232838122</v>
      </c>
      <c r="L614" s="0" t="n">
        <v>2.29811728376</v>
      </c>
      <c r="M614" s="0" t="n">
        <v>0.114534364318</v>
      </c>
      <c r="N614" s="0" t="n">
        <v>0.324086858664</v>
      </c>
      <c r="O614" s="0" t="n">
        <v>60.139977681</v>
      </c>
      <c r="P614" s="0" t="n">
        <f aca="false">INDEX($F614:$J614,IF(1&lt;$E614,1,1+1))</f>
        <v>9.6</v>
      </c>
      <c r="Q614" s="0" t="n">
        <f aca="false">INDEX($F614:$J614,IF(2&lt;$E614,2,2+1))</f>
        <v>13.9</v>
      </c>
      <c r="R614" s="0" t="n">
        <f aca="false">INDEX($F614:$J614,IF(3&lt;$E614,3,3+1))</f>
        <v>18.2</v>
      </c>
      <c r="S614" s="0" t="n">
        <f aca="false">INDEX($F614:$J614,IF(4&lt;$E614,4,4+1))</f>
        <v>18</v>
      </c>
      <c r="T614" s="0" t="n">
        <f aca="false">INDEX($K614:$O614,IF(1&lt;$E614,1,1+1))</f>
        <v>37.1232838122</v>
      </c>
      <c r="U614" s="0" t="n">
        <f aca="false">INDEX($K614:$O614,IF(2&lt;$E614,2,2+1))</f>
        <v>0.114534364318</v>
      </c>
      <c r="V614" s="0" t="n">
        <f aca="false">INDEX($K614:$O614,IF(3&lt;$E614,3,3+1))</f>
        <v>0.324086858664</v>
      </c>
      <c r="W614" s="0" t="n">
        <f aca="false">INDEX($K614:$O614,IF(4&lt;$E614,4,4+1))</f>
        <v>60.139977681</v>
      </c>
      <c r="X614" s="0" t="n">
        <f aca="false">1+COUNTIF($P614:$S614,"&gt;"&amp;$P614)+(COUNTIF($P614:$S614,$P614)-1)/2</f>
        <v>4</v>
      </c>
      <c r="Y614" s="0" t="n">
        <f aca="false">1+COUNTIF($P614:$S614,"&gt;"&amp;$Q614)+(COUNTIF($P614:$S614,$Q614)-1)/2</f>
        <v>3</v>
      </c>
      <c r="Z614" s="0" t="n">
        <f aca="false">1+COUNTIF($P614:$S614,"&gt;"&amp;$R614)+(COUNTIF($P614:$S614,$R614)-1)/2</f>
        <v>1</v>
      </c>
      <c r="AA614" s="0" t="n">
        <f aca="false">1+COUNTIF($P614:$S614,"&gt;"&amp;$S614)+(COUNTIF($P614:$S614,$S614)-1)/2</f>
        <v>2</v>
      </c>
      <c r="AB614" s="0" t="n">
        <f aca="false">1+COUNTIF($T614:$W614,"&gt;"&amp;$T614)+(COUNTIF($T614:$W614,$T614)-1)/2</f>
        <v>2</v>
      </c>
      <c r="AC614" s="0" t="n">
        <f aca="false">1+COUNTIF($T614:$W614,"&gt;"&amp;$U614)+(COUNTIF($T614:$W614,$U614)-1)/2</f>
        <v>4</v>
      </c>
      <c r="AD614" s="0" t="n">
        <f aca="false">1+COUNTIF($T614:$W614,"&gt;"&amp;$V614)+(COUNTIF($T614:$W614,$V614)-1)/2</f>
        <v>3</v>
      </c>
      <c r="AE614" s="0" t="n">
        <f aca="false">1+COUNTIF($T614:$W614,"&gt;"&amp;$W614)+(COUNTIF($T614:$W614,$W614)-1)/2</f>
        <v>1</v>
      </c>
      <c r="AF614" s="0" t="n">
        <f aca="false">IFERROR(CORREL($P614:$S614,$T614:$W614),"")</f>
        <v>-0.0328282192727257</v>
      </c>
      <c r="AG614" s="0" t="n">
        <f aca="false">IFERROR(CORREL($X614:$AA614,$AB614:$AE614),"")</f>
        <v>0</v>
      </c>
      <c r="AH614" s="0" t="n">
        <f aca="false">IFERROR((SIGN($P614-$Q614)*SIGN($T614-$U614)+SIGN($P614-$R614)*SIGN($T614-$V614)+SIGN($P614-$S614)*SIGN($T614-$W614)+SIGN($Q614-$R614)*SIGN($U614-$V614)+SIGN($Q614-$S614)*SIGN($U614-$W614)+SIGN($R614-$S614)*SIGN($V614-$W614))/SQRT((6-(($P614=$Q614)*1+($P614=$R614)*1+($P614=$S614)*1+($Q614=$R614)*1+($Q614=$S614)*1+($R614=$S614)*1))*(6-(($T614=$U614)*1+($T614=$V614)*1+($T614=$W614)*1+($U614=$V614)*1+($U614=$W614)*1+($V614=$W614)*1))),"")</f>
        <v>0</v>
      </c>
      <c r="AI614" s="0" t="n">
        <f aca="false">MATCH(MAX($K614:$O614),$K614:$O614,0)</f>
        <v>5</v>
      </c>
      <c r="AJ614" s="0" t="n">
        <f aca="false">IF(AI614&lt;&gt;$E614,1,0)</f>
        <v>1</v>
      </c>
      <c r="AK614" s="0" t="n">
        <f aca="false">IF(AJ614=1,INDEX($F614:$J614,AI614)/MAX($P614:$S614),"")</f>
        <v>0.989010989010989</v>
      </c>
      <c r="AL614" s="0" t="n">
        <f aca="false">IF(AJ614=1,1+COUNTIF($P614:$S614,"&gt;"&amp;INDEX($F614:$J614,AI614)),"")</f>
        <v>2</v>
      </c>
      <c r="AM614" s="0" t="n">
        <f aca="false">AVERAGE($P614:$S614)/MAX($P614:$S614)</f>
        <v>0.820054945054945</v>
      </c>
      <c r="AN614" s="0" t="n">
        <f aca="false">100-INDEX($F614:$J614,$E614)</f>
        <v>60.1</v>
      </c>
    </row>
    <row r="615" customFormat="false" ht="15" hidden="false" customHeight="false" outlineLevel="0" collapsed="false">
      <c r="A615" s="0" t="s">
        <v>61</v>
      </c>
      <c r="B615" s="0" t="n">
        <v>2020</v>
      </c>
      <c r="C615" s="0" t="s">
        <v>58</v>
      </c>
      <c r="D615" s="0" t="s">
        <v>43</v>
      </c>
      <c r="E615" s="0" t="n">
        <v>1</v>
      </c>
      <c r="F615" s="0" t="n">
        <v>44.1</v>
      </c>
      <c r="G615" s="0" t="n">
        <v>19.8</v>
      </c>
      <c r="H615" s="0" t="n">
        <v>12.1</v>
      </c>
      <c r="I615" s="0" t="n">
        <v>16.3</v>
      </c>
      <c r="J615" s="0" t="n">
        <v>7.2</v>
      </c>
      <c r="K615" s="0" t="n">
        <v>11.4451110886</v>
      </c>
      <c r="L615" s="0" t="n">
        <v>61.9511672911</v>
      </c>
      <c r="M615" s="0" t="n">
        <v>20.2459237003</v>
      </c>
      <c r="N615" s="0" t="n">
        <v>2.43506378099</v>
      </c>
      <c r="O615" s="0" t="n">
        <v>3.92273413905</v>
      </c>
      <c r="P615" s="0" t="n">
        <f aca="false">INDEX($F615:$J615,IF(1&lt;$E615,1,1+1))</f>
        <v>19.8</v>
      </c>
      <c r="Q615" s="0" t="n">
        <f aca="false">INDEX($F615:$J615,IF(2&lt;$E615,2,2+1))</f>
        <v>12.1</v>
      </c>
      <c r="R615" s="0" t="n">
        <f aca="false">INDEX($F615:$J615,IF(3&lt;$E615,3,3+1))</f>
        <v>16.3</v>
      </c>
      <c r="S615" s="0" t="n">
        <f aca="false">INDEX($F615:$J615,IF(4&lt;$E615,4,4+1))</f>
        <v>7.2</v>
      </c>
      <c r="T615" s="0" t="n">
        <f aca="false">INDEX($K615:$O615,IF(1&lt;$E615,1,1+1))</f>
        <v>61.9511672911</v>
      </c>
      <c r="U615" s="0" t="n">
        <f aca="false">INDEX($K615:$O615,IF(2&lt;$E615,2,2+1))</f>
        <v>20.2459237003</v>
      </c>
      <c r="V615" s="0" t="n">
        <f aca="false">INDEX($K615:$O615,IF(3&lt;$E615,3,3+1))</f>
        <v>2.43506378099</v>
      </c>
      <c r="W615" s="0" t="n">
        <f aca="false">INDEX($K615:$O615,IF(4&lt;$E615,4,4+1))</f>
        <v>3.92273413905</v>
      </c>
      <c r="X615" s="0" t="n">
        <f aca="false">1+COUNTIF($P615:$S615,"&gt;"&amp;$P615)+(COUNTIF($P615:$S615,$P615)-1)/2</f>
        <v>1</v>
      </c>
      <c r="Y615" s="0" t="n">
        <f aca="false">1+COUNTIF($P615:$S615,"&gt;"&amp;$Q615)+(COUNTIF($P615:$S615,$Q615)-1)/2</f>
        <v>3</v>
      </c>
      <c r="Z615" s="0" t="n">
        <f aca="false">1+COUNTIF($P615:$S615,"&gt;"&amp;$R615)+(COUNTIF($P615:$S615,$R615)-1)/2</f>
        <v>2</v>
      </c>
      <c r="AA615" s="0" t="n">
        <f aca="false">1+COUNTIF($P615:$S615,"&gt;"&amp;$S615)+(COUNTIF($P615:$S615,$S615)-1)/2</f>
        <v>4</v>
      </c>
      <c r="AB615" s="0" t="n">
        <f aca="false">1+COUNTIF($T615:$W615,"&gt;"&amp;$T615)+(COUNTIF($T615:$W615,$T615)-1)/2</f>
        <v>1</v>
      </c>
      <c r="AC615" s="0" t="n">
        <f aca="false">1+COUNTIF($T615:$W615,"&gt;"&amp;$U615)+(COUNTIF($T615:$W615,$U615)-1)/2</f>
        <v>2</v>
      </c>
      <c r="AD615" s="0" t="n">
        <f aca="false">1+COUNTIF($T615:$W615,"&gt;"&amp;$V615)+(COUNTIF($T615:$W615,$V615)-1)/2</f>
        <v>4</v>
      </c>
      <c r="AE615" s="0" t="n">
        <f aca="false">1+COUNTIF($T615:$W615,"&gt;"&amp;$W615)+(COUNTIF($T615:$W615,$W615)-1)/2</f>
        <v>3</v>
      </c>
      <c r="AF615" s="0" t="n">
        <f aca="false">IFERROR(CORREL($P615:$S615,$T615:$W615),"")</f>
        <v>0.691843201734216</v>
      </c>
      <c r="AG615" s="0" t="n">
        <f aca="false">IFERROR(CORREL($X615:$AA615,$AB615:$AE615),"")</f>
        <v>0.4</v>
      </c>
      <c r="AH615" s="0" t="n">
        <f aca="false">IFERROR((SIGN($P615-$Q615)*SIGN($T615-$U615)+SIGN($P615-$R615)*SIGN($T615-$V615)+SIGN($P615-$S615)*SIGN($T615-$W615)+SIGN($Q615-$R615)*SIGN($U615-$V615)+SIGN($Q615-$S615)*SIGN($U615-$W615)+SIGN($R615-$S615)*SIGN($V615-$W615))/SQRT((6-(($P615=$Q615)*1+($P615=$R615)*1+($P615=$S615)*1+($Q615=$R615)*1+($Q615=$S615)*1+($R615=$S615)*1))*(6-(($T615=$U615)*1+($T615=$V615)*1+($T615=$W615)*1+($U615=$V615)*1+($U615=$W615)*1+($V615=$W615)*1))),"")</f>
        <v>0.333333333333333</v>
      </c>
      <c r="AI615" s="0" t="n">
        <f aca="false">MATCH(MAX($K615:$O615),$K615:$O615,0)</f>
        <v>2</v>
      </c>
      <c r="AJ615" s="0" t="n">
        <f aca="false">IF(AI615&lt;&gt;$E615,1,0)</f>
        <v>1</v>
      </c>
      <c r="AK615" s="0" t="n">
        <f aca="false">IF(AJ615=1,INDEX($F615:$J615,AI615)/MAX($P615:$S615),"")</f>
        <v>1</v>
      </c>
      <c r="AL615" s="0" t="n">
        <f aca="false">IF(AJ615=1,1+COUNTIF($P615:$S615,"&gt;"&amp;INDEX($F615:$J615,AI615)),"")</f>
        <v>1</v>
      </c>
      <c r="AM615" s="0" t="n">
        <f aca="false">AVERAGE($P615:$S615)/MAX($P615:$S615)</f>
        <v>0.69949494949495</v>
      </c>
      <c r="AN615" s="0" t="n">
        <f aca="false">100-INDEX($F615:$J615,$E615)</f>
        <v>55.9</v>
      </c>
    </row>
    <row r="616" customFormat="false" ht="15" hidden="false" customHeight="false" outlineLevel="0" collapsed="false">
      <c r="A616" s="0" t="s">
        <v>61</v>
      </c>
      <c r="B616" s="0" t="n">
        <v>2020</v>
      </c>
      <c r="C616" s="0" t="s">
        <v>58</v>
      </c>
      <c r="D616" s="0" t="s">
        <v>44</v>
      </c>
      <c r="E616" s="0" t="n">
        <v>1</v>
      </c>
      <c r="F616" s="0" t="n">
        <v>44.2</v>
      </c>
      <c r="G616" s="0" t="n">
        <v>12.4</v>
      </c>
      <c r="H616" s="0" t="n">
        <v>12.2</v>
      </c>
      <c r="I616" s="0" t="n">
        <v>21</v>
      </c>
      <c r="J616" s="0" t="n">
        <v>9.9</v>
      </c>
      <c r="K616" s="0" t="n">
        <v>81.0976404264</v>
      </c>
      <c r="L616" s="0" t="n">
        <v>3.53323090062</v>
      </c>
      <c r="M616" s="0" t="n">
        <v>7.98774365457</v>
      </c>
      <c r="N616" s="0" t="n">
        <v>6.20481430246</v>
      </c>
      <c r="O616" s="0" t="n">
        <v>1.17657071591</v>
      </c>
      <c r="P616" s="0" t="n">
        <f aca="false">INDEX($F616:$J616,IF(1&lt;$E616,1,1+1))</f>
        <v>12.4</v>
      </c>
      <c r="Q616" s="0" t="n">
        <f aca="false">INDEX($F616:$J616,IF(2&lt;$E616,2,2+1))</f>
        <v>12.2</v>
      </c>
      <c r="R616" s="0" t="n">
        <f aca="false">INDEX($F616:$J616,IF(3&lt;$E616,3,3+1))</f>
        <v>21</v>
      </c>
      <c r="S616" s="0" t="n">
        <f aca="false">INDEX($F616:$J616,IF(4&lt;$E616,4,4+1))</f>
        <v>9.9</v>
      </c>
      <c r="T616" s="0" t="n">
        <f aca="false">INDEX($K616:$O616,IF(1&lt;$E616,1,1+1))</f>
        <v>3.53323090062</v>
      </c>
      <c r="U616" s="0" t="n">
        <f aca="false">INDEX($K616:$O616,IF(2&lt;$E616,2,2+1))</f>
        <v>7.98774365457</v>
      </c>
      <c r="V616" s="0" t="n">
        <f aca="false">INDEX($K616:$O616,IF(3&lt;$E616,3,3+1))</f>
        <v>6.20481430246</v>
      </c>
      <c r="W616" s="0" t="n">
        <f aca="false">INDEX($K616:$O616,IF(4&lt;$E616,4,4+1))</f>
        <v>1.17657071591</v>
      </c>
      <c r="X616" s="0" t="n">
        <f aca="false">1+COUNTIF($P616:$S616,"&gt;"&amp;$P616)+(COUNTIF($P616:$S616,$P616)-1)/2</f>
        <v>2</v>
      </c>
      <c r="Y616" s="0" t="n">
        <f aca="false">1+COUNTIF($P616:$S616,"&gt;"&amp;$Q616)+(COUNTIF($P616:$S616,$Q616)-1)/2</f>
        <v>3</v>
      </c>
      <c r="Z616" s="0" t="n">
        <f aca="false">1+COUNTIF($P616:$S616,"&gt;"&amp;$R616)+(COUNTIF($P616:$S616,$R616)-1)/2</f>
        <v>1</v>
      </c>
      <c r="AA616" s="0" t="n">
        <f aca="false">1+COUNTIF($P616:$S616,"&gt;"&amp;$S616)+(COUNTIF($P616:$S616,$S616)-1)/2</f>
        <v>4</v>
      </c>
      <c r="AB616" s="0" t="n">
        <f aca="false">1+COUNTIF($T616:$W616,"&gt;"&amp;$T616)+(COUNTIF($T616:$W616,$T616)-1)/2</f>
        <v>3</v>
      </c>
      <c r="AC616" s="0" t="n">
        <f aca="false">1+COUNTIF($T616:$W616,"&gt;"&amp;$U616)+(COUNTIF($T616:$W616,$U616)-1)/2</f>
        <v>1</v>
      </c>
      <c r="AD616" s="0" t="n">
        <f aca="false">1+COUNTIF($T616:$W616,"&gt;"&amp;$V616)+(COUNTIF($T616:$W616,$V616)-1)/2</f>
        <v>2</v>
      </c>
      <c r="AE616" s="0" t="n">
        <f aca="false">1+COUNTIF($T616:$W616,"&gt;"&amp;$W616)+(COUNTIF($T616:$W616,$W616)-1)/2</f>
        <v>4</v>
      </c>
      <c r="AF616" s="0" t="n">
        <f aca="false">IFERROR(CORREL($P616:$S616,$T616:$W616),"")</f>
        <v>0.477816895875834</v>
      </c>
      <c r="AG616" s="0" t="n">
        <f aca="false">IFERROR(CORREL($X616:$AA616,$AB616:$AE616),"")</f>
        <v>0.4</v>
      </c>
      <c r="AH616" s="0" t="n">
        <f aca="false">IFERROR((SIGN($P616-$Q616)*SIGN($T616-$U616)+SIGN($P616-$R616)*SIGN($T616-$V616)+SIGN($P616-$S616)*SIGN($T616-$W616)+SIGN($Q616-$R616)*SIGN($U616-$V616)+SIGN($Q616-$S616)*SIGN($U616-$W616)+SIGN($R616-$S616)*SIGN($V616-$W616))/SQRT((6-(($P616=$Q616)*1+($P616=$R616)*1+($P616=$S616)*1+($Q616=$R616)*1+($Q616=$S616)*1+($R616=$S616)*1))*(6-(($T616=$U616)*1+($T616=$V616)*1+($T616=$W616)*1+($U616=$V616)*1+($U616=$W616)*1+($V616=$W616)*1))),"")</f>
        <v>0.333333333333333</v>
      </c>
      <c r="AI616" s="0" t="n">
        <f aca="false">MATCH(MAX($K616:$O616),$K616:$O616,0)</f>
        <v>1</v>
      </c>
      <c r="AJ616" s="0" t="n">
        <f aca="false">IF(AI616&lt;&gt;$E616,1,0)</f>
        <v>0</v>
      </c>
      <c r="AK616" s="0" t="str">
        <f aca="false">IF(AJ616=1,INDEX($F616:$J616,AI616)/MAX($P616:$S616),"")</f>
        <v/>
      </c>
      <c r="AL616" s="0" t="str">
        <f aca="false">IF(AJ616=1,1+COUNTIF($P616:$S616,"&gt;"&amp;INDEX($F616:$J616,AI616)),"")</f>
        <v/>
      </c>
      <c r="AM616" s="0" t="n">
        <f aca="false">AVERAGE($P616:$S616)/MAX($P616:$S616)</f>
        <v>0.660714285714286</v>
      </c>
      <c r="AN616" s="0" t="n">
        <f aca="false">100-INDEX($F616:$J616,$E616)</f>
        <v>55.8</v>
      </c>
    </row>
    <row r="617" customFormat="false" ht="15" hidden="false" customHeight="false" outlineLevel="0" collapsed="false">
      <c r="A617" s="0" t="s">
        <v>61</v>
      </c>
      <c r="B617" s="0" t="n">
        <v>2020</v>
      </c>
      <c r="C617" s="0" t="s">
        <v>58</v>
      </c>
      <c r="D617" s="0" t="s">
        <v>45</v>
      </c>
      <c r="E617" s="0" t="n">
        <v>3</v>
      </c>
      <c r="F617" s="0" t="n">
        <v>12.4</v>
      </c>
      <c r="G617" s="0" t="n">
        <v>14.4</v>
      </c>
      <c r="H617" s="0" t="n">
        <v>33.4</v>
      </c>
      <c r="I617" s="0" t="n">
        <v>23.7</v>
      </c>
      <c r="J617" s="0" t="n">
        <v>15.6</v>
      </c>
      <c r="K617" s="0" t="n">
        <v>35.6580849409</v>
      </c>
      <c r="L617" s="0" t="n">
        <v>25.163441086</v>
      </c>
      <c r="M617" s="0" t="n">
        <v>19.7154853049</v>
      </c>
      <c r="N617" s="0" t="n">
        <v>14.3786599144</v>
      </c>
      <c r="O617" s="0" t="n">
        <v>5.08432875372</v>
      </c>
      <c r="P617" s="0" t="n">
        <f aca="false">INDEX($F617:$J617,IF(1&lt;$E617,1,1+1))</f>
        <v>12.4</v>
      </c>
      <c r="Q617" s="0" t="n">
        <f aca="false">INDEX($F617:$J617,IF(2&lt;$E617,2,2+1))</f>
        <v>14.4</v>
      </c>
      <c r="R617" s="0" t="n">
        <f aca="false">INDEX($F617:$J617,IF(3&lt;$E617,3,3+1))</f>
        <v>23.7</v>
      </c>
      <c r="S617" s="0" t="n">
        <f aca="false">INDEX($F617:$J617,IF(4&lt;$E617,4,4+1))</f>
        <v>15.6</v>
      </c>
      <c r="T617" s="0" t="n">
        <f aca="false">INDEX($K617:$O617,IF(1&lt;$E617,1,1+1))</f>
        <v>35.6580849409</v>
      </c>
      <c r="U617" s="0" t="n">
        <f aca="false">INDEX($K617:$O617,IF(2&lt;$E617,2,2+1))</f>
        <v>25.163441086</v>
      </c>
      <c r="V617" s="0" t="n">
        <f aca="false">INDEX($K617:$O617,IF(3&lt;$E617,3,3+1))</f>
        <v>14.3786599144</v>
      </c>
      <c r="W617" s="0" t="n">
        <f aca="false">INDEX($K617:$O617,IF(4&lt;$E617,4,4+1))</f>
        <v>5.08432875372</v>
      </c>
      <c r="X617" s="0" t="n">
        <f aca="false">1+COUNTIF($P617:$S617,"&gt;"&amp;$P617)+(COUNTIF($P617:$S617,$P617)-1)/2</f>
        <v>4</v>
      </c>
      <c r="Y617" s="0" t="n">
        <f aca="false">1+COUNTIF($P617:$S617,"&gt;"&amp;$Q617)+(COUNTIF($P617:$S617,$Q617)-1)/2</f>
        <v>3</v>
      </c>
      <c r="Z617" s="0" t="n">
        <f aca="false">1+COUNTIF($P617:$S617,"&gt;"&amp;$R617)+(COUNTIF($P617:$S617,$R617)-1)/2</f>
        <v>1</v>
      </c>
      <c r="AA617" s="0" t="n">
        <f aca="false">1+COUNTIF($P617:$S617,"&gt;"&amp;$S617)+(COUNTIF($P617:$S617,$S617)-1)/2</f>
        <v>2</v>
      </c>
      <c r="AB617" s="0" t="n">
        <f aca="false">1+COUNTIF($T617:$W617,"&gt;"&amp;$T617)+(COUNTIF($T617:$W617,$T617)-1)/2</f>
        <v>1</v>
      </c>
      <c r="AC617" s="0" t="n">
        <f aca="false">1+COUNTIF($T617:$W617,"&gt;"&amp;$U617)+(COUNTIF($T617:$W617,$U617)-1)/2</f>
        <v>2</v>
      </c>
      <c r="AD617" s="0" t="n">
        <f aca="false">1+COUNTIF($T617:$W617,"&gt;"&amp;$V617)+(COUNTIF($T617:$W617,$V617)-1)/2</f>
        <v>3</v>
      </c>
      <c r="AE617" s="0" t="n">
        <f aca="false">1+COUNTIF($T617:$W617,"&gt;"&amp;$W617)+(COUNTIF($T617:$W617,$W617)-1)/2</f>
        <v>4</v>
      </c>
      <c r="AF617" s="0" t="n">
        <f aca="false">IFERROR(CORREL($P617:$S617,$T617:$W617),"")</f>
        <v>-0.518014459587569</v>
      </c>
      <c r="AG617" s="0" t="n">
        <f aca="false">IFERROR(CORREL($X617:$AA617,$AB617:$AE617),"")</f>
        <v>-0.8</v>
      </c>
      <c r="AH617" s="0" t="n">
        <f aca="false">IFERROR((SIGN($P617-$Q617)*SIGN($T617-$U617)+SIGN($P617-$R617)*SIGN($T617-$V617)+SIGN($P617-$S617)*SIGN($T617-$W617)+SIGN($Q617-$R617)*SIGN($U617-$V617)+SIGN($Q617-$S617)*SIGN($U617-$W617)+SIGN($R617-$S617)*SIGN($V617-$W617))/SQRT((6-(($P617=$Q617)*1+($P617=$R617)*1+($P617=$S617)*1+($Q617=$R617)*1+($Q617=$S617)*1+($R617=$S617)*1))*(6-(($T617=$U617)*1+($T617=$V617)*1+($T617=$W617)*1+($U617=$V617)*1+($U617=$W617)*1+($V617=$W617)*1))),"")</f>
        <v>-0.666666666666667</v>
      </c>
      <c r="AI617" s="0" t="n">
        <f aca="false">MATCH(MAX($K617:$O617),$K617:$O617,0)</f>
        <v>1</v>
      </c>
      <c r="AJ617" s="0" t="n">
        <f aca="false">IF(AI617&lt;&gt;$E617,1,0)</f>
        <v>1</v>
      </c>
      <c r="AK617" s="0" t="n">
        <f aca="false">IF(AJ617=1,INDEX($F617:$J617,AI617)/MAX($P617:$S617),"")</f>
        <v>0.523206751054852</v>
      </c>
      <c r="AL617" s="0" t="n">
        <f aca="false">IF(AJ617=1,1+COUNTIF($P617:$S617,"&gt;"&amp;INDEX($F617:$J617,AI617)),"")</f>
        <v>4</v>
      </c>
      <c r="AM617" s="0" t="n">
        <f aca="false">AVERAGE($P617:$S617)/MAX($P617:$S617)</f>
        <v>0.697257383966245</v>
      </c>
      <c r="AN617" s="0" t="n">
        <f aca="false">100-INDEX($F617:$J617,$E617)</f>
        <v>66.6</v>
      </c>
    </row>
    <row r="618" customFormat="false" ht="15" hidden="false" customHeight="false" outlineLevel="0" collapsed="false">
      <c r="A618" s="0" t="s">
        <v>61</v>
      </c>
      <c r="B618" s="0" t="n">
        <v>2020</v>
      </c>
      <c r="C618" s="0" t="s">
        <v>49</v>
      </c>
      <c r="D618" s="0" t="s">
        <v>42</v>
      </c>
      <c r="E618" s="0" t="n">
        <v>3</v>
      </c>
      <c r="F618" s="0" t="n">
        <v>15.7</v>
      </c>
      <c r="G618" s="0" t="n">
        <v>8.3</v>
      </c>
      <c r="H618" s="0" t="n">
        <v>42.1</v>
      </c>
      <c r="I618" s="0" t="n">
        <v>14.1</v>
      </c>
      <c r="J618" s="0" t="n">
        <v>19.9</v>
      </c>
      <c r="K618" s="0" t="n">
        <v>9.1024598336</v>
      </c>
      <c r="L618" s="0" t="n">
        <v>27.5820249042</v>
      </c>
      <c r="M618" s="0" t="n">
        <v>53.7486446167</v>
      </c>
      <c r="N618" s="0" t="n">
        <v>7.0918227054</v>
      </c>
      <c r="O618" s="0" t="n">
        <v>2.47504794004</v>
      </c>
      <c r="P618" s="0" t="n">
        <f aca="false">INDEX($F618:$J618,IF(1&lt;$E618,1,1+1))</f>
        <v>15.7</v>
      </c>
      <c r="Q618" s="0" t="n">
        <f aca="false">INDEX($F618:$J618,IF(2&lt;$E618,2,2+1))</f>
        <v>8.3</v>
      </c>
      <c r="R618" s="0" t="n">
        <f aca="false">INDEX($F618:$J618,IF(3&lt;$E618,3,3+1))</f>
        <v>14.1</v>
      </c>
      <c r="S618" s="0" t="n">
        <f aca="false">INDEX($F618:$J618,IF(4&lt;$E618,4,4+1))</f>
        <v>19.9</v>
      </c>
      <c r="T618" s="0" t="n">
        <f aca="false">INDEX($K618:$O618,IF(1&lt;$E618,1,1+1))</f>
        <v>9.1024598336</v>
      </c>
      <c r="U618" s="0" t="n">
        <f aca="false">INDEX($K618:$O618,IF(2&lt;$E618,2,2+1))</f>
        <v>27.5820249042</v>
      </c>
      <c r="V618" s="0" t="n">
        <f aca="false">INDEX($K618:$O618,IF(3&lt;$E618,3,3+1))</f>
        <v>7.0918227054</v>
      </c>
      <c r="W618" s="0" t="n">
        <f aca="false">INDEX($K618:$O618,IF(4&lt;$E618,4,4+1))</f>
        <v>2.47504794004</v>
      </c>
      <c r="X618" s="0" t="n">
        <f aca="false">1+COUNTIF($P618:$S618,"&gt;"&amp;$P618)+(COUNTIF($P618:$S618,$P618)-1)/2</f>
        <v>2</v>
      </c>
      <c r="Y618" s="0" t="n">
        <f aca="false">1+COUNTIF($P618:$S618,"&gt;"&amp;$Q618)+(COUNTIF($P618:$S618,$Q618)-1)/2</f>
        <v>4</v>
      </c>
      <c r="Z618" s="0" t="n">
        <f aca="false">1+COUNTIF($P618:$S618,"&gt;"&amp;$R618)+(COUNTIF($P618:$S618,$R618)-1)/2</f>
        <v>3</v>
      </c>
      <c r="AA618" s="0" t="n">
        <f aca="false">1+COUNTIF($P618:$S618,"&gt;"&amp;$S618)+(COUNTIF($P618:$S618,$S618)-1)/2</f>
        <v>1</v>
      </c>
      <c r="AB618" s="0" t="n">
        <f aca="false">1+COUNTIF($T618:$W618,"&gt;"&amp;$T618)+(COUNTIF($T618:$W618,$T618)-1)/2</f>
        <v>2</v>
      </c>
      <c r="AC618" s="0" t="n">
        <f aca="false">1+COUNTIF($T618:$W618,"&gt;"&amp;$U618)+(COUNTIF($T618:$W618,$U618)-1)/2</f>
        <v>1</v>
      </c>
      <c r="AD618" s="0" t="n">
        <f aca="false">1+COUNTIF($T618:$W618,"&gt;"&amp;$V618)+(COUNTIF($T618:$W618,$V618)-1)/2</f>
        <v>3</v>
      </c>
      <c r="AE618" s="0" t="n">
        <f aca="false">1+COUNTIF($T618:$W618,"&gt;"&amp;$W618)+(COUNTIF($T618:$W618,$W618)-1)/2</f>
        <v>4</v>
      </c>
      <c r="AF618" s="0" t="n">
        <f aca="false">IFERROR(CORREL($P618:$S618,$T618:$W618),"")</f>
        <v>-0.940722093701595</v>
      </c>
      <c r="AG618" s="0" t="n">
        <f aca="false">IFERROR(CORREL($X618:$AA618,$AB618:$AE618),"")</f>
        <v>-0.8</v>
      </c>
      <c r="AH618" s="0" t="n">
        <f aca="false">IFERROR((SIGN($P618-$Q618)*SIGN($T618-$U618)+SIGN($P618-$R618)*SIGN($T618-$V618)+SIGN($P618-$S618)*SIGN($T618-$W618)+SIGN($Q618-$R618)*SIGN($U618-$V618)+SIGN($Q618-$S618)*SIGN($U618-$W618)+SIGN($R618-$S618)*SIGN($V618-$W618))/SQRT((6-(($P618=$Q618)*1+($P618=$R618)*1+($P618=$S618)*1+($Q618=$R618)*1+($Q618=$S618)*1+($R618=$S618)*1))*(6-(($T618=$U618)*1+($T618=$V618)*1+($T618=$W618)*1+($U618=$V618)*1+($U618=$W618)*1+($V618=$W618)*1))),"")</f>
        <v>-0.666666666666667</v>
      </c>
      <c r="AI618" s="0" t="n">
        <f aca="false">MATCH(MAX($K618:$O618),$K618:$O618,0)</f>
        <v>3</v>
      </c>
      <c r="AJ618" s="0" t="n">
        <f aca="false">IF(AI618&lt;&gt;$E618,1,0)</f>
        <v>0</v>
      </c>
      <c r="AK618" s="0" t="str">
        <f aca="false">IF(AJ618=1,INDEX($F618:$J618,AI618)/MAX($P618:$S618),"")</f>
        <v/>
      </c>
      <c r="AL618" s="0" t="str">
        <f aca="false">IF(AJ618=1,1+COUNTIF($P618:$S618,"&gt;"&amp;INDEX($F618:$J618,AI618)),"")</f>
        <v/>
      </c>
      <c r="AM618" s="0" t="n">
        <f aca="false">AVERAGE($P618:$S618)/MAX($P618:$S618)</f>
        <v>0.728643216080402</v>
      </c>
      <c r="AN618" s="0" t="n">
        <f aca="false">100-INDEX($F618:$J618,$E618)</f>
        <v>57.9</v>
      </c>
    </row>
    <row r="619" customFormat="false" ht="15" hidden="false" customHeight="false" outlineLevel="0" collapsed="false">
      <c r="A619" s="0" t="s">
        <v>61</v>
      </c>
      <c r="B619" s="0" t="n">
        <v>2020</v>
      </c>
      <c r="C619" s="0" t="s">
        <v>49</v>
      </c>
      <c r="D619" s="0" t="s">
        <v>43</v>
      </c>
      <c r="E619" s="0" t="n">
        <v>1</v>
      </c>
      <c r="F619" s="0" t="n">
        <v>62.2</v>
      </c>
      <c r="G619" s="0" t="n">
        <v>12.6</v>
      </c>
      <c r="H619" s="0" t="n">
        <v>8.8</v>
      </c>
      <c r="I619" s="0" t="n">
        <v>8.8</v>
      </c>
      <c r="J619" s="0" t="n">
        <v>7.6</v>
      </c>
      <c r="K619" s="0" t="n">
        <v>29.6334299004</v>
      </c>
      <c r="L619" s="0" t="n">
        <v>1.80870072634</v>
      </c>
      <c r="M619" s="0" t="n">
        <v>2.49139489939</v>
      </c>
      <c r="N619" s="0" t="n">
        <v>22.2241096072</v>
      </c>
      <c r="O619" s="0" t="n">
        <v>43.8423648667</v>
      </c>
      <c r="P619" s="0" t="n">
        <f aca="false">INDEX($F619:$J619,IF(1&lt;$E619,1,1+1))</f>
        <v>12.6</v>
      </c>
      <c r="Q619" s="0" t="n">
        <f aca="false">INDEX($F619:$J619,IF(2&lt;$E619,2,2+1))</f>
        <v>8.8</v>
      </c>
      <c r="R619" s="0" t="n">
        <f aca="false">INDEX($F619:$J619,IF(3&lt;$E619,3,3+1))</f>
        <v>8.8</v>
      </c>
      <c r="S619" s="0" t="n">
        <f aca="false">INDEX($F619:$J619,IF(4&lt;$E619,4,4+1))</f>
        <v>7.6</v>
      </c>
      <c r="T619" s="0" t="n">
        <f aca="false">INDEX($K619:$O619,IF(1&lt;$E619,1,1+1))</f>
        <v>1.80870072634</v>
      </c>
      <c r="U619" s="0" t="n">
        <f aca="false">INDEX($K619:$O619,IF(2&lt;$E619,2,2+1))</f>
        <v>2.49139489939</v>
      </c>
      <c r="V619" s="0" t="n">
        <f aca="false">INDEX($K619:$O619,IF(3&lt;$E619,3,3+1))</f>
        <v>22.2241096072</v>
      </c>
      <c r="W619" s="0" t="n">
        <f aca="false">INDEX($K619:$O619,IF(4&lt;$E619,4,4+1))</f>
        <v>43.8423648667</v>
      </c>
      <c r="X619" s="0" t="n">
        <f aca="false">1+COUNTIF($P619:$S619,"&gt;"&amp;$P619)+(COUNTIF($P619:$S619,$P619)-1)/2</f>
        <v>1</v>
      </c>
      <c r="Y619" s="0" t="n">
        <f aca="false">1+COUNTIF($P619:$S619,"&gt;"&amp;$Q619)+(COUNTIF($P619:$S619,$Q619)-1)/2</f>
        <v>2.5</v>
      </c>
      <c r="Z619" s="0" t="n">
        <f aca="false">1+COUNTIF($P619:$S619,"&gt;"&amp;$R619)+(COUNTIF($P619:$S619,$R619)-1)/2</f>
        <v>2.5</v>
      </c>
      <c r="AA619" s="0" t="n">
        <f aca="false">1+COUNTIF($P619:$S619,"&gt;"&amp;$S619)+(COUNTIF($P619:$S619,$S619)-1)/2</f>
        <v>4</v>
      </c>
      <c r="AB619" s="0" t="n">
        <f aca="false">1+COUNTIF($T619:$W619,"&gt;"&amp;$T619)+(COUNTIF($T619:$W619,$T619)-1)/2</f>
        <v>4</v>
      </c>
      <c r="AC619" s="0" t="n">
        <f aca="false">1+COUNTIF($T619:$W619,"&gt;"&amp;$U619)+(COUNTIF($T619:$W619,$U619)-1)/2</f>
        <v>3</v>
      </c>
      <c r="AD619" s="0" t="n">
        <f aca="false">1+COUNTIF($T619:$W619,"&gt;"&amp;$V619)+(COUNTIF($T619:$W619,$V619)-1)/2</f>
        <v>2</v>
      </c>
      <c r="AE619" s="0" t="n">
        <f aca="false">1+COUNTIF($T619:$W619,"&gt;"&amp;$W619)+(COUNTIF($T619:$W619,$W619)-1)/2</f>
        <v>1</v>
      </c>
      <c r="AF619" s="0" t="n">
        <f aca="false">IFERROR(CORREL($P619:$S619,$T619:$W619),"")</f>
        <v>-0.704638978565241</v>
      </c>
      <c r="AG619" s="0" t="n">
        <f aca="false">IFERROR(CORREL($X619:$AA619,$AB619:$AE619),"")</f>
        <v>-0.948683298050514</v>
      </c>
      <c r="AH619" s="0" t="n">
        <f aca="false">IFERROR((SIGN($P619-$Q619)*SIGN($T619-$U619)+SIGN($P619-$R619)*SIGN($T619-$V619)+SIGN($P619-$S619)*SIGN($T619-$W619)+SIGN($Q619-$R619)*SIGN($U619-$V619)+SIGN($Q619-$S619)*SIGN($U619-$W619)+SIGN($R619-$S619)*SIGN($V619-$W619))/SQRT((6-(($P619=$Q619)*1+($P619=$R619)*1+($P619=$S619)*1+($Q619=$R619)*1+($Q619=$S619)*1+($R619=$S619)*1))*(6-(($T619=$U619)*1+($T619=$V619)*1+($T619=$W619)*1+($U619=$V619)*1+($U619=$W619)*1+($V619=$W619)*1))),"")</f>
        <v>-0.912870929175277</v>
      </c>
      <c r="AI619" s="0" t="n">
        <f aca="false">MATCH(MAX($K619:$O619),$K619:$O619,0)</f>
        <v>5</v>
      </c>
      <c r="AJ619" s="0" t="n">
        <f aca="false">IF(AI619&lt;&gt;$E619,1,0)</f>
        <v>1</v>
      </c>
      <c r="AK619" s="0" t="n">
        <f aca="false">IF(AJ619=1,INDEX($F619:$J619,AI619)/MAX($P619:$S619),"")</f>
        <v>0.603174603174603</v>
      </c>
      <c r="AL619" s="0" t="n">
        <f aca="false">IF(AJ619=1,1+COUNTIF($P619:$S619,"&gt;"&amp;INDEX($F619:$J619,AI619)),"")</f>
        <v>4</v>
      </c>
      <c r="AM619" s="0" t="n">
        <f aca="false">AVERAGE($P619:$S619)/MAX($P619:$S619)</f>
        <v>0.75</v>
      </c>
      <c r="AN619" s="0" t="n">
        <f aca="false">100-INDEX($F619:$J619,$E619)</f>
        <v>37.8</v>
      </c>
    </row>
    <row r="620" customFormat="false" ht="15" hidden="false" customHeight="false" outlineLevel="0" collapsed="false">
      <c r="A620" s="0" t="s">
        <v>61</v>
      </c>
      <c r="B620" s="0" t="n">
        <v>2020</v>
      </c>
      <c r="C620" s="0" t="s">
        <v>49</v>
      </c>
      <c r="D620" s="0" t="s">
        <v>44</v>
      </c>
      <c r="E620" s="0" t="n">
        <v>3</v>
      </c>
      <c r="F620" s="0" t="n">
        <v>9.8</v>
      </c>
      <c r="G620" s="0" t="n">
        <v>20.5</v>
      </c>
      <c r="H620" s="0" t="n">
        <v>45.4</v>
      </c>
      <c r="I620" s="0" t="n">
        <v>11.3</v>
      </c>
      <c r="J620" s="0" t="n">
        <v>13.1</v>
      </c>
      <c r="K620" s="0" t="n">
        <v>13.6244679544</v>
      </c>
      <c r="L620" s="0" t="n">
        <v>13.8022157773</v>
      </c>
      <c r="M620" s="0" t="n">
        <v>46.9296562407</v>
      </c>
      <c r="N620" s="0" t="n">
        <v>8.36130417381</v>
      </c>
      <c r="O620" s="0" t="n">
        <v>17.2823558539</v>
      </c>
      <c r="P620" s="0" t="n">
        <f aca="false">INDEX($F620:$J620,IF(1&lt;$E620,1,1+1))</f>
        <v>9.8</v>
      </c>
      <c r="Q620" s="0" t="n">
        <f aca="false">INDEX($F620:$J620,IF(2&lt;$E620,2,2+1))</f>
        <v>20.5</v>
      </c>
      <c r="R620" s="0" t="n">
        <f aca="false">INDEX($F620:$J620,IF(3&lt;$E620,3,3+1))</f>
        <v>11.3</v>
      </c>
      <c r="S620" s="0" t="n">
        <f aca="false">INDEX($F620:$J620,IF(4&lt;$E620,4,4+1))</f>
        <v>13.1</v>
      </c>
      <c r="T620" s="0" t="n">
        <f aca="false">INDEX($K620:$O620,IF(1&lt;$E620,1,1+1))</f>
        <v>13.6244679544</v>
      </c>
      <c r="U620" s="0" t="n">
        <f aca="false">INDEX($K620:$O620,IF(2&lt;$E620,2,2+1))</f>
        <v>13.8022157773</v>
      </c>
      <c r="V620" s="0" t="n">
        <f aca="false">INDEX($K620:$O620,IF(3&lt;$E620,3,3+1))</f>
        <v>8.36130417381</v>
      </c>
      <c r="W620" s="0" t="n">
        <f aca="false">INDEX($K620:$O620,IF(4&lt;$E620,4,4+1))</f>
        <v>17.2823558539</v>
      </c>
      <c r="X620" s="0" t="n">
        <f aca="false">1+COUNTIF($P620:$S620,"&gt;"&amp;$P620)+(COUNTIF($P620:$S620,$P620)-1)/2</f>
        <v>4</v>
      </c>
      <c r="Y620" s="0" t="n">
        <f aca="false">1+COUNTIF($P620:$S620,"&gt;"&amp;$Q620)+(COUNTIF($P620:$S620,$Q620)-1)/2</f>
        <v>1</v>
      </c>
      <c r="Z620" s="0" t="n">
        <f aca="false">1+COUNTIF($P620:$S620,"&gt;"&amp;$R620)+(COUNTIF($P620:$S620,$R620)-1)/2</f>
        <v>3</v>
      </c>
      <c r="AA620" s="0" t="n">
        <f aca="false">1+COUNTIF($P620:$S620,"&gt;"&amp;$S620)+(COUNTIF($P620:$S620,$S620)-1)/2</f>
        <v>2</v>
      </c>
      <c r="AB620" s="0" t="n">
        <f aca="false">1+COUNTIF($T620:$W620,"&gt;"&amp;$T620)+(COUNTIF($T620:$W620,$T620)-1)/2</f>
        <v>3</v>
      </c>
      <c r="AC620" s="0" t="n">
        <f aca="false">1+COUNTIF($T620:$W620,"&gt;"&amp;$U620)+(COUNTIF($T620:$W620,$U620)-1)/2</f>
        <v>2</v>
      </c>
      <c r="AD620" s="0" t="n">
        <f aca="false">1+COUNTIF($T620:$W620,"&gt;"&amp;$V620)+(COUNTIF($T620:$W620,$V620)-1)/2</f>
        <v>4</v>
      </c>
      <c r="AE620" s="0" t="n">
        <f aca="false">1+COUNTIF($T620:$W620,"&gt;"&amp;$W620)+(COUNTIF($T620:$W620,$W620)-1)/2</f>
        <v>1</v>
      </c>
      <c r="AF620" s="0" t="n">
        <f aca="false">IFERROR(CORREL($P620:$S620,$T620:$W620),"")</f>
        <v>0.221655226340765</v>
      </c>
      <c r="AG620" s="0" t="n">
        <f aca="false">IFERROR(CORREL($X620:$AA620,$AB620:$AE620),"")</f>
        <v>0.6</v>
      </c>
      <c r="AH620" s="0" t="n">
        <f aca="false">IFERROR((SIGN($P620-$Q620)*SIGN($T620-$U620)+SIGN($P620-$R620)*SIGN($T620-$V620)+SIGN($P620-$S620)*SIGN($T620-$W620)+SIGN($Q620-$R620)*SIGN($U620-$V620)+SIGN($Q620-$S620)*SIGN($U620-$W620)+SIGN($R620-$S620)*SIGN($V620-$W620))/SQRT((6-(($P620=$Q620)*1+($P620=$R620)*1+($P620=$S620)*1+($Q620=$R620)*1+($Q620=$S620)*1+($R620=$S620)*1))*(6-(($T620=$U620)*1+($T620=$V620)*1+($T620=$W620)*1+($U620=$V620)*1+($U620=$W620)*1+($V620=$W620)*1))),"")</f>
        <v>0.333333333333333</v>
      </c>
      <c r="AI620" s="0" t="n">
        <f aca="false">MATCH(MAX($K620:$O620),$K620:$O620,0)</f>
        <v>3</v>
      </c>
      <c r="AJ620" s="0" t="n">
        <f aca="false">IF(AI620&lt;&gt;$E620,1,0)</f>
        <v>0</v>
      </c>
      <c r="AK620" s="0" t="str">
        <f aca="false">IF(AJ620=1,INDEX($F620:$J620,AI620)/MAX($P620:$S620),"")</f>
        <v/>
      </c>
      <c r="AL620" s="0" t="str">
        <f aca="false">IF(AJ620=1,1+COUNTIF($P620:$S620,"&gt;"&amp;INDEX($F620:$J620,AI620)),"")</f>
        <v/>
      </c>
      <c r="AM620" s="0" t="n">
        <f aca="false">AVERAGE($P620:$S620)/MAX($P620:$S620)</f>
        <v>0.667073170731707</v>
      </c>
      <c r="AN620" s="0" t="n">
        <f aca="false">100-INDEX($F620:$J620,$E620)</f>
        <v>54.6</v>
      </c>
    </row>
    <row r="621" customFormat="false" ht="15" hidden="false" customHeight="false" outlineLevel="0" collapsed="false">
      <c r="A621" s="0" t="s">
        <v>61</v>
      </c>
      <c r="B621" s="0" t="n">
        <v>2020</v>
      </c>
      <c r="C621" s="0" t="s">
        <v>49</v>
      </c>
      <c r="D621" s="0" t="s">
        <v>45</v>
      </c>
      <c r="E621" s="0" t="n">
        <v>1</v>
      </c>
      <c r="F621" s="0" t="n">
        <v>25.2</v>
      </c>
      <c r="G621" s="0" t="n">
        <v>20.3</v>
      </c>
      <c r="H621" s="0" t="n">
        <v>15.5</v>
      </c>
      <c r="I621" s="0" t="n">
        <v>19.6</v>
      </c>
      <c r="J621" s="0" t="n">
        <v>19.4</v>
      </c>
      <c r="K621" s="0" t="n">
        <v>19.4730489531</v>
      </c>
      <c r="L621" s="0" t="n">
        <v>1.70847233149</v>
      </c>
      <c r="M621" s="0" t="n">
        <v>0.832029671779</v>
      </c>
      <c r="N621" s="0" t="n">
        <v>13.2903471484</v>
      </c>
      <c r="O621" s="0" t="n">
        <v>64.6961018953</v>
      </c>
      <c r="P621" s="0" t="n">
        <f aca="false">INDEX($F621:$J621,IF(1&lt;$E621,1,1+1))</f>
        <v>20.3</v>
      </c>
      <c r="Q621" s="0" t="n">
        <f aca="false">INDEX($F621:$J621,IF(2&lt;$E621,2,2+1))</f>
        <v>15.5</v>
      </c>
      <c r="R621" s="0" t="n">
        <f aca="false">INDEX($F621:$J621,IF(3&lt;$E621,3,3+1))</f>
        <v>19.6</v>
      </c>
      <c r="S621" s="0" t="n">
        <f aca="false">INDEX($F621:$J621,IF(4&lt;$E621,4,4+1))</f>
        <v>19.4</v>
      </c>
      <c r="T621" s="0" t="n">
        <f aca="false">INDEX($K621:$O621,IF(1&lt;$E621,1,1+1))</f>
        <v>1.70847233149</v>
      </c>
      <c r="U621" s="0" t="n">
        <f aca="false">INDEX($K621:$O621,IF(2&lt;$E621,2,2+1))</f>
        <v>0.832029671779</v>
      </c>
      <c r="V621" s="0" t="n">
        <f aca="false">INDEX($K621:$O621,IF(3&lt;$E621,3,3+1))</f>
        <v>13.2903471484</v>
      </c>
      <c r="W621" s="0" t="n">
        <f aca="false">INDEX($K621:$O621,IF(4&lt;$E621,4,4+1))</f>
        <v>64.6961018953</v>
      </c>
      <c r="X621" s="0" t="n">
        <f aca="false">1+COUNTIF($P621:$S621,"&gt;"&amp;$P621)+(COUNTIF($P621:$S621,$P621)-1)/2</f>
        <v>1</v>
      </c>
      <c r="Y621" s="0" t="n">
        <f aca="false">1+COUNTIF($P621:$S621,"&gt;"&amp;$Q621)+(COUNTIF($P621:$S621,$Q621)-1)/2</f>
        <v>4</v>
      </c>
      <c r="Z621" s="0" t="n">
        <f aca="false">1+COUNTIF($P621:$S621,"&gt;"&amp;$R621)+(COUNTIF($P621:$S621,$R621)-1)/2</f>
        <v>2</v>
      </c>
      <c r="AA621" s="0" t="n">
        <f aca="false">1+COUNTIF($P621:$S621,"&gt;"&amp;$S621)+(COUNTIF($P621:$S621,$S621)-1)/2</f>
        <v>3</v>
      </c>
      <c r="AB621" s="0" t="n">
        <f aca="false">1+COUNTIF($T621:$W621,"&gt;"&amp;$T621)+(COUNTIF($T621:$W621,$T621)-1)/2</f>
        <v>3</v>
      </c>
      <c r="AC621" s="0" t="n">
        <f aca="false">1+COUNTIF($T621:$W621,"&gt;"&amp;$U621)+(COUNTIF($T621:$W621,$U621)-1)/2</f>
        <v>4</v>
      </c>
      <c r="AD621" s="0" t="n">
        <f aca="false">1+COUNTIF($T621:$W621,"&gt;"&amp;$V621)+(COUNTIF($T621:$W621,$V621)-1)/2</f>
        <v>2</v>
      </c>
      <c r="AE621" s="0" t="n">
        <f aca="false">1+COUNTIF($T621:$W621,"&gt;"&amp;$W621)+(COUNTIF($T621:$W621,$W621)-1)/2</f>
        <v>1</v>
      </c>
      <c r="AF621" s="0" t="n">
        <f aca="false">IFERROR(CORREL($P621:$S621,$T621:$W621),"")</f>
        <v>0.291372034381048</v>
      </c>
      <c r="AG621" s="0" t="n">
        <f aca="false">IFERROR(CORREL($X621:$AA621,$AB621:$AE621),"")</f>
        <v>0.2</v>
      </c>
      <c r="AH621" s="0" t="n">
        <f aca="false">IFERROR((SIGN($P621-$Q621)*SIGN($T621-$U621)+SIGN($P621-$R621)*SIGN($T621-$V621)+SIGN($P621-$S621)*SIGN($T621-$W621)+SIGN($Q621-$R621)*SIGN($U621-$V621)+SIGN($Q621-$S621)*SIGN($U621-$W621)+SIGN($R621-$S621)*SIGN($V621-$W621))/SQRT((6-(($P621=$Q621)*1+($P621=$R621)*1+($P621=$S621)*1+($Q621=$R621)*1+($Q621=$S621)*1+($R621=$S621)*1))*(6-(($T621=$U621)*1+($T621=$V621)*1+($T621=$W621)*1+($U621=$V621)*1+($U621=$W621)*1+($V621=$W621)*1))),"")</f>
        <v>0</v>
      </c>
      <c r="AI621" s="0" t="n">
        <f aca="false">MATCH(MAX($K621:$O621),$K621:$O621,0)</f>
        <v>5</v>
      </c>
      <c r="AJ621" s="0" t="n">
        <f aca="false">IF(AI621&lt;&gt;$E621,1,0)</f>
        <v>1</v>
      </c>
      <c r="AK621" s="0" t="n">
        <f aca="false">IF(AJ621=1,INDEX($F621:$J621,AI621)/MAX($P621:$S621),"")</f>
        <v>0.955665024630542</v>
      </c>
      <c r="AL621" s="0" t="n">
        <f aca="false">IF(AJ621=1,1+COUNTIF($P621:$S621,"&gt;"&amp;INDEX($F621:$J621,AI621)),"")</f>
        <v>3</v>
      </c>
      <c r="AM621" s="0" t="n">
        <f aca="false">AVERAGE($P621:$S621)/MAX($P621:$S621)</f>
        <v>0.921182266009852</v>
      </c>
      <c r="AN621" s="0" t="n">
        <f aca="false">100-INDEX($F621:$J621,$E621)</f>
        <v>74.8</v>
      </c>
    </row>
    <row r="622" customFormat="false" ht="15" hidden="false" customHeight="false" outlineLevel="0" collapsed="false">
      <c r="A622" s="0" t="s">
        <v>61</v>
      </c>
      <c r="B622" s="0" t="n">
        <v>2020</v>
      </c>
      <c r="C622" s="0" t="s">
        <v>51</v>
      </c>
      <c r="D622" s="0" t="s">
        <v>42</v>
      </c>
      <c r="E622" s="0" t="n">
        <v>2</v>
      </c>
      <c r="F622" s="0" t="n">
        <v>17</v>
      </c>
      <c r="G622" s="0" t="n">
        <v>37.4</v>
      </c>
      <c r="H622" s="0" t="n">
        <v>19.9</v>
      </c>
      <c r="I622" s="0" t="n">
        <v>17.2</v>
      </c>
      <c r="J622" s="0" t="n">
        <v>7.9</v>
      </c>
      <c r="K622" s="0" t="n">
        <v>0.628384555753</v>
      </c>
      <c r="L622" s="0" t="n">
        <v>2.11846549117</v>
      </c>
      <c r="M622" s="0" t="n">
        <v>97.1754264087</v>
      </c>
      <c r="N622" s="0" t="n">
        <v>0.0765432849738</v>
      </c>
      <c r="O622" s="0" t="n">
        <v>0.00118025935059</v>
      </c>
      <c r="P622" s="0" t="n">
        <f aca="false">INDEX($F622:$J622,IF(1&lt;$E622,1,1+1))</f>
        <v>17</v>
      </c>
      <c r="Q622" s="0" t="n">
        <f aca="false">INDEX($F622:$J622,IF(2&lt;$E622,2,2+1))</f>
        <v>19.9</v>
      </c>
      <c r="R622" s="0" t="n">
        <f aca="false">INDEX($F622:$J622,IF(3&lt;$E622,3,3+1))</f>
        <v>17.2</v>
      </c>
      <c r="S622" s="0" t="n">
        <f aca="false">INDEX($F622:$J622,IF(4&lt;$E622,4,4+1))</f>
        <v>7.9</v>
      </c>
      <c r="T622" s="0" t="n">
        <f aca="false">INDEX($K622:$O622,IF(1&lt;$E622,1,1+1))</f>
        <v>0.628384555753</v>
      </c>
      <c r="U622" s="0" t="n">
        <f aca="false">INDEX($K622:$O622,IF(2&lt;$E622,2,2+1))</f>
        <v>97.1754264087</v>
      </c>
      <c r="V622" s="0" t="n">
        <f aca="false">INDEX($K622:$O622,IF(3&lt;$E622,3,3+1))</f>
        <v>0.0765432849738</v>
      </c>
      <c r="W622" s="0" t="n">
        <f aca="false">INDEX($K622:$O622,IF(4&lt;$E622,4,4+1))</f>
        <v>0.00118025935059</v>
      </c>
      <c r="X622" s="0" t="n">
        <f aca="false">1+COUNTIF($P622:$S622,"&gt;"&amp;$P622)+(COUNTIF($P622:$S622,$P622)-1)/2</f>
        <v>3</v>
      </c>
      <c r="Y622" s="0" t="n">
        <f aca="false">1+COUNTIF($P622:$S622,"&gt;"&amp;$Q622)+(COUNTIF($P622:$S622,$Q622)-1)/2</f>
        <v>1</v>
      </c>
      <c r="Z622" s="0" t="n">
        <f aca="false">1+COUNTIF($P622:$S622,"&gt;"&amp;$R622)+(COUNTIF($P622:$S622,$R622)-1)/2</f>
        <v>2</v>
      </c>
      <c r="AA622" s="0" t="n">
        <f aca="false">1+COUNTIF($P622:$S622,"&gt;"&amp;$S622)+(COUNTIF($P622:$S622,$S622)-1)/2</f>
        <v>4</v>
      </c>
      <c r="AB622" s="0" t="n">
        <f aca="false">1+COUNTIF($T622:$W622,"&gt;"&amp;$T622)+(COUNTIF($T622:$W622,$T622)-1)/2</f>
        <v>2</v>
      </c>
      <c r="AC622" s="0" t="n">
        <f aca="false">1+COUNTIF($T622:$W622,"&gt;"&amp;$U622)+(COUNTIF($T622:$W622,$U622)-1)/2</f>
        <v>1</v>
      </c>
      <c r="AD622" s="0" t="n">
        <f aca="false">1+COUNTIF($T622:$W622,"&gt;"&amp;$V622)+(COUNTIF($T622:$W622,$V622)-1)/2</f>
        <v>3</v>
      </c>
      <c r="AE622" s="0" t="n">
        <f aca="false">1+COUNTIF($T622:$W622,"&gt;"&amp;$W622)+(COUNTIF($T622:$W622,$W622)-1)/2</f>
        <v>4</v>
      </c>
      <c r="AF622" s="0" t="n">
        <f aca="false">IFERROR(CORREL($P622:$S622,$T622:$W622),"")</f>
        <v>0.562927887279205</v>
      </c>
      <c r="AG622" s="0" t="n">
        <f aca="false">IFERROR(CORREL($X622:$AA622,$AB622:$AE622),"")</f>
        <v>0.8</v>
      </c>
      <c r="AH622" s="0" t="n">
        <f aca="false">IFERROR((SIGN($P622-$Q622)*SIGN($T622-$U622)+SIGN($P622-$R622)*SIGN($T622-$V622)+SIGN($P622-$S622)*SIGN($T622-$W622)+SIGN($Q622-$R622)*SIGN($U622-$V622)+SIGN($Q622-$S622)*SIGN($U622-$W622)+SIGN($R622-$S622)*SIGN($V622-$W622))/SQRT((6-(($P622=$Q622)*1+($P622=$R622)*1+($P622=$S622)*1+($Q622=$R622)*1+($Q622=$S622)*1+($R622=$S622)*1))*(6-(($T622=$U622)*1+($T622=$V622)*1+($T622=$W622)*1+($U622=$V622)*1+($U622=$W622)*1+($V622=$W622)*1))),"")</f>
        <v>0.666666666666667</v>
      </c>
      <c r="AI622" s="0" t="n">
        <f aca="false">MATCH(MAX($K622:$O622),$K622:$O622,0)</f>
        <v>3</v>
      </c>
      <c r="AJ622" s="0" t="n">
        <f aca="false">IF(AI622&lt;&gt;$E622,1,0)</f>
        <v>1</v>
      </c>
      <c r="AK622" s="0" t="n">
        <f aca="false">IF(AJ622=1,INDEX($F622:$J622,AI622)/MAX($P622:$S622),"")</f>
        <v>1</v>
      </c>
      <c r="AL622" s="0" t="n">
        <f aca="false">IF(AJ622=1,1+COUNTIF($P622:$S622,"&gt;"&amp;INDEX($F622:$J622,AI622)),"")</f>
        <v>1</v>
      </c>
      <c r="AM622" s="0" t="n">
        <f aca="false">AVERAGE($P622:$S622)/MAX($P622:$S622)</f>
        <v>0.778894472361809</v>
      </c>
      <c r="AN622" s="0" t="n">
        <f aca="false">100-INDEX($F622:$J622,$E622)</f>
        <v>62.6</v>
      </c>
    </row>
    <row r="623" customFormat="false" ht="15" hidden="false" customHeight="false" outlineLevel="0" collapsed="false">
      <c r="A623" s="0" t="s">
        <v>61</v>
      </c>
      <c r="B623" s="0" t="n">
        <v>2020</v>
      </c>
      <c r="C623" s="0" t="s">
        <v>51</v>
      </c>
      <c r="D623" s="0" t="s">
        <v>43</v>
      </c>
      <c r="E623" s="0" t="n">
        <v>2</v>
      </c>
      <c r="F623" s="0" t="n">
        <v>19</v>
      </c>
      <c r="G623" s="0" t="n">
        <v>40.7</v>
      </c>
      <c r="H623" s="0" t="n">
        <v>11.6</v>
      </c>
      <c r="I623" s="0" t="n">
        <v>18.3</v>
      </c>
      <c r="J623" s="0" t="n">
        <v>9.6</v>
      </c>
      <c r="K623" s="0" t="n">
        <v>14.4656674613</v>
      </c>
      <c r="L623" s="0" t="n">
        <v>76.5091816689</v>
      </c>
      <c r="M623" s="0" t="n">
        <v>1.00958402488</v>
      </c>
      <c r="N623" s="0" t="n">
        <v>0.343256985887</v>
      </c>
      <c r="O623" s="0" t="n">
        <v>7.67230985904</v>
      </c>
      <c r="P623" s="0" t="n">
        <f aca="false">INDEX($F623:$J623,IF(1&lt;$E623,1,1+1))</f>
        <v>19</v>
      </c>
      <c r="Q623" s="0" t="n">
        <f aca="false">INDEX($F623:$J623,IF(2&lt;$E623,2,2+1))</f>
        <v>11.6</v>
      </c>
      <c r="R623" s="0" t="n">
        <f aca="false">INDEX($F623:$J623,IF(3&lt;$E623,3,3+1))</f>
        <v>18.3</v>
      </c>
      <c r="S623" s="0" t="n">
        <f aca="false">INDEX($F623:$J623,IF(4&lt;$E623,4,4+1))</f>
        <v>9.6</v>
      </c>
      <c r="T623" s="0" t="n">
        <f aca="false">INDEX($K623:$O623,IF(1&lt;$E623,1,1+1))</f>
        <v>14.4656674613</v>
      </c>
      <c r="U623" s="0" t="n">
        <f aca="false">INDEX($K623:$O623,IF(2&lt;$E623,2,2+1))</f>
        <v>1.00958402488</v>
      </c>
      <c r="V623" s="0" t="n">
        <f aca="false">INDEX($K623:$O623,IF(3&lt;$E623,3,3+1))</f>
        <v>0.343256985887</v>
      </c>
      <c r="W623" s="0" t="n">
        <f aca="false">INDEX($K623:$O623,IF(4&lt;$E623,4,4+1))</f>
        <v>7.67230985904</v>
      </c>
      <c r="X623" s="0" t="n">
        <f aca="false">1+COUNTIF($P623:$S623,"&gt;"&amp;$P623)+(COUNTIF($P623:$S623,$P623)-1)/2</f>
        <v>1</v>
      </c>
      <c r="Y623" s="0" t="n">
        <f aca="false">1+COUNTIF($P623:$S623,"&gt;"&amp;$Q623)+(COUNTIF($P623:$S623,$Q623)-1)/2</f>
        <v>3</v>
      </c>
      <c r="Z623" s="0" t="n">
        <f aca="false">1+COUNTIF($P623:$S623,"&gt;"&amp;$R623)+(COUNTIF($P623:$S623,$R623)-1)/2</f>
        <v>2</v>
      </c>
      <c r="AA623" s="0" t="n">
        <f aca="false">1+COUNTIF($P623:$S623,"&gt;"&amp;$S623)+(COUNTIF($P623:$S623,$S623)-1)/2</f>
        <v>4</v>
      </c>
      <c r="AB623" s="0" t="n">
        <f aca="false">1+COUNTIF($T623:$W623,"&gt;"&amp;$T623)+(COUNTIF($T623:$W623,$T623)-1)/2</f>
        <v>1</v>
      </c>
      <c r="AC623" s="0" t="n">
        <f aca="false">1+COUNTIF($T623:$W623,"&gt;"&amp;$U623)+(COUNTIF($T623:$W623,$U623)-1)/2</f>
        <v>3</v>
      </c>
      <c r="AD623" s="0" t="n">
        <f aca="false">1+COUNTIF($T623:$W623,"&gt;"&amp;$V623)+(COUNTIF($T623:$W623,$V623)-1)/2</f>
        <v>4</v>
      </c>
      <c r="AE623" s="0" t="n">
        <f aca="false">1+COUNTIF($T623:$W623,"&gt;"&amp;$W623)+(COUNTIF($T623:$W623,$W623)-1)/2</f>
        <v>2</v>
      </c>
      <c r="AF623" s="0" t="n">
        <f aca="false">IFERROR(CORREL($P623:$S623,$T623:$W623),"")</f>
        <v>0.244507800436941</v>
      </c>
      <c r="AG623" s="0" t="n">
        <f aca="false">IFERROR(CORREL($X623:$AA623,$AB623:$AE623),"")</f>
        <v>0.2</v>
      </c>
      <c r="AH623" s="0" t="n">
        <f aca="false">IFERROR((SIGN($P623-$Q623)*SIGN($T623-$U623)+SIGN($P623-$R623)*SIGN($T623-$V623)+SIGN($P623-$S623)*SIGN($T623-$W623)+SIGN($Q623-$R623)*SIGN($U623-$V623)+SIGN($Q623-$S623)*SIGN($U623-$W623)+SIGN($R623-$S623)*SIGN($V623-$W623))/SQRT((6-(($P623=$Q623)*1+($P623=$R623)*1+($P623=$S623)*1+($Q623=$R623)*1+($Q623=$S623)*1+($R623=$S623)*1))*(6-(($T623=$U623)*1+($T623=$V623)*1+($T623=$W623)*1+($U623=$V623)*1+($U623=$W623)*1+($V623=$W623)*1))),"")</f>
        <v>0</v>
      </c>
      <c r="AI623" s="0" t="n">
        <f aca="false">MATCH(MAX($K623:$O623),$K623:$O623,0)</f>
        <v>2</v>
      </c>
      <c r="AJ623" s="0" t="n">
        <f aca="false">IF(AI623&lt;&gt;$E623,1,0)</f>
        <v>0</v>
      </c>
      <c r="AK623" s="0" t="str">
        <f aca="false">IF(AJ623=1,INDEX($F623:$J623,AI623)/MAX($P623:$S623),"")</f>
        <v/>
      </c>
      <c r="AL623" s="0" t="str">
        <f aca="false">IF(AJ623=1,1+COUNTIF($P623:$S623,"&gt;"&amp;INDEX($F623:$J623,AI623)),"")</f>
        <v/>
      </c>
      <c r="AM623" s="0" t="n">
        <f aca="false">AVERAGE($P623:$S623)/MAX($P623:$S623)</f>
        <v>0.769736842105263</v>
      </c>
      <c r="AN623" s="0" t="n">
        <f aca="false">100-INDEX($F623:$J623,$E623)</f>
        <v>59.3</v>
      </c>
    </row>
    <row r="624" customFormat="false" ht="15" hidden="false" customHeight="false" outlineLevel="0" collapsed="false">
      <c r="A624" s="0" t="s">
        <v>61</v>
      </c>
      <c r="B624" s="0" t="n">
        <v>2020</v>
      </c>
      <c r="C624" s="0" t="s">
        <v>51</v>
      </c>
      <c r="D624" s="0" t="s">
        <v>44</v>
      </c>
      <c r="E624" s="0" t="n">
        <v>4</v>
      </c>
      <c r="F624" s="0" t="n">
        <v>18.4</v>
      </c>
      <c r="G624" s="0" t="n">
        <v>12</v>
      </c>
      <c r="H624" s="0" t="n">
        <v>12.4</v>
      </c>
      <c r="I624" s="0" t="n">
        <v>38.2</v>
      </c>
      <c r="J624" s="0" t="n">
        <v>18.2</v>
      </c>
      <c r="K624" s="0" t="n">
        <v>8.28312479262</v>
      </c>
      <c r="L624" s="0" t="n">
        <v>66.3615245093</v>
      </c>
      <c r="M624" s="0" t="n">
        <v>10.1948957963</v>
      </c>
      <c r="N624" s="0" t="n">
        <v>6.74713544902</v>
      </c>
      <c r="O624" s="0" t="n">
        <v>8.41331945281</v>
      </c>
      <c r="P624" s="0" t="n">
        <f aca="false">INDEX($F624:$J624,IF(1&lt;$E624,1,1+1))</f>
        <v>18.4</v>
      </c>
      <c r="Q624" s="0" t="n">
        <f aca="false">INDEX($F624:$J624,IF(2&lt;$E624,2,2+1))</f>
        <v>12</v>
      </c>
      <c r="R624" s="0" t="n">
        <f aca="false">INDEX($F624:$J624,IF(3&lt;$E624,3,3+1))</f>
        <v>12.4</v>
      </c>
      <c r="S624" s="0" t="n">
        <f aca="false">INDEX($F624:$J624,IF(4&lt;$E624,4,4+1))</f>
        <v>18.2</v>
      </c>
      <c r="T624" s="0" t="n">
        <f aca="false">INDEX($K624:$O624,IF(1&lt;$E624,1,1+1))</f>
        <v>8.28312479262</v>
      </c>
      <c r="U624" s="0" t="n">
        <f aca="false">INDEX($K624:$O624,IF(2&lt;$E624,2,2+1))</f>
        <v>66.3615245093</v>
      </c>
      <c r="V624" s="0" t="n">
        <f aca="false">INDEX($K624:$O624,IF(3&lt;$E624,3,3+1))</f>
        <v>10.1948957963</v>
      </c>
      <c r="W624" s="0" t="n">
        <f aca="false">INDEX($K624:$O624,IF(4&lt;$E624,4,4+1))</f>
        <v>8.41331945281</v>
      </c>
      <c r="X624" s="0" t="n">
        <f aca="false">1+COUNTIF($P624:$S624,"&gt;"&amp;$P624)+(COUNTIF($P624:$S624,$P624)-1)/2</f>
        <v>1</v>
      </c>
      <c r="Y624" s="0" t="n">
        <f aca="false">1+COUNTIF($P624:$S624,"&gt;"&amp;$Q624)+(COUNTIF($P624:$S624,$Q624)-1)/2</f>
        <v>4</v>
      </c>
      <c r="Z624" s="0" t="n">
        <f aca="false">1+COUNTIF($P624:$S624,"&gt;"&amp;$R624)+(COUNTIF($P624:$S624,$R624)-1)/2</f>
        <v>3</v>
      </c>
      <c r="AA624" s="0" t="n">
        <f aca="false">1+COUNTIF($P624:$S624,"&gt;"&amp;$S624)+(COUNTIF($P624:$S624,$S624)-1)/2</f>
        <v>2</v>
      </c>
      <c r="AB624" s="0" t="n">
        <f aca="false">1+COUNTIF($T624:$W624,"&gt;"&amp;$T624)+(COUNTIF($T624:$W624,$T624)-1)/2</f>
        <v>4</v>
      </c>
      <c r="AC624" s="0" t="n">
        <f aca="false">1+COUNTIF($T624:$W624,"&gt;"&amp;$U624)+(COUNTIF($T624:$W624,$U624)-1)/2</f>
        <v>1</v>
      </c>
      <c r="AD624" s="0" t="n">
        <f aca="false">1+COUNTIF($T624:$W624,"&gt;"&amp;$V624)+(COUNTIF($T624:$W624,$V624)-1)/2</f>
        <v>2</v>
      </c>
      <c r="AE624" s="0" t="n">
        <f aca="false">1+COUNTIF($T624:$W624,"&gt;"&amp;$W624)+(COUNTIF($T624:$W624,$W624)-1)/2</f>
        <v>3</v>
      </c>
      <c r="AF624" s="0" t="n">
        <f aca="false">IFERROR(CORREL($P624:$S624,$T624:$W624),"")</f>
        <v>-0.638055453023365</v>
      </c>
      <c r="AG624" s="0" t="n">
        <f aca="false">IFERROR(CORREL($X624:$AA624,$AB624:$AE624),"")</f>
        <v>-1</v>
      </c>
      <c r="AH624" s="0" t="n">
        <f aca="false">IFERROR((SIGN($P624-$Q624)*SIGN($T624-$U624)+SIGN($P624-$R624)*SIGN($T624-$V624)+SIGN($P624-$S624)*SIGN($T624-$W624)+SIGN($Q624-$R624)*SIGN($U624-$V624)+SIGN($Q624-$S624)*SIGN($U624-$W624)+SIGN($R624-$S624)*SIGN($V624-$W624))/SQRT((6-(($P624=$Q624)*1+($P624=$R624)*1+($P624=$S624)*1+($Q624=$R624)*1+($Q624=$S624)*1+($R624=$S624)*1))*(6-(($T624=$U624)*1+($T624=$V624)*1+($T624=$W624)*1+($U624=$V624)*1+($U624=$W624)*1+($V624=$W624)*1))),"")</f>
        <v>-1</v>
      </c>
      <c r="AI624" s="0" t="n">
        <f aca="false">MATCH(MAX($K624:$O624),$K624:$O624,0)</f>
        <v>2</v>
      </c>
      <c r="AJ624" s="0" t="n">
        <f aca="false">IF(AI624&lt;&gt;$E624,1,0)</f>
        <v>1</v>
      </c>
      <c r="AK624" s="0" t="n">
        <f aca="false">IF(AJ624=1,INDEX($F624:$J624,AI624)/MAX($P624:$S624),"")</f>
        <v>0.652173913043478</v>
      </c>
      <c r="AL624" s="0" t="n">
        <f aca="false">IF(AJ624=1,1+COUNTIF($P624:$S624,"&gt;"&amp;INDEX($F624:$J624,AI624)),"")</f>
        <v>4</v>
      </c>
      <c r="AM624" s="0" t="n">
        <f aca="false">AVERAGE($P624:$S624)/MAX($P624:$S624)</f>
        <v>0.828804347826087</v>
      </c>
      <c r="AN624" s="0" t="n">
        <f aca="false">100-INDEX($F624:$J624,$E624)</f>
        <v>61.8</v>
      </c>
    </row>
    <row r="625" customFormat="false" ht="15" hidden="false" customHeight="false" outlineLevel="0" collapsed="false">
      <c r="A625" s="0" t="s">
        <v>61</v>
      </c>
      <c r="B625" s="0" t="n">
        <v>2020</v>
      </c>
      <c r="C625" s="0" t="s">
        <v>51</v>
      </c>
      <c r="D625" s="0" t="s">
        <v>45</v>
      </c>
      <c r="E625" s="0" t="n">
        <v>2</v>
      </c>
      <c r="F625" s="0" t="n">
        <v>18</v>
      </c>
      <c r="G625" s="0" t="n">
        <v>38.6</v>
      </c>
      <c r="H625" s="0" t="n">
        <v>22.5</v>
      </c>
      <c r="I625" s="0" t="n">
        <v>11.7</v>
      </c>
      <c r="J625" s="0" t="n">
        <v>8.4</v>
      </c>
      <c r="K625" s="0" t="n">
        <v>23.481935885</v>
      </c>
      <c r="L625" s="0" t="n">
        <v>50.6987912509</v>
      </c>
      <c r="M625" s="0" t="n">
        <v>12.4284927955</v>
      </c>
      <c r="N625" s="0" t="n">
        <v>11.9346094087</v>
      </c>
      <c r="O625" s="0" t="n">
        <v>1.45617065998</v>
      </c>
      <c r="P625" s="0" t="n">
        <f aca="false">INDEX($F625:$J625,IF(1&lt;$E625,1,1+1))</f>
        <v>18</v>
      </c>
      <c r="Q625" s="0" t="n">
        <f aca="false">INDEX($F625:$J625,IF(2&lt;$E625,2,2+1))</f>
        <v>22.5</v>
      </c>
      <c r="R625" s="0" t="n">
        <f aca="false">INDEX($F625:$J625,IF(3&lt;$E625,3,3+1))</f>
        <v>11.7</v>
      </c>
      <c r="S625" s="0" t="n">
        <f aca="false">INDEX($F625:$J625,IF(4&lt;$E625,4,4+1))</f>
        <v>8.4</v>
      </c>
      <c r="T625" s="0" t="n">
        <f aca="false">INDEX($K625:$O625,IF(1&lt;$E625,1,1+1))</f>
        <v>23.481935885</v>
      </c>
      <c r="U625" s="0" t="n">
        <f aca="false">INDEX($K625:$O625,IF(2&lt;$E625,2,2+1))</f>
        <v>12.4284927955</v>
      </c>
      <c r="V625" s="0" t="n">
        <f aca="false">INDEX($K625:$O625,IF(3&lt;$E625,3,3+1))</f>
        <v>11.9346094087</v>
      </c>
      <c r="W625" s="0" t="n">
        <f aca="false">INDEX($K625:$O625,IF(4&lt;$E625,4,4+1))</f>
        <v>1.45617065998</v>
      </c>
      <c r="X625" s="0" t="n">
        <f aca="false">1+COUNTIF($P625:$S625,"&gt;"&amp;$P625)+(COUNTIF($P625:$S625,$P625)-1)/2</f>
        <v>2</v>
      </c>
      <c r="Y625" s="0" t="n">
        <f aca="false">1+COUNTIF($P625:$S625,"&gt;"&amp;$Q625)+(COUNTIF($P625:$S625,$Q625)-1)/2</f>
        <v>1</v>
      </c>
      <c r="Z625" s="0" t="n">
        <f aca="false">1+COUNTIF($P625:$S625,"&gt;"&amp;$R625)+(COUNTIF($P625:$S625,$R625)-1)/2</f>
        <v>3</v>
      </c>
      <c r="AA625" s="0" t="n">
        <f aca="false">1+COUNTIF($P625:$S625,"&gt;"&amp;$S625)+(COUNTIF($P625:$S625,$S625)-1)/2</f>
        <v>4</v>
      </c>
      <c r="AB625" s="0" t="n">
        <f aca="false">1+COUNTIF($T625:$W625,"&gt;"&amp;$T625)+(COUNTIF($T625:$W625,$T625)-1)/2</f>
        <v>1</v>
      </c>
      <c r="AC625" s="0" t="n">
        <f aca="false">1+COUNTIF($T625:$W625,"&gt;"&amp;$U625)+(COUNTIF($T625:$W625,$U625)-1)/2</f>
        <v>2</v>
      </c>
      <c r="AD625" s="0" t="n">
        <f aca="false">1+COUNTIF($T625:$W625,"&gt;"&amp;$V625)+(COUNTIF($T625:$W625,$V625)-1)/2</f>
        <v>3</v>
      </c>
      <c r="AE625" s="0" t="n">
        <f aca="false">1+COUNTIF($T625:$W625,"&gt;"&amp;$W625)+(COUNTIF($T625:$W625,$W625)-1)/2</f>
        <v>4</v>
      </c>
      <c r="AF625" s="0" t="n">
        <f aca="false">IFERROR(CORREL($P625:$S625,$T625:$W625),"")</f>
        <v>0.629495948930113</v>
      </c>
      <c r="AG625" s="0" t="n">
        <f aca="false">IFERROR(CORREL($X625:$AA625,$AB625:$AE625),"")</f>
        <v>0.8</v>
      </c>
      <c r="AH625" s="0" t="n">
        <f aca="false">IFERROR((SIGN($P625-$Q625)*SIGN($T625-$U625)+SIGN($P625-$R625)*SIGN($T625-$V625)+SIGN($P625-$S625)*SIGN($T625-$W625)+SIGN($Q625-$R625)*SIGN($U625-$V625)+SIGN($Q625-$S625)*SIGN($U625-$W625)+SIGN($R625-$S625)*SIGN($V625-$W625))/SQRT((6-(($P625=$Q625)*1+($P625=$R625)*1+($P625=$S625)*1+($Q625=$R625)*1+($Q625=$S625)*1+($R625=$S625)*1))*(6-(($T625=$U625)*1+($T625=$V625)*1+($T625=$W625)*1+($U625=$V625)*1+($U625=$W625)*1+($V625=$W625)*1))),"")</f>
        <v>0.666666666666667</v>
      </c>
      <c r="AI625" s="0" t="n">
        <f aca="false">MATCH(MAX($K625:$O625),$K625:$O625,0)</f>
        <v>2</v>
      </c>
      <c r="AJ625" s="0" t="n">
        <f aca="false">IF(AI625&lt;&gt;$E625,1,0)</f>
        <v>0</v>
      </c>
      <c r="AK625" s="0" t="str">
        <f aca="false">IF(AJ625=1,INDEX($F625:$J625,AI625)/MAX($P625:$S625),"")</f>
        <v/>
      </c>
      <c r="AL625" s="0" t="str">
        <f aca="false">IF(AJ625=1,1+COUNTIF($P625:$S625,"&gt;"&amp;INDEX($F625:$J625,AI625)),"")</f>
        <v/>
      </c>
      <c r="AM625" s="0" t="n">
        <f aca="false">AVERAGE($P625:$S625)/MAX($P625:$S625)</f>
        <v>0.673333333333333</v>
      </c>
      <c r="AN625" s="0" t="n">
        <f aca="false">100-INDEX($F625:$J625,$E625)</f>
        <v>61.4</v>
      </c>
    </row>
    <row r="626" customFormat="false" ht="15" hidden="false" customHeight="false" outlineLevel="0" collapsed="false">
      <c r="A626" s="0" t="s">
        <v>61</v>
      </c>
      <c r="B626" s="0" t="n">
        <v>2020</v>
      </c>
      <c r="C626" s="0" t="s">
        <v>46</v>
      </c>
      <c r="D626" s="0" t="s">
        <v>42</v>
      </c>
      <c r="E626" s="0" t="n">
        <v>3</v>
      </c>
      <c r="F626" s="0" t="n">
        <v>7</v>
      </c>
      <c r="G626" s="0" t="n">
        <v>11.1</v>
      </c>
      <c r="H626" s="0" t="n">
        <v>56</v>
      </c>
      <c r="I626" s="0" t="n">
        <v>4.5</v>
      </c>
      <c r="J626" s="0" t="n">
        <v>21.4</v>
      </c>
      <c r="K626" s="0" t="n">
        <v>16.3309089673</v>
      </c>
      <c r="L626" s="0" t="n">
        <v>33.0031811769</v>
      </c>
      <c r="M626" s="0" t="n">
        <v>20.0028433887</v>
      </c>
      <c r="N626" s="0" t="n">
        <v>20.4245613221</v>
      </c>
      <c r="O626" s="0" t="n">
        <v>10.238505145</v>
      </c>
      <c r="P626" s="0" t="n">
        <f aca="false">INDEX($F626:$J626,IF(1&lt;$E626,1,1+1))</f>
        <v>7</v>
      </c>
      <c r="Q626" s="0" t="n">
        <f aca="false">INDEX($F626:$J626,IF(2&lt;$E626,2,2+1))</f>
        <v>11.1</v>
      </c>
      <c r="R626" s="0" t="n">
        <f aca="false">INDEX($F626:$J626,IF(3&lt;$E626,3,3+1))</f>
        <v>4.5</v>
      </c>
      <c r="S626" s="0" t="n">
        <f aca="false">INDEX($F626:$J626,IF(4&lt;$E626,4,4+1))</f>
        <v>21.4</v>
      </c>
      <c r="T626" s="0" t="n">
        <f aca="false">INDEX($K626:$O626,IF(1&lt;$E626,1,1+1))</f>
        <v>16.3309089673</v>
      </c>
      <c r="U626" s="0" t="n">
        <f aca="false">INDEX($K626:$O626,IF(2&lt;$E626,2,2+1))</f>
        <v>33.0031811769</v>
      </c>
      <c r="V626" s="0" t="n">
        <f aca="false">INDEX($K626:$O626,IF(3&lt;$E626,3,3+1))</f>
        <v>20.4245613221</v>
      </c>
      <c r="W626" s="0" t="n">
        <f aca="false">INDEX($K626:$O626,IF(4&lt;$E626,4,4+1))</f>
        <v>10.238505145</v>
      </c>
      <c r="X626" s="0" t="n">
        <f aca="false">1+COUNTIF($P626:$S626,"&gt;"&amp;$P626)+(COUNTIF($P626:$S626,$P626)-1)/2</f>
        <v>3</v>
      </c>
      <c r="Y626" s="0" t="n">
        <f aca="false">1+COUNTIF($P626:$S626,"&gt;"&amp;$Q626)+(COUNTIF($P626:$S626,$Q626)-1)/2</f>
        <v>2</v>
      </c>
      <c r="Z626" s="0" t="n">
        <f aca="false">1+COUNTIF($P626:$S626,"&gt;"&amp;$R626)+(COUNTIF($P626:$S626,$R626)-1)/2</f>
        <v>4</v>
      </c>
      <c r="AA626" s="0" t="n">
        <f aca="false">1+COUNTIF($P626:$S626,"&gt;"&amp;$S626)+(COUNTIF($P626:$S626,$S626)-1)/2</f>
        <v>1</v>
      </c>
      <c r="AB626" s="0" t="n">
        <f aca="false">1+COUNTIF($T626:$W626,"&gt;"&amp;$T626)+(COUNTIF($T626:$W626,$T626)-1)/2</f>
        <v>3</v>
      </c>
      <c r="AC626" s="0" t="n">
        <f aca="false">1+COUNTIF($T626:$W626,"&gt;"&amp;$U626)+(COUNTIF($T626:$W626,$U626)-1)/2</f>
        <v>1</v>
      </c>
      <c r="AD626" s="0" t="n">
        <f aca="false">1+COUNTIF($T626:$W626,"&gt;"&amp;$V626)+(COUNTIF($T626:$W626,$V626)-1)/2</f>
        <v>2</v>
      </c>
      <c r="AE626" s="0" t="n">
        <f aca="false">1+COUNTIF($T626:$W626,"&gt;"&amp;$W626)+(COUNTIF($T626:$W626,$W626)-1)/2</f>
        <v>4</v>
      </c>
      <c r="AF626" s="0" t="n">
        <f aca="false">IFERROR(CORREL($P626:$S626,$T626:$W626),"")</f>
        <v>-0.41052399528221</v>
      </c>
      <c r="AG626" s="0" t="n">
        <f aca="false">IFERROR(CORREL($X626:$AA626,$AB626:$AE626),"")</f>
        <v>-0.4</v>
      </c>
      <c r="AH626" s="0" t="n">
        <f aca="false">IFERROR((SIGN($P626-$Q626)*SIGN($T626-$U626)+SIGN($P626-$R626)*SIGN($T626-$V626)+SIGN($P626-$S626)*SIGN($T626-$W626)+SIGN($Q626-$R626)*SIGN($U626-$V626)+SIGN($Q626-$S626)*SIGN($U626-$W626)+SIGN($R626-$S626)*SIGN($V626-$W626))/SQRT((6-(($P626=$Q626)*1+($P626=$R626)*1+($P626=$S626)*1+($Q626=$R626)*1+($Q626=$S626)*1+($R626=$S626)*1))*(6-(($T626=$U626)*1+($T626=$V626)*1+($T626=$W626)*1+($U626=$V626)*1+($U626=$W626)*1+($V626=$W626)*1))),"")</f>
        <v>-0.333333333333333</v>
      </c>
      <c r="AI626" s="0" t="n">
        <f aca="false">MATCH(MAX($K626:$O626),$K626:$O626,0)</f>
        <v>2</v>
      </c>
      <c r="AJ626" s="0" t="n">
        <f aca="false">IF(AI626&lt;&gt;$E626,1,0)</f>
        <v>1</v>
      </c>
      <c r="AK626" s="0" t="n">
        <f aca="false">IF(AJ626=1,INDEX($F626:$J626,AI626)/MAX($P626:$S626),"")</f>
        <v>0.518691588785047</v>
      </c>
      <c r="AL626" s="0" t="n">
        <f aca="false">IF(AJ626=1,1+COUNTIF($P626:$S626,"&gt;"&amp;INDEX($F626:$J626,AI626)),"")</f>
        <v>2</v>
      </c>
      <c r="AM626" s="0" t="n">
        <f aca="false">AVERAGE($P626:$S626)/MAX($P626:$S626)</f>
        <v>0.514018691588785</v>
      </c>
      <c r="AN626" s="0" t="n">
        <f aca="false">100-INDEX($F626:$J626,$E626)</f>
        <v>44</v>
      </c>
    </row>
    <row r="627" customFormat="false" ht="15" hidden="false" customHeight="false" outlineLevel="0" collapsed="false">
      <c r="A627" s="0" t="s">
        <v>61</v>
      </c>
      <c r="B627" s="0" t="n">
        <v>2020</v>
      </c>
      <c r="C627" s="0" t="s">
        <v>46</v>
      </c>
      <c r="D627" s="0" t="s">
        <v>43</v>
      </c>
      <c r="E627" s="0" t="n">
        <v>1</v>
      </c>
      <c r="F627" s="0" t="n">
        <v>58</v>
      </c>
      <c r="G627" s="0" t="n">
        <v>10.4</v>
      </c>
      <c r="H627" s="0" t="n">
        <v>15.1</v>
      </c>
      <c r="I627" s="0" t="n">
        <v>7.6</v>
      </c>
      <c r="J627" s="0" t="n">
        <v>8.9</v>
      </c>
      <c r="K627" s="0" t="n">
        <v>92.0273737474</v>
      </c>
      <c r="L627" s="0" t="n">
        <v>0.680181255014</v>
      </c>
      <c r="M627" s="0" t="n">
        <v>1.35162145153</v>
      </c>
      <c r="N627" s="0" t="n">
        <v>1.25048794767</v>
      </c>
      <c r="O627" s="0" t="n">
        <v>4.69033559834</v>
      </c>
      <c r="P627" s="0" t="n">
        <f aca="false">INDEX($F627:$J627,IF(1&lt;$E627,1,1+1))</f>
        <v>10.4</v>
      </c>
      <c r="Q627" s="0" t="n">
        <f aca="false">INDEX($F627:$J627,IF(2&lt;$E627,2,2+1))</f>
        <v>15.1</v>
      </c>
      <c r="R627" s="0" t="n">
        <f aca="false">INDEX($F627:$J627,IF(3&lt;$E627,3,3+1))</f>
        <v>7.6</v>
      </c>
      <c r="S627" s="0" t="n">
        <f aca="false">INDEX($F627:$J627,IF(4&lt;$E627,4,4+1))</f>
        <v>8.9</v>
      </c>
      <c r="T627" s="0" t="n">
        <f aca="false">INDEX($K627:$O627,IF(1&lt;$E627,1,1+1))</f>
        <v>0.680181255014</v>
      </c>
      <c r="U627" s="0" t="n">
        <f aca="false">INDEX($K627:$O627,IF(2&lt;$E627,2,2+1))</f>
        <v>1.35162145153</v>
      </c>
      <c r="V627" s="0" t="n">
        <f aca="false">INDEX($K627:$O627,IF(3&lt;$E627,3,3+1))</f>
        <v>1.25048794767</v>
      </c>
      <c r="W627" s="0" t="n">
        <f aca="false">INDEX($K627:$O627,IF(4&lt;$E627,4,4+1))</f>
        <v>4.69033559834</v>
      </c>
      <c r="X627" s="0" t="n">
        <f aca="false">1+COUNTIF($P627:$S627,"&gt;"&amp;$P627)+(COUNTIF($P627:$S627,$P627)-1)/2</f>
        <v>2</v>
      </c>
      <c r="Y627" s="0" t="n">
        <f aca="false">1+COUNTIF($P627:$S627,"&gt;"&amp;$Q627)+(COUNTIF($P627:$S627,$Q627)-1)/2</f>
        <v>1</v>
      </c>
      <c r="Z627" s="0" t="n">
        <f aca="false">1+COUNTIF($P627:$S627,"&gt;"&amp;$R627)+(COUNTIF($P627:$S627,$R627)-1)/2</f>
        <v>4</v>
      </c>
      <c r="AA627" s="0" t="n">
        <f aca="false">1+COUNTIF($P627:$S627,"&gt;"&amp;$S627)+(COUNTIF($P627:$S627,$S627)-1)/2</f>
        <v>3</v>
      </c>
      <c r="AB627" s="0" t="n">
        <f aca="false">1+COUNTIF($T627:$W627,"&gt;"&amp;$T627)+(COUNTIF($T627:$W627,$T627)-1)/2</f>
        <v>4</v>
      </c>
      <c r="AC627" s="0" t="n">
        <f aca="false">1+COUNTIF($T627:$W627,"&gt;"&amp;$U627)+(COUNTIF($T627:$W627,$U627)-1)/2</f>
        <v>2</v>
      </c>
      <c r="AD627" s="0" t="n">
        <f aca="false">1+COUNTIF($T627:$W627,"&gt;"&amp;$V627)+(COUNTIF($T627:$W627,$V627)-1)/2</f>
        <v>3</v>
      </c>
      <c r="AE627" s="0" t="n">
        <f aca="false">1+COUNTIF($T627:$W627,"&gt;"&amp;$W627)+(COUNTIF($T627:$W627,$W627)-1)/2</f>
        <v>1</v>
      </c>
      <c r="AF627" s="0" t="n">
        <f aca="false">IFERROR(CORREL($P627:$S627,$T627:$W627),"")</f>
        <v>-0.278399996263258</v>
      </c>
      <c r="AG627" s="0" t="n">
        <f aca="false">IFERROR(CORREL($X627:$AA627,$AB627:$AE627),"")</f>
        <v>0</v>
      </c>
      <c r="AH627" s="0" t="n">
        <f aca="false">IFERROR((SIGN($P627-$Q627)*SIGN($T627-$U627)+SIGN($P627-$R627)*SIGN($T627-$V627)+SIGN($P627-$S627)*SIGN($T627-$W627)+SIGN($Q627-$R627)*SIGN($U627-$V627)+SIGN($Q627-$S627)*SIGN($U627-$W627)+SIGN($R627-$S627)*SIGN($V627-$W627))/SQRT((6-(($P627=$Q627)*1+($P627=$R627)*1+($P627=$S627)*1+($Q627=$R627)*1+($Q627=$S627)*1+($R627=$S627)*1))*(6-(($T627=$U627)*1+($T627=$V627)*1+($T627=$W627)*1+($U627=$V627)*1+($U627=$W627)*1+($V627=$W627)*1))),"")</f>
        <v>0</v>
      </c>
      <c r="AI627" s="0" t="n">
        <f aca="false">MATCH(MAX($K627:$O627),$K627:$O627,0)</f>
        <v>1</v>
      </c>
      <c r="AJ627" s="0" t="n">
        <f aca="false">IF(AI627&lt;&gt;$E627,1,0)</f>
        <v>0</v>
      </c>
      <c r="AK627" s="0" t="str">
        <f aca="false">IF(AJ627=1,INDEX($F627:$J627,AI627)/MAX($P627:$S627),"")</f>
        <v/>
      </c>
      <c r="AL627" s="0" t="str">
        <f aca="false">IF(AJ627=1,1+COUNTIF($P627:$S627,"&gt;"&amp;INDEX($F627:$J627,AI627)),"")</f>
        <v/>
      </c>
      <c r="AM627" s="0" t="n">
        <f aca="false">AVERAGE($P627:$S627)/MAX($P627:$S627)</f>
        <v>0.695364238410596</v>
      </c>
      <c r="AN627" s="0" t="n">
        <f aca="false">100-INDEX($F627:$J627,$E627)</f>
        <v>42</v>
      </c>
    </row>
    <row r="628" customFormat="false" ht="15" hidden="false" customHeight="false" outlineLevel="0" collapsed="false">
      <c r="A628" s="0" t="s">
        <v>61</v>
      </c>
      <c r="B628" s="0" t="n">
        <v>2020</v>
      </c>
      <c r="C628" s="0" t="s">
        <v>46</v>
      </c>
      <c r="D628" s="0" t="s">
        <v>44</v>
      </c>
      <c r="E628" s="0" t="n">
        <v>1</v>
      </c>
      <c r="F628" s="0" t="n">
        <v>59.1</v>
      </c>
      <c r="G628" s="0" t="n">
        <v>11.3</v>
      </c>
      <c r="H628" s="0" t="n">
        <v>11.4</v>
      </c>
      <c r="I628" s="0" t="n">
        <v>9</v>
      </c>
      <c r="J628" s="0" t="n">
        <v>9.2</v>
      </c>
      <c r="K628" s="0" t="n">
        <v>92.580759158</v>
      </c>
      <c r="L628" s="0" t="n">
        <v>0.721384578724</v>
      </c>
      <c r="M628" s="0" t="n">
        <v>1.99880881768</v>
      </c>
      <c r="N628" s="0" t="n">
        <v>2.03699224464</v>
      </c>
      <c r="O628" s="0" t="n">
        <v>2.66205520096</v>
      </c>
      <c r="P628" s="0" t="n">
        <f aca="false">INDEX($F628:$J628,IF(1&lt;$E628,1,1+1))</f>
        <v>11.3</v>
      </c>
      <c r="Q628" s="0" t="n">
        <f aca="false">INDEX($F628:$J628,IF(2&lt;$E628,2,2+1))</f>
        <v>11.4</v>
      </c>
      <c r="R628" s="0" t="n">
        <f aca="false">INDEX($F628:$J628,IF(3&lt;$E628,3,3+1))</f>
        <v>9</v>
      </c>
      <c r="S628" s="0" t="n">
        <f aca="false">INDEX($F628:$J628,IF(4&lt;$E628,4,4+1))</f>
        <v>9.2</v>
      </c>
      <c r="T628" s="0" t="n">
        <f aca="false">INDEX($K628:$O628,IF(1&lt;$E628,1,1+1))</f>
        <v>0.721384578724</v>
      </c>
      <c r="U628" s="0" t="n">
        <f aca="false">INDEX($K628:$O628,IF(2&lt;$E628,2,2+1))</f>
        <v>1.99880881768</v>
      </c>
      <c r="V628" s="0" t="n">
        <f aca="false">INDEX($K628:$O628,IF(3&lt;$E628,3,3+1))</f>
        <v>2.03699224464</v>
      </c>
      <c r="W628" s="0" t="n">
        <f aca="false">INDEX($K628:$O628,IF(4&lt;$E628,4,4+1))</f>
        <v>2.66205520096</v>
      </c>
      <c r="X628" s="0" t="n">
        <f aca="false">1+COUNTIF($P628:$S628,"&gt;"&amp;$P628)+(COUNTIF($P628:$S628,$P628)-1)/2</f>
        <v>2</v>
      </c>
      <c r="Y628" s="0" t="n">
        <f aca="false">1+COUNTIF($P628:$S628,"&gt;"&amp;$Q628)+(COUNTIF($P628:$S628,$Q628)-1)/2</f>
        <v>1</v>
      </c>
      <c r="Z628" s="0" t="n">
        <f aca="false">1+COUNTIF($P628:$S628,"&gt;"&amp;$R628)+(COUNTIF($P628:$S628,$R628)-1)/2</f>
        <v>4</v>
      </c>
      <c r="AA628" s="0" t="n">
        <f aca="false">1+COUNTIF($P628:$S628,"&gt;"&amp;$S628)+(COUNTIF($P628:$S628,$S628)-1)/2</f>
        <v>3</v>
      </c>
      <c r="AB628" s="0" t="n">
        <f aca="false">1+COUNTIF($T628:$W628,"&gt;"&amp;$T628)+(COUNTIF($T628:$W628,$T628)-1)/2</f>
        <v>4</v>
      </c>
      <c r="AC628" s="0" t="n">
        <f aca="false">1+COUNTIF($T628:$W628,"&gt;"&amp;$U628)+(COUNTIF($T628:$W628,$U628)-1)/2</f>
        <v>3</v>
      </c>
      <c r="AD628" s="0" t="n">
        <f aca="false">1+COUNTIF($T628:$W628,"&gt;"&amp;$V628)+(COUNTIF($T628:$W628,$V628)-1)/2</f>
        <v>2</v>
      </c>
      <c r="AE628" s="0" t="n">
        <f aca="false">1+COUNTIF($T628:$W628,"&gt;"&amp;$W628)+(COUNTIF($T628:$W628,$W628)-1)/2</f>
        <v>1</v>
      </c>
      <c r="AF628" s="0" t="n">
        <f aca="false">IFERROR(CORREL($P628:$S628,$T628:$W628),"")</f>
        <v>-0.659905311998838</v>
      </c>
      <c r="AG628" s="0" t="n">
        <f aca="false">IFERROR(CORREL($X628:$AA628,$AB628:$AE628),"")</f>
        <v>-0.6</v>
      </c>
      <c r="AH628" s="0" t="n">
        <f aca="false">IFERROR((SIGN($P628-$Q628)*SIGN($T628-$U628)+SIGN($P628-$R628)*SIGN($T628-$V628)+SIGN($P628-$S628)*SIGN($T628-$W628)+SIGN($Q628-$R628)*SIGN($U628-$V628)+SIGN($Q628-$S628)*SIGN($U628-$W628)+SIGN($R628-$S628)*SIGN($V628-$W628))/SQRT((6-(($P628=$Q628)*1+($P628=$R628)*1+($P628=$S628)*1+($Q628=$R628)*1+($Q628=$S628)*1+($R628=$S628)*1))*(6-(($T628=$U628)*1+($T628=$V628)*1+($T628=$W628)*1+($U628=$V628)*1+($U628=$W628)*1+($V628=$W628)*1))),"")</f>
        <v>-0.333333333333333</v>
      </c>
      <c r="AI628" s="0" t="n">
        <f aca="false">MATCH(MAX($K628:$O628),$K628:$O628,0)</f>
        <v>1</v>
      </c>
      <c r="AJ628" s="0" t="n">
        <f aca="false">IF(AI628&lt;&gt;$E628,1,0)</f>
        <v>0</v>
      </c>
      <c r="AK628" s="0" t="str">
        <f aca="false">IF(AJ628=1,INDEX($F628:$J628,AI628)/MAX($P628:$S628),"")</f>
        <v/>
      </c>
      <c r="AL628" s="0" t="str">
        <f aca="false">IF(AJ628=1,1+COUNTIF($P628:$S628,"&gt;"&amp;INDEX($F628:$J628,AI628)),"")</f>
        <v/>
      </c>
      <c r="AM628" s="0" t="n">
        <f aca="false">AVERAGE($P628:$S628)/MAX($P628:$S628)</f>
        <v>0.896929824561404</v>
      </c>
      <c r="AN628" s="0" t="n">
        <f aca="false">100-INDEX($F628:$J628,$E628)</f>
        <v>40.9</v>
      </c>
    </row>
    <row r="629" customFormat="false" ht="15" hidden="false" customHeight="false" outlineLevel="0" collapsed="false">
      <c r="A629" s="0" t="s">
        <v>61</v>
      </c>
      <c r="B629" s="0" t="n">
        <v>2020</v>
      </c>
      <c r="C629" s="0" t="s">
        <v>46</v>
      </c>
      <c r="D629" s="0" t="s">
        <v>45</v>
      </c>
      <c r="E629" s="0" t="n">
        <v>1</v>
      </c>
      <c r="F629" s="0" t="n">
        <v>54.4</v>
      </c>
      <c r="G629" s="0" t="n">
        <v>11</v>
      </c>
      <c r="H629" s="0" t="n">
        <v>14.6</v>
      </c>
      <c r="I629" s="0" t="n">
        <v>7.9</v>
      </c>
      <c r="J629" s="0" t="n">
        <v>12.1</v>
      </c>
      <c r="K629" s="0" t="n">
        <v>50.7684066932</v>
      </c>
      <c r="L629" s="0" t="n">
        <v>9.67900722771</v>
      </c>
      <c r="M629" s="0" t="n">
        <v>4.94050692498</v>
      </c>
      <c r="N629" s="0" t="n">
        <v>33.061014227</v>
      </c>
      <c r="O629" s="0" t="n">
        <v>1.55106492707</v>
      </c>
      <c r="P629" s="0" t="n">
        <f aca="false">INDEX($F629:$J629,IF(1&lt;$E629,1,1+1))</f>
        <v>11</v>
      </c>
      <c r="Q629" s="0" t="n">
        <f aca="false">INDEX($F629:$J629,IF(2&lt;$E629,2,2+1))</f>
        <v>14.6</v>
      </c>
      <c r="R629" s="0" t="n">
        <f aca="false">INDEX($F629:$J629,IF(3&lt;$E629,3,3+1))</f>
        <v>7.9</v>
      </c>
      <c r="S629" s="0" t="n">
        <f aca="false">INDEX($F629:$J629,IF(4&lt;$E629,4,4+1))</f>
        <v>12.1</v>
      </c>
      <c r="T629" s="0" t="n">
        <f aca="false">INDEX($K629:$O629,IF(1&lt;$E629,1,1+1))</f>
        <v>9.67900722771</v>
      </c>
      <c r="U629" s="0" t="n">
        <f aca="false">INDEX($K629:$O629,IF(2&lt;$E629,2,2+1))</f>
        <v>4.94050692498</v>
      </c>
      <c r="V629" s="0" t="n">
        <f aca="false">INDEX($K629:$O629,IF(3&lt;$E629,3,3+1))</f>
        <v>33.061014227</v>
      </c>
      <c r="W629" s="0" t="n">
        <f aca="false">INDEX($K629:$O629,IF(4&lt;$E629,4,4+1))</f>
        <v>1.55106492707</v>
      </c>
      <c r="X629" s="0" t="n">
        <f aca="false">1+COUNTIF($P629:$S629,"&gt;"&amp;$P629)+(COUNTIF($P629:$S629,$P629)-1)/2</f>
        <v>3</v>
      </c>
      <c r="Y629" s="0" t="n">
        <f aca="false">1+COUNTIF($P629:$S629,"&gt;"&amp;$Q629)+(COUNTIF($P629:$S629,$Q629)-1)/2</f>
        <v>1</v>
      </c>
      <c r="Z629" s="0" t="n">
        <f aca="false">1+COUNTIF($P629:$S629,"&gt;"&amp;$R629)+(COUNTIF($P629:$S629,$R629)-1)/2</f>
        <v>4</v>
      </c>
      <c r="AA629" s="0" t="n">
        <f aca="false">1+COUNTIF($P629:$S629,"&gt;"&amp;$S629)+(COUNTIF($P629:$S629,$S629)-1)/2</f>
        <v>2</v>
      </c>
      <c r="AB629" s="0" t="n">
        <f aca="false">1+COUNTIF($T629:$W629,"&gt;"&amp;$T629)+(COUNTIF($T629:$W629,$T629)-1)/2</f>
        <v>2</v>
      </c>
      <c r="AC629" s="0" t="n">
        <f aca="false">1+COUNTIF($T629:$W629,"&gt;"&amp;$U629)+(COUNTIF($T629:$W629,$U629)-1)/2</f>
        <v>3</v>
      </c>
      <c r="AD629" s="0" t="n">
        <f aca="false">1+COUNTIF($T629:$W629,"&gt;"&amp;$V629)+(COUNTIF($T629:$W629,$V629)-1)/2</f>
        <v>1</v>
      </c>
      <c r="AE629" s="0" t="n">
        <f aca="false">1+COUNTIF($T629:$W629,"&gt;"&amp;$W629)+(COUNTIF($T629:$W629,$W629)-1)/2</f>
        <v>4</v>
      </c>
      <c r="AF629" s="0" t="n">
        <f aca="false">IFERROR(CORREL($P629:$S629,$T629:$W629),"")</f>
        <v>-0.866044025101894</v>
      </c>
      <c r="AG629" s="0" t="n">
        <f aca="false">IFERROR(CORREL($X629:$AA629,$AB629:$AE629),"")</f>
        <v>-0.8</v>
      </c>
      <c r="AH629" s="0" t="n">
        <f aca="false">IFERROR((SIGN($P629-$Q629)*SIGN($T629-$U629)+SIGN($P629-$R629)*SIGN($T629-$V629)+SIGN($P629-$S629)*SIGN($T629-$W629)+SIGN($Q629-$R629)*SIGN($U629-$V629)+SIGN($Q629-$S629)*SIGN($U629-$W629)+SIGN($R629-$S629)*SIGN($V629-$W629))/SQRT((6-(($P629=$Q629)*1+($P629=$R629)*1+($P629=$S629)*1+($Q629=$R629)*1+($Q629=$S629)*1+($R629=$S629)*1))*(6-(($T629=$U629)*1+($T629=$V629)*1+($T629=$W629)*1+($U629=$V629)*1+($U629=$W629)*1+($V629=$W629)*1))),"")</f>
        <v>-0.666666666666667</v>
      </c>
      <c r="AI629" s="0" t="n">
        <f aca="false">MATCH(MAX($K629:$O629),$K629:$O629,0)</f>
        <v>1</v>
      </c>
      <c r="AJ629" s="0" t="n">
        <f aca="false">IF(AI629&lt;&gt;$E629,1,0)</f>
        <v>0</v>
      </c>
      <c r="AK629" s="0" t="str">
        <f aca="false">IF(AJ629=1,INDEX($F629:$J629,AI629)/MAX($P629:$S629),"")</f>
        <v/>
      </c>
      <c r="AL629" s="0" t="str">
        <f aca="false">IF(AJ629=1,1+COUNTIF($P629:$S629,"&gt;"&amp;INDEX($F629:$J629,AI629)),"")</f>
        <v/>
      </c>
      <c r="AM629" s="0" t="n">
        <f aca="false">AVERAGE($P629:$S629)/MAX($P629:$S629)</f>
        <v>0.780821917808219</v>
      </c>
      <c r="AN629" s="0" t="n">
        <f aca="false">100-INDEX($F629:$J629,$E629)</f>
        <v>45.6</v>
      </c>
    </row>
    <row r="630" customFormat="false" ht="15" hidden="false" customHeight="false" outlineLevel="0" collapsed="false">
      <c r="A630" s="0" t="s">
        <v>61</v>
      </c>
      <c r="B630" s="0" t="n">
        <v>2019</v>
      </c>
      <c r="C630" s="0" t="s">
        <v>58</v>
      </c>
      <c r="D630" s="0" t="s">
        <v>42</v>
      </c>
      <c r="E630" s="0" t="n">
        <v>2</v>
      </c>
      <c r="F630" s="0" t="n">
        <v>10.9</v>
      </c>
      <c r="G630" s="0" t="n">
        <v>28.4</v>
      </c>
      <c r="H630" s="0" t="n">
        <v>27.6</v>
      </c>
      <c r="I630" s="0" t="n">
        <v>15.7</v>
      </c>
      <c r="J630" s="0" t="n">
        <v>16.9</v>
      </c>
      <c r="K630" s="0" t="n">
        <v>0.174674757088</v>
      </c>
      <c r="L630" s="0" t="n">
        <v>99.5150650624</v>
      </c>
      <c r="M630" s="0" t="n">
        <v>0.144170014513</v>
      </c>
      <c r="N630" s="0" t="n">
        <v>0.037027553463</v>
      </c>
      <c r="O630" s="0" t="n">
        <v>0.129062612491</v>
      </c>
      <c r="P630" s="0" t="n">
        <f aca="false">INDEX($F630:$J630,IF(1&lt;$E630,1,1+1))</f>
        <v>10.9</v>
      </c>
      <c r="Q630" s="0" t="n">
        <f aca="false">INDEX($F630:$J630,IF(2&lt;$E630,2,2+1))</f>
        <v>27.6</v>
      </c>
      <c r="R630" s="0" t="n">
        <f aca="false">INDEX($F630:$J630,IF(3&lt;$E630,3,3+1))</f>
        <v>15.7</v>
      </c>
      <c r="S630" s="0" t="n">
        <f aca="false">INDEX($F630:$J630,IF(4&lt;$E630,4,4+1))</f>
        <v>16.9</v>
      </c>
      <c r="T630" s="0" t="n">
        <f aca="false">INDEX($K630:$O630,IF(1&lt;$E630,1,1+1))</f>
        <v>0.174674757088</v>
      </c>
      <c r="U630" s="0" t="n">
        <f aca="false">INDEX($K630:$O630,IF(2&lt;$E630,2,2+1))</f>
        <v>0.144170014513</v>
      </c>
      <c r="V630" s="0" t="n">
        <f aca="false">INDEX($K630:$O630,IF(3&lt;$E630,3,3+1))</f>
        <v>0.037027553463</v>
      </c>
      <c r="W630" s="0" t="n">
        <f aca="false">INDEX($K630:$O630,IF(4&lt;$E630,4,4+1))</f>
        <v>0.129062612491</v>
      </c>
      <c r="X630" s="0" t="n">
        <f aca="false">1+COUNTIF($P630:$S630,"&gt;"&amp;$P630)+(COUNTIF($P630:$S630,$P630)-1)/2</f>
        <v>4</v>
      </c>
      <c r="Y630" s="0" t="n">
        <f aca="false">1+COUNTIF($P630:$S630,"&gt;"&amp;$Q630)+(COUNTIF($P630:$S630,$Q630)-1)/2</f>
        <v>1</v>
      </c>
      <c r="Z630" s="0" t="n">
        <f aca="false">1+COUNTIF($P630:$S630,"&gt;"&amp;$R630)+(COUNTIF($P630:$S630,$R630)-1)/2</f>
        <v>3</v>
      </c>
      <c r="AA630" s="0" t="n">
        <f aca="false">1+COUNTIF($P630:$S630,"&gt;"&amp;$S630)+(COUNTIF($P630:$S630,$S630)-1)/2</f>
        <v>2</v>
      </c>
      <c r="AB630" s="0" t="n">
        <f aca="false">1+COUNTIF($T630:$W630,"&gt;"&amp;$T630)+(COUNTIF($T630:$W630,$T630)-1)/2</f>
        <v>1</v>
      </c>
      <c r="AC630" s="0" t="n">
        <f aca="false">1+COUNTIF($T630:$W630,"&gt;"&amp;$U630)+(COUNTIF($T630:$W630,$U630)-1)/2</f>
        <v>2</v>
      </c>
      <c r="AD630" s="0" t="n">
        <f aca="false">1+COUNTIF($T630:$W630,"&gt;"&amp;$V630)+(COUNTIF($T630:$W630,$V630)-1)/2</f>
        <v>4</v>
      </c>
      <c r="AE630" s="0" t="n">
        <f aca="false">1+COUNTIF($T630:$W630,"&gt;"&amp;$W630)+(COUNTIF($T630:$W630,$W630)-1)/2</f>
        <v>3</v>
      </c>
      <c r="AF630" s="0" t="n">
        <f aca="false">IFERROR(CORREL($P630:$S630,$T630:$W630),"")</f>
        <v>0.0206182168417295</v>
      </c>
      <c r="AG630" s="0" t="n">
        <f aca="false">IFERROR(CORREL($X630:$AA630,$AB630:$AE630),"")</f>
        <v>-0.2</v>
      </c>
      <c r="AH630" s="0" t="n">
        <f aca="false">IFERROR((SIGN($P630-$Q630)*SIGN($T630-$U630)+SIGN($P630-$R630)*SIGN($T630-$V630)+SIGN($P630-$S630)*SIGN($T630-$W630)+SIGN($Q630-$R630)*SIGN($U630-$V630)+SIGN($Q630-$S630)*SIGN($U630-$W630)+SIGN($R630-$S630)*SIGN($V630-$W630))/SQRT((6-(($P630=$Q630)*1+($P630=$R630)*1+($P630=$S630)*1+($Q630=$R630)*1+($Q630=$S630)*1+($R630=$S630)*1))*(6-(($T630=$U630)*1+($T630=$V630)*1+($T630=$W630)*1+($U630=$V630)*1+($U630=$W630)*1+($V630=$W630)*1))),"")</f>
        <v>0</v>
      </c>
      <c r="AI630" s="0" t="n">
        <f aca="false">MATCH(MAX($K630:$O630),$K630:$O630,0)</f>
        <v>2</v>
      </c>
      <c r="AJ630" s="0" t="n">
        <f aca="false">IF(AI630&lt;&gt;$E630,1,0)</f>
        <v>0</v>
      </c>
      <c r="AK630" s="0" t="str">
        <f aca="false">IF(AJ630=1,INDEX($F630:$J630,AI630)/MAX($P630:$S630),"")</f>
        <v/>
      </c>
      <c r="AL630" s="0" t="str">
        <f aca="false">IF(AJ630=1,1+COUNTIF($P630:$S630,"&gt;"&amp;INDEX($F630:$J630,AI630)),"")</f>
        <v/>
      </c>
      <c r="AM630" s="0" t="n">
        <f aca="false">AVERAGE($P630:$S630)/MAX($P630:$S630)</f>
        <v>0.644021739130435</v>
      </c>
      <c r="AN630" s="0" t="n">
        <f aca="false">100-INDEX($F630:$J630,$E630)</f>
        <v>71.6</v>
      </c>
    </row>
    <row r="631" customFormat="false" ht="15" hidden="false" customHeight="false" outlineLevel="0" collapsed="false">
      <c r="A631" s="0" t="s">
        <v>61</v>
      </c>
      <c r="B631" s="0" t="n">
        <v>2019</v>
      </c>
      <c r="C631" s="0" t="s">
        <v>58</v>
      </c>
      <c r="D631" s="0" t="s">
        <v>43</v>
      </c>
      <c r="E631" s="0" t="n">
        <v>1</v>
      </c>
      <c r="F631" s="0" t="n">
        <v>30.1</v>
      </c>
      <c r="G631" s="0" t="n">
        <v>19.8</v>
      </c>
      <c r="H631" s="0" t="n">
        <v>11</v>
      </c>
      <c r="I631" s="0" t="n">
        <v>22.9</v>
      </c>
      <c r="J631" s="0" t="n">
        <v>15.7</v>
      </c>
      <c r="K631" s="0" t="n">
        <v>26.3113117037</v>
      </c>
      <c r="L631" s="0" t="n">
        <v>7.02019579485</v>
      </c>
      <c r="M631" s="0" t="n">
        <v>6.31381184492</v>
      </c>
      <c r="N631" s="0" t="n">
        <v>36.950225613</v>
      </c>
      <c r="O631" s="0" t="n">
        <v>23.4044550436</v>
      </c>
      <c r="P631" s="0" t="n">
        <f aca="false">INDEX($F631:$J631,IF(1&lt;$E631,1,1+1))</f>
        <v>19.8</v>
      </c>
      <c r="Q631" s="0" t="n">
        <f aca="false">INDEX($F631:$J631,IF(2&lt;$E631,2,2+1))</f>
        <v>11</v>
      </c>
      <c r="R631" s="0" t="n">
        <f aca="false">INDEX($F631:$J631,IF(3&lt;$E631,3,3+1))</f>
        <v>22.9</v>
      </c>
      <c r="S631" s="0" t="n">
        <f aca="false">INDEX($F631:$J631,IF(4&lt;$E631,4,4+1))</f>
        <v>15.7</v>
      </c>
      <c r="T631" s="0" t="n">
        <f aca="false">INDEX($K631:$O631,IF(1&lt;$E631,1,1+1))</f>
        <v>7.02019579485</v>
      </c>
      <c r="U631" s="0" t="n">
        <f aca="false">INDEX($K631:$O631,IF(2&lt;$E631,2,2+1))</f>
        <v>6.31381184492</v>
      </c>
      <c r="V631" s="0" t="n">
        <f aca="false">INDEX($K631:$O631,IF(3&lt;$E631,3,3+1))</f>
        <v>36.950225613</v>
      </c>
      <c r="W631" s="0" t="n">
        <f aca="false">INDEX($K631:$O631,IF(4&lt;$E631,4,4+1))</f>
        <v>23.4044550436</v>
      </c>
      <c r="X631" s="0" t="n">
        <f aca="false">1+COUNTIF($P631:$S631,"&gt;"&amp;$P631)+(COUNTIF($P631:$S631,$P631)-1)/2</f>
        <v>2</v>
      </c>
      <c r="Y631" s="0" t="n">
        <f aca="false">1+COUNTIF($P631:$S631,"&gt;"&amp;$Q631)+(COUNTIF($P631:$S631,$Q631)-1)/2</f>
        <v>4</v>
      </c>
      <c r="Z631" s="0" t="n">
        <f aca="false">1+COUNTIF($P631:$S631,"&gt;"&amp;$R631)+(COUNTIF($P631:$S631,$R631)-1)/2</f>
        <v>1</v>
      </c>
      <c r="AA631" s="0" t="n">
        <f aca="false">1+COUNTIF($P631:$S631,"&gt;"&amp;$S631)+(COUNTIF($P631:$S631,$S631)-1)/2</f>
        <v>3</v>
      </c>
      <c r="AB631" s="0" t="n">
        <f aca="false">1+COUNTIF($T631:$W631,"&gt;"&amp;$T631)+(COUNTIF($T631:$W631,$T631)-1)/2</f>
        <v>3</v>
      </c>
      <c r="AC631" s="0" t="n">
        <f aca="false">1+COUNTIF($T631:$W631,"&gt;"&amp;$U631)+(COUNTIF($T631:$W631,$U631)-1)/2</f>
        <v>4</v>
      </c>
      <c r="AD631" s="0" t="n">
        <f aca="false">1+COUNTIF($T631:$W631,"&gt;"&amp;$V631)+(COUNTIF($T631:$W631,$V631)-1)/2</f>
        <v>1</v>
      </c>
      <c r="AE631" s="0" t="n">
        <f aca="false">1+COUNTIF($T631:$W631,"&gt;"&amp;$W631)+(COUNTIF($T631:$W631,$W631)-1)/2</f>
        <v>2</v>
      </c>
      <c r="AF631" s="0" t="n">
        <f aca="false">IFERROR(CORREL($P631:$S631,$T631:$W631),"")</f>
        <v>0.632727735567482</v>
      </c>
      <c r="AG631" s="0" t="n">
        <f aca="false">IFERROR(CORREL($X631:$AA631,$AB631:$AE631),"")</f>
        <v>0.8</v>
      </c>
      <c r="AH631" s="0" t="n">
        <f aca="false">IFERROR((SIGN($P631-$Q631)*SIGN($T631-$U631)+SIGN($P631-$R631)*SIGN($T631-$V631)+SIGN($P631-$S631)*SIGN($T631-$W631)+SIGN($Q631-$R631)*SIGN($U631-$V631)+SIGN($Q631-$S631)*SIGN($U631-$W631)+SIGN($R631-$S631)*SIGN($V631-$W631))/SQRT((6-(($P631=$Q631)*1+($P631=$R631)*1+($P631=$S631)*1+($Q631=$R631)*1+($Q631=$S631)*1+($R631=$S631)*1))*(6-(($T631=$U631)*1+($T631=$V631)*1+($T631=$W631)*1+($U631=$V631)*1+($U631=$W631)*1+($V631=$W631)*1))),"")</f>
        <v>0.666666666666667</v>
      </c>
      <c r="AI631" s="0" t="n">
        <f aca="false">MATCH(MAX($K631:$O631),$K631:$O631,0)</f>
        <v>4</v>
      </c>
      <c r="AJ631" s="0" t="n">
        <f aca="false">IF(AI631&lt;&gt;$E631,1,0)</f>
        <v>1</v>
      </c>
      <c r="AK631" s="0" t="n">
        <f aca="false">IF(AJ631=1,INDEX($F631:$J631,AI631)/MAX($P631:$S631),"")</f>
        <v>1</v>
      </c>
      <c r="AL631" s="0" t="n">
        <f aca="false">IF(AJ631=1,1+COUNTIF($P631:$S631,"&gt;"&amp;INDEX($F631:$J631,AI631)),"")</f>
        <v>1</v>
      </c>
      <c r="AM631" s="0" t="n">
        <f aca="false">AVERAGE($P631:$S631)/MAX($P631:$S631)</f>
        <v>0.75764192139738</v>
      </c>
      <c r="AN631" s="0" t="n">
        <f aca="false">100-INDEX($F631:$J631,$E631)</f>
        <v>69.9</v>
      </c>
    </row>
    <row r="632" customFormat="false" ht="15" hidden="false" customHeight="false" outlineLevel="0" collapsed="false">
      <c r="A632" s="0" t="s">
        <v>61</v>
      </c>
      <c r="B632" s="0" t="n">
        <v>2019</v>
      </c>
      <c r="C632" s="0" t="s">
        <v>58</v>
      </c>
      <c r="D632" s="0" t="s">
        <v>44</v>
      </c>
      <c r="E632" s="0" t="n">
        <v>3</v>
      </c>
      <c r="F632" s="0" t="n">
        <v>15.7</v>
      </c>
      <c r="G632" s="0" t="n">
        <v>12.9</v>
      </c>
      <c r="H632" s="0" t="n">
        <v>29</v>
      </c>
      <c r="I632" s="0" t="n">
        <v>25.5</v>
      </c>
      <c r="J632" s="0" t="n">
        <v>16.2</v>
      </c>
      <c r="K632" s="0" t="n">
        <v>28.6385817553</v>
      </c>
      <c r="L632" s="0" t="n">
        <v>23.3408977042</v>
      </c>
      <c r="M632" s="0" t="n">
        <v>10.7345376138</v>
      </c>
      <c r="N632" s="0" t="n">
        <v>14.8119342341</v>
      </c>
      <c r="O632" s="0" t="n">
        <v>22.4740486927</v>
      </c>
      <c r="P632" s="0" t="n">
        <f aca="false">INDEX($F632:$J632,IF(1&lt;$E632,1,1+1))</f>
        <v>15.7</v>
      </c>
      <c r="Q632" s="0" t="n">
        <f aca="false">INDEX($F632:$J632,IF(2&lt;$E632,2,2+1))</f>
        <v>12.9</v>
      </c>
      <c r="R632" s="0" t="n">
        <f aca="false">INDEX($F632:$J632,IF(3&lt;$E632,3,3+1))</f>
        <v>25.5</v>
      </c>
      <c r="S632" s="0" t="n">
        <f aca="false">INDEX($F632:$J632,IF(4&lt;$E632,4,4+1))</f>
        <v>16.2</v>
      </c>
      <c r="T632" s="0" t="n">
        <f aca="false">INDEX($K632:$O632,IF(1&lt;$E632,1,1+1))</f>
        <v>28.6385817553</v>
      </c>
      <c r="U632" s="0" t="n">
        <f aca="false">INDEX($K632:$O632,IF(2&lt;$E632,2,2+1))</f>
        <v>23.3408977042</v>
      </c>
      <c r="V632" s="0" t="n">
        <f aca="false">INDEX($K632:$O632,IF(3&lt;$E632,3,3+1))</f>
        <v>14.8119342341</v>
      </c>
      <c r="W632" s="0" t="n">
        <f aca="false">INDEX($K632:$O632,IF(4&lt;$E632,4,4+1))</f>
        <v>22.4740486927</v>
      </c>
      <c r="X632" s="0" t="n">
        <f aca="false">1+COUNTIF($P632:$S632,"&gt;"&amp;$P632)+(COUNTIF($P632:$S632,$P632)-1)/2</f>
        <v>3</v>
      </c>
      <c r="Y632" s="0" t="n">
        <f aca="false">1+COUNTIF($P632:$S632,"&gt;"&amp;$Q632)+(COUNTIF($P632:$S632,$Q632)-1)/2</f>
        <v>4</v>
      </c>
      <c r="Z632" s="0" t="n">
        <f aca="false">1+COUNTIF($P632:$S632,"&gt;"&amp;$R632)+(COUNTIF($P632:$S632,$R632)-1)/2</f>
        <v>1</v>
      </c>
      <c r="AA632" s="0" t="n">
        <f aca="false">1+COUNTIF($P632:$S632,"&gt;"&amp;$S632)+(COUNTIF($P632:$S632,$S632)-1)/2</f>
        <v>2</v>
      </c>
      <c r="AB632" s="0" t="n">
        <f aca="false">1+COUNTIF($T632:$W632,"&gt;"&amp;$T632)+(COUNTIF($T632:$W632,$T632)-1)/2</f>
        <v>1</v>
      </c>
      <c r="AC632" s="0" t="n">
        <f aca="false">1+COUNTIF($T632:$W632,"&gt;"&amp;$U632)+(COUNTIF($T632:$W632,$U632)-1)/2</f>
        <v>2</v>
      </c>
      <c r="AD632" s="0" t="n">
        <f aca="false">1+COUNTIF($T632:$W632,"&gt;"&amp;$V632)+(COUNTIF($T632:$W632,$V632)-1)/2</f>
        <v>4</v>
      </c>
      <c r="AE632" s="0" t="n">
        <f aca="false">1+COUNTIF($T632:$W632,"&gt;"&amp;$W632)+(COUNTIF($T632:$W632,$W632)-1)/2</f>
        <v>3</v>
      </c>
      <c r="AF632" s="0" t="n">
        <f aca="false">IFERROR(CORREL($P632:$S632,$T632:$W632),"")</f>
        <v>-0.815147793904168</v>
      </c>
      <c r="AG632" s="0" t="n">
        <f aca="false">IFERROR(CORREL($X632:$AA632,$AB632:$AE632),"")</f>
        <v>-0.8</v>
      </c>
      <c r="AH632" s="0" t="n">
        <f aca="false">IFERROR((SIGN($P632-$Q632)*SIGN($T632-$U632)+SIGN($P632-$R632)*SIGN($T632-$V632)+SIGN($P632-$S632)*SIGN($T632-$W632)+SIGN($Q632-$R632)*SIGN($U632-$V632)+SIGN($Q632-$S632)*SIGN($U632-$W632)+SIGN($R632-$S632)*SIGN($V632-$W632))/SQRT((6-(($P632=$Q632)*1+($P632=$R632)*1+($P632=$S632)*1+($Q632=$R632)*1+($Q632=$S632)*1+($R632=$S632)*1))*(6-(($T632=$U632)*1+($T632=$V632)*1+($T632=$W632)*1+($U632=$V632)*1+($U632=$W632)*1+($V632=$W632)*1))),"")</f>
        <v>-0.666666666666667</v>
      </c>
      <c r="AI632" s="0" t="n">
        <f aca="false">MATCH(MAX($K632:$O632),$K632:$O632,0)</f>
        <v>1</v>
      </c>
      <c r="AJ632" s="0" t="n">
        <f aca="false">IF(AI632&lt;&gt;$E632,1,0)</f>
        <v>1</v>
      </c>
      <c r="AK632" s="0" t="n">
        <f aca="false">IF(AJ632=1,INDEX($F632:$J632,AI632)/MAX($P632:$S632),"")</f>
        <v>0.615686274509804</v>
      </c>
      <c r="AL632" s="0" t="n">
        <f aca="false">IF(AJ632=1,1+COUNTIF($P632:$S632,"&gt;"&amp;INDEX($F632:$J632,AI632)),"")</f>
        <v>3</v>
      </c>
      <c r="AM632" s="0" t="n">
        <f aca="false">AVERAGE($P632:$S632)/MAX($P632:$S632)</f>
        <v>0.68921568627451</v>
      </c>
      <c r="AN632" s="0" t="n">
        <f aca="false">100-INDEX($F632:$J632,$E632)</f>
        <v>71</v>
      </c>
    </row>
    <row r="633" customFormat="false" ht="15" hidden="false" customHeight="false" outlineLevel="0" collapsed="false">
      <c r="A633" s="0" t="s">
        <v>61</v>
      </c>
      <c r="B633" s="0" t="n">
        <v>2019</v>
      </c>
      <c r="C633" s="0" t="s">
        <v>58</v>
      </c>
      <c r="D633" s="0" t="s">
        <v>45</v>
      </c>
      <c r="E633" s="0" t="n">
        <v>5</v>
      </c>
      <c r="F633" s="0" t="n">
        <v>15.8</v>
      </c>
      <c r="G633" s="0" t="n">
        <v>20</v>
      </c>
      <c r="H633" s="0" t="n">
        <v>10.2</v>
      </c>
      <c r="I633" s="0" t="n">
        <v>19.6</v>
      </c>
      <c r="J633" s="0" t="n">
        <v>33.9</v>
      </c>
      <c r="K633" s="0" t="n">
        <v>9.94350911549</v>
      </c>
      <c r="L633" s="0" t="n">
        <v>9.73887465695</v>
      </c>
      <c r="M633" s="0" t="n">
        <v>0.157372468517</v>
      </c>
      <c r="N633" s="0" t="n">
        <v>71.8519335917</v>
      </c>
      <c r="O633" s="0" t="n">
        <v>8.30831016736</v>
      </c>
      <c r="P633" s="0" t="n">
        <f aca="false">INDEX($F633:$J633,IF(1&lt;$E633,1,1+1))</f>
        <v>15.8</v>
      </c>
      <c r="Q633" s="0" t="n">
        <f aca="false">INDEX($F633:$J633,IF(2&lt;$E633,2,2+1))</f>
        <v>20</v>
      </c>
      <c r="R633" s="0" t="n">
        <f aca="false">INDEX($F633:$J633,IF(3&lt;$E633,3,3+1))</f>
        <v>10.2</v>
      </c>
      <c r="S633" s="0" t="n">
        <f aca="false">INDEX($F633:$J633,IF(4&lt;$E633,4,4+1))</f>
        <v>19.6</v>
      </c>
      <c r="T633" s="0" t="n">
        <f aca="false">INDEX($K633:$O633,IF(1&lt;$E633,1,1+1))</f>
        <v>9.94350911549</v>
      </c>
      <c r="U633" s="0" t="n">
        <f aca="false">INDEX($K633:$O633,IF(2&lt;$E633,2,2+1))</f>
        <v>9.73887465695</v>
      </c>
      <c r="V633" s="0" t="n">
        <f aca="false">INDEX($K633:$O633,IF(3&lt;$E633,3,3+1))</f>
        <v>0.157372468517</v>
      </c>
      <c r="W633" s="0" t="n">
        <f aca="false">INDEX($K633:$O633,IF(4&lt;$E633,4,4+1))</f>
        <v>71.8519335917</v>
      </c>
      <c r="X633" s="0" t="n">
        <f aca="false">1+COUNTIF($P633:$S633,"&gt;"&amp;$P633)+(COUNTIF($P633:$S633,$P633)-1)/2</f>
        <v>3</v>
      </c>
      <c r="Y633" s="0" t="n">
        <f aca="false">1+COUNTIF($P633:$S633,"&gt;"&amp;$Q633)+(COUNTIF($P633:$S633,$Q633)-1)/2</f>
        <v>1</v>
      </c>
      <c r="Z633" s="0" t="n">
        <f aca="false">1+COUNTIF($P633:$S633,"&gt;"&amp;$R633)+(COUNTIF($P633:$S633,$R633)-1)/2</f>
        <v>4</v>
      </c>
      <c r="AA633" s="0" t="n">
        <f aca="false">1+COUNTIF($P633:$S633,"&gt;"&amp;$S633)+(COUNTIF($P633:$S633,$S633)-1)/2</f>
        <v>2</v>
      </c>
      <c r="AB633" s="0" t="n">
        <f aca="false">1+COUNTIF($T633:$W633,"&gt;"&amp;$T633)+(COUNTIF($T633:$W633,$T633)-1)/2</f>
        <v>2</v>
      </c>
      <c r="AC633" s="0" t="n">
        <f aca="false">1+COUNTIF($T633:$W633,"&gt;"&amp;$U633)+(COUNTIF($T633:$W633,$U633)-1)/2</f>
        <v>3</v>
      </c>
      <c r="AD633" s="0" t="n">
        <f aca="false">1+COUNTIF($T633:$W633,"&gt;"&amp;$V633)+(COUNTIF($T633:$W633,$V633)-1)/2</f>
        <v>4</v>
      </c>
      <c r="AE633" s="0" t="n">
        <f aca="false">1+COUNTIF($T633:$W633,"&gt;"&amp;$W633)+(COUNTIF($T633:$W633,$W633)-1)/2</f>
        <v>1</v>
      </c>
      <c r="AF633" s="0" t="n">
        <f aca="false">IFERROR(CORREL($P633:$S633,$T633:$W633),"")</f>
        <v>0.574446347702868</v>
      </c>
      <c r="AG633" s="0" t="n">
        <f aca="false">IFERROR(CORREL($X633:$AA633,$AB633:$AE633),"")</f>
        <v>0.4</v>
      </c>
      <c r="AH633" s="0" t="n">
        <f aca="false">IFERROR((SIGN($P633-$Q633)*SIGN($T633-$U633)+SIGN($P633-$R633)*SIGN($T633-$V633)+SIGN($P633-$S633)*SIGN($T633-$W633)+SIGN($Q633-$R633)*SIGN($U633-$V633)+SIGN($Q633-$S633)*SIGN($U633-$W633)+SIGN($R633-$S633)*SIGN($V633-$W633))/SQRT((6-(($P633=$Q633)*1+($P633=$R633)*1+($P633=$S633)*1+($Q633=$R633)*1+($Q633=$S633)*1+($R633=$S633)*1))*(6-(($T633=$U633)*1+($T633=$V633)*1+($T633=$W633)*1+($U633=$V633)*1+($U633=$W633)*1+($V633=$W633)*1))),"")</f>
        <v>0.333333333333333</v>
      </c>
      <c r="AI633" s="0" t="n">
        <f aca="false">MATCH(MAX($K633:$O633),$K633:$O633,0)</f>
        <v>4</v>
      </c>
      <c r="AJ633" s="0" t="n">
        <f aca="false">IF(AI633&lt;&gt;$E633,1,0)</f>
        <v>1</v>
      </c>
      <c r="AK633" s="0" t="n">
        <f aca="false">IF(AJ633=1,INDEX($F633:$J633,AI633)/MAX($P633:$S633),"")</f>
        <v>0.98</v>
      </c>
      <c r="AL633" s="0" t="n">
        <f aca="false">IF(AJ633=1,1+COUNTIF($P633:$S633,"&gt;"&amp;INDEX($F633:$J633,AI633)),"")</f>
        <v>2</v>
      </c>
      <c r="AM633" s="0" t="n">
        <f aca="false">AVERAGE($P633:$S633)/MAX($P633:$S633)</f>
        <v>0.82</v>
      </c>
      <c r="AN633" s="0" t="n">
        <f aca="false">100-INDEX($F633:$J633,$E633)</f>
        <v>66.1</v>
      </c>
    </row>
    <row r="634" customFormat="false" ht="15" hidden="false" customHeight="false" outlineLevel="0" collapsed="false">
      <c r="A634" s="0" t="s">
        <v>61</v>
      </c>
      <c r="B634" s="0" t="n">
        <v>2019</v>
      </c>
      <c r="C634" s="0" t="s">
        <v>49</v>
      </c>
      <c r="D634" s="0" t="s">
        <v>43</v>
      </c>
      <c r="E634" s="0" t="n">
        <v>3</v>
      </c>
      <c r="F634" s="0" t="n">
        <v>19.8</v>
      </c>
      <c r="G634" s="0" t="n">
        <v>12</v>
      </c>
      <c r="H634" s="0" t="n">
        <v>28.9</v>
      </c>
      <c r="I634" s="0" t="n">
        <v>15.9</v>
      </c>
      <c r="J634" s="0" t="n">
        <v>20.1</v>
      </c>
      <c r="K634" s="0" t="n">
        <v>0.671455624918</v>
      </c>
      <c r="L634" s="0" t="n">
        <v>13.0426395389</v>
      </c>
      <c r="M634" s="0" t="n">
        <v>5.94865686998</v>
      </c>
      <c r="N634" s="0" t="n">
        <v>53.2852365377</v>
      </c>
      <c r="O634" s="0" t="n">
        <v>27.0520114286</v>
      </c>
      <c r="P634" s="0" t="n">
        <f aca="false">INDEX($F634:$J634,IF(1&lt;$E634,1,1+1))</f>
        <v>19.8</v>
      </c>
      <c r="Q634" s="0" t="n">
        <f aca="false">INDEX($F634:$J634,IF(2&lt;$E634,2,2+1))</f>
        <v>12</v>
      </c>
      <c r="R634" s="0" t="n">
        <f aca="false">INDEX($F634:$J634,IF(3&lt;$E634,3,3+1))</f>
        <v>15.9</v>
      </c>
      <c r="S634" s="0" t="n">
        <f aca="false">INDEX($F634:$J634,IF(4&lt;$E634,4,4+1))</f>
        <v>20.1</v>
      </c>
      <c r="T634" s="0" t="n">
        <f aca="false">INDEX($K634:$O634,IF(1&lt;$E634,1,1+1))</f>
        <v>0.671455624918</v>
      </c>
      <c r="U634" s="0" t="n">
        <f aca="false">INDEX($K634:$O634,IF(2&lt;$E634,2,2+1))</f>
        <v>13.0426395389</v>
      </c>
      <c r="V634" s="0" t="n">
        <f aca="false">INDEX($K634:$O634,IF(3&lt;$E634,3,3+1))</f>
        <v>53.2852365377</v>
      </c>
      <c r="W634" s="0" t="n">
        <f aca="false">INDEX($K634:$O634,IF(4&lt;$E634,4,4+1))</f>
        <v>27.0520114286</v>
      </c>
      <c r="X634" s="0" t="n">
        <f aca="false">1+COUNTIF($P634:$S634,"&gt;"&amp;$P634)+(COUNTIF($P634:$S634,$P634)-1)/2</f>
        <v>2</v>
      </c>
      <c r="Y634" s="0" t="n">
        <f aca="false">1+COUNTIF($P634:$S634,"&gt;"&amp;$Q634)+(COUNTIF($P634:$S634,$Q634)-1)/2</f>
        <v>4</v>
      </c>
      <c r="Z634" s="0" t="n">
        <f aca="false">1+COUNTIF($P634:$S634,"&gt;"&amp;$R634)+(COUNTIF($P634:$S634,$R634)-1)/2</f>
        <v>3</v>
      </c>
      <c r="AA634" s="0" t="n">
        <f aca="false">1+COUNTIF($P634:$S634,"&gt;"&amp;$S634)+(COUNTIF($P634:$S634,$S634)-1)/2</f>
        <v>1</v>
      </c>
      <c r="AB634" s="0" t="n">
        <f aca="false">1+COUNTIF($T634:$W634,"&gt;"&amp;$T634)+(COUNTIF($T634:$W634,$T634)-1)/2</f>
        <v>4</v>
      </c>
      <c r="AC634" s="0" t="n">
        <f aca="false">1+COUNTIF($T634:$W634,"&gt;"&amp;$U634)+(COUNTIF($T634:$W634,$U634)-1)/2</f>
        <v>3</v>
      </c>
      <c r="AD634" s="0" t="n">
        <f aca="false">1+COUNTIF($T634:$W634,"&gt;"&amp;$V634)+(COUNTIF($T634:$W634,$V634)-1)/2</f>
        <v>1</v>
      </c>
      <c r="AE634" s="0" t="n">
        <f aca="false">1+COUNTIF($T634:$W634,"&gt;"&amp;$W634)+(COUNTIF($T634:$W634,$W634)-1)/2</f>
        <v>2</v>
      </c>
      <c r="AF634" s="0" t="n">
        <f aca="false">IFERROR(CORREL($P634:$S634,$T634:$W634),"")</f>
        <v>-0.129166381614542</v>
      </c>
      <c r="AG634" s="0" t="n">
        <f aca="false">IFERROR(CORREL($X634:$AA634,$AB634:$AE634),"")</f>
        <v>0</v>
      </c>
      <c r="AH634" s="0" t="n">
        <f aca="false">IFERROR((SIGN($P634-$Q634)*SIGN($T634-$U634)+SIGN($P634-$R634)*SIGN($T634-$V634)+SIGN($P634-$S634)*SIGN($T634-$W634)+SIGN($Q634-$R634)*SIGN($U634-$V634)+SIGN($Q634-$S634)*SIGN($U634-$W634)+SIGN($R634-$S634)*SIGN($V634-$W634))/SQRT((6-(($P634=$Q634)*1+($P634=$R634)*1+($P634=$S634)*1+($Q634=$R634)*1+($Q634=$S634)*1+($R634=$S634)*1))*(6-(($T634=$U634)*1+($T634=$V634)*1+($T634=$W634)*1+($U634=$V634)*1+($U634=$W634)*1+($V634=$W634)*1))),"")</f>
        <v>0</v>
      </c>
      <c r="AI634" s="0" t="n">
        <f aca="false">MATCH(MAX($K634:$O634),$K634:$O634,0)</f>
        <v>4</v>
      </c>
      <c r="AJ634" s="0" t="n">
        <f aca="false">IF(AI634&lt;&gt;$E634,1,0)</f>
        <v>1</v>
      </c>
      <c r="AK634" s="0" t="n">
        <f aca="false">IF(AJ634=1,INDEX($F634:$J634,AI634)/MAX($P634:$S634),"")</f>
        <v>0.791044776119403</v>
      </c>
      <c r="AL634" s="0" t="n">
        <f aca="false">IF(AJ634=1,1+COUNTIF($P634:$S634,"&gt;"&amp;INDEX($F634:$J634,AI634)),"")</f>
        <v>3</v>
      </c>
      <c r="AM634" s="0" t="n">
        <f aca="false">AVERAGE($P634:$S634)/MAX($P634:$S634)</f>
        <v>0.843283582089552</v>
      </c>
      <c r="AN634" s="0" t="n">
        <f aca="false">100-INDEX($F634:$J634,$E634)</f>
        <v>71.1</v>
      </c>
    </row>
    <row r="635" customFormat="false" ht="15" hidden="false" customHeight="false" outlineLevel="0" collapsed="false">
      <c r="A635" s="0" t="s">
        <v>61</v>
      </c>
      <c r="B635" s="0" t="n">
        <v>2019</v>
      </c>
      <c r="C635" s="0" t="s">
        <v>49</v>
      </c>
      <c r="D635" s="0" t="s">
        <v>44</v>
      </c>
      <c r="E635" s="0" t="n">
        <v>1</v>
      </c>
      <c r="F635" s="0" t="n">
        <v>51.6</v>
      </c>
      <c r="G635" s="0" t="n">
        <v>12</v>
      </c>
      <c r="H635" s="0" t="n">
        <v>17.2</v>
      </c>
      <c r="I635" s="0" t="n">
        <v>8.5</v>
      </c>
      <c r="J635" s="0" t="n">
        <v>7.2</v>
      </c>
      <c r="K635" s="0" t="n">
        <v>5.69947255926</v>
      </c>
      <c r="L635" s="0" t="n">
        <v>10.7892929217</v>
      </c>
      <c r="M635" s="0" t="n">
        <v>0.843423085482</v>
      </c>
      <c r="N635" s="0" t="n">
        <v>56.0572246976</v>
      </c>
      <c r="O635" s="0" t="n">
        <v>26.6105867359</v>
      </c>
      <c r="P635" s="0" t="n">
        <f aca="false">INDEX($F635:$J635,IF(1&lt;$E635,1,1+1))</f>
        <v>12</v>
      </c>
      <c r="Q635" s="0" t="n">
        <f aca="false">INDEX($F635:$J635,IF(2&lt;$E635,2,2+1))</f>
        <v>17.2</v>
      </c>
      <c r="R635" s="0" t="n">
        <f aca="false">INDEX($F635:$J635,IF(3&lt;$E635,3,3+1))</f>
        <v>8.5</v>
      </c>
      <c r="S635" s="0" t="n">
        <f aca="false">INDEX($F635:$J635,IF(4&lt;$E635,4,4+1))</f>
        <v>7.2</v>
      </c>
      <c r="T635" s="0" t="n">
        <f aca="false">INDEX($K635:$O635,IF(1&lt;$E635,1,1+1))</f>
        <v>10.7892929217</v>
      </c>
      <c r="U635" s="0" t="n">
        <f aca="false">INDEX($K635:$O635,IF(2&lt;$E635,2,2+1))</f>
        <v>0.843423085482</v>
      </c>
      <c r="V635" s="0" t="n">
        <f aca="false">INDEX($K635:$O635,IF(3&lt;$E635,3,3+1))</f>
        <v>56.0572246976</v>
      </c>
      <c r="W635" s="0" t="n">
        <f aca="false">INDEX($K635:$O635,IF(4&lt;$E635,4,4+1))</f>
        <v>26.6105867359</v>
      </c>
      <c r="X635" s="0" t="n">
        <f aca="false">1+COUNTIF($P635:$S635,"&gt;"&amp;$P635)+(COUNTIF($P635:$S635,$P635)-1)/2</f>
        <v>2</v>
      </c>
      <c r="Y635" s="0" t="n">
        <f aca="false">1+COUNTIF($P635:$S635,"&gt;"&amp;$Q635)+(COUNTIF($P635:$S635,$Q635)-1)/2</f>
        <v>1</v>
      </c>
      <c r="Z635" s="0" t="n">
        <f aca="false">1+COUNTIF($P635:$S635,"&gt;"&amp;$R635)+(COUNTIF($P635:$S635,$R635)-1)/2</f>
        <v>3</v>
      </c>
      <c r="AA635" s="0" t="n">
        <f aca="false">1+COUNTIF($P635:$S635,"&gt;"&amp;$S635)+(COUNTIF($P635:$S635,$S635)-1)/2</f>
        <v>4</v>
      </c>
      <c r="AB635" s="0" t="n">
        <f aca="false">1+COUNTIF($T635:$W635,"&gt;"&amp;$T635)+(COUNTIF($T635:$W635,$T635)-1)/2</f>
        <v>3</v>
      </c>
      <c r="AC635" s="0" t="n">
        <f aca="false">1+COUNTIF($T635:$W635,"&gt;"&amp;$U635)+(COUNTIF($T635:$W635,$U635)-1)/2</f>
        <v>4</v>
      </c>
      <c r="AD635" s="0" t="n">
        <f aca="false">1+COUNTIF($T635:$W635,"&gt;"&amp;$V635)+(COUNTIF($T635:$W635,$V635)-1)/2</f>
        <v>1</v>
      </c>
      <c r="AE635" s="0" t="n">
        <f aca="false">1+COUNTIF($T635:$W635,"&gt;"&amp;$W635)+(COUNTIF($T635:$W635,$W635)-1)/2</f>
        <v>2</v>
      </c>
      <c r="AF635" s="0" t="n">
        <f aca="false">IFERROR(CORREL($P635:$S635,$T635:$W635),"")</f>
        <v>-0.762256303757851</v>
      </c>
      <c r="AG635" s="0" t="n">
        <f aca="false">IFERROR(CORREL($X635:$AA635,$AB635:$AE635),"")</f>
        <v>-0.8</v>
      </c>
      <c r="AH635" s="0" t="n">
        <f aca="false">IFERROR((SIGN($P635-$Q635)*SIGN($T635-$U635)+SIGN($P635-$R635)*SIGN($T635-$V635)+SIGN($P635-$S635)*SIGN($T635-$W635)+SIGN($Q635-$R635)*SIGN($U635-$V635)+SIGN($Q635-$S635)*SIGN($U635-$W635)+SIGN($R635-$S635)*SIGN($V635-$W635))/SQRT((6-(($P635=$Q635)*1+($P635=$R635)*1+($P635=$S635)*1+($Q635=$R635)*1+($Q635=$S635)*1+($R635=$S635)*1))*(6-(($T635=$U635)*1+($T635=$V635)*1+($T635=$W635)*1+($U635=$V635)*1+($U635=$W635)*1+($V635=$W635)*1))),"")</f>
        <v>-0.666666666666667</v>
      </c>
      <c r="AI635" s="0" t="n">
        <f aca="false">MATCH(MAX($K635:$O635),$K635:$O635,0)</f>
        <v>4</v>
      </c>
      <c r="AJ635" s="0" t="n">
        <f aca="false">IF(AI635&lt;&gt;$E635,1,0)</f>
        <v>1</v>
      </c>
      <c r="AK635" s="0" t="n">
        <f aca="false">IF(AJ635=1,INDEX($F635:$J635,AI635)/MAX($P635:$S635),"")</f>
        <v>0.494186046511628</v>
      </c>
      <c r="AL635" s="0" t="n">
        <f aca="false">IF(AJ635=1,1+COUNTIF($P635:$S635,"&gt;"&amp;INDEX($F635:$J635,AI635)),"")</f>
        <v>3</v>
      </c>
      <c r="AM635" s="0" t="n">
        <f aca="false">AVERAGE($P635:$S635)/MAX($P635:$S635)</f>
        <v>0.652616279069768</v>
      </c>
      <c r="AN635" s="0" t="n">
        <f aca="false">100-INDEX($F635:$J635,$E635)</f>
        <v>48.4</v>
      </c>
    </row>
    <row r="636" customFormat="false" ht="15" hidden="false" customHeight="false" outlineLevel="0" collapsed="false">
      <c r="A636" s="0" t="s">
        <v>61</v>
      </c>
      <c r="B636" s="0" t="n">
        <v>2019</v>
      </c>
      <c r="C636" s="0" t="s">
        <v>51</v>
      </c>
      <c r="D636" s="0" t="s">
        <v>42</v>
      </c>
      <c r="E636" s="0" t="n">
        <v>1</v>
      </c>
      <c r="F636" s="0" t="n">
        <v>30.9</v>
      </c>
      <c r="G636" s="0" t="n">
        <v>14.1</v>
      </c>
      <c r="H636" s="0" t="n">
        <v>16</v>
      </c>
      <c r="I636" s="0" t="n">
        <v>21.1</v>
      </c>
      <c r="J636" s="0" t="n">
        <v>13.3</v>
      </c>
      <c r="K636" s="0" t="n">
        <v>87.4013873152</v>
      </c>
      <c r="L636" s="0" t="n">
        <v>0.0925825605914</v>
      </c>
      <c r="M636" s="0" t="n">
        <v>12.4959118351</v>
      </c>
      <c r="N636" s="0" t="n">
        <v>0.000755953059644</v>
      </c>
      <c r="O636" s="0" t="n">
        <v>0.00936233611116</v>
      </c>
      <c r="P636" s="0" t="n">
        <f aca="false">INDEX($F636:$J636,IF(1&lt;$E636,1,1+1))</f>
        <v>14.1</v>
      </c>
      <c r="Q636" s="0" t="n">
        <f aca="false">INDEX($F636:$J636,IF(2&lt;$E636,2,2+1))</f>
        <v>16</v>
      </c>
      <c r="R636" s="0" t="n">
        <f aca="false">INDEX($F636:$J636,IF(3&lt;$E636,3,3+1))</f>
        <v>21.1</v>
      </c>
      <c r="S636" s="0" t="n">
        <f aca="false">INDEX($F636:$J636,IF(4&lt;$E636,4,4+1))</f>
        <v>13.3</v>
      </c>
      <c r="T636" s="0" t="n">
        <f aca="false">INDEX($K636:$O636,IF(1&lt;$E636,1,1+1))</f>
        <v>0.0925825605914</v>
      </c>
      <c r="U636" s="0" t="n">
        <f aca="false">INDEX($K636:$O636,IF(2&lt;$E636,2,2+1))</f>
        <v>12.4959118351</v>
      </c>
      <c r="V636" s="0" t="n">
        <f aca="false">INDEX($K636:$O636,IF(3&lt;$E636,3,3+1))</f>
        <v>0.000755953059644</v>
      </c>
      <c r="W636" s="0" t="n">
        <f aca="false">INDEX($K636:$O636,IF(4&lt;$E636,4,4+1))</f>
        <v>0.00936233611116</v>
      </c>
      <c r="X636" s="0" t="n">
        <f aca="false">1+COUNTIF($P636:$S636,"&gt;"&amp;$P636)+(COUNTIF($P636:$S636,$P636)-1)/2</f>
        <v>3</v>
      </c>
      <c r="Y636" s="0" t="n">
        <f aca="false">1+COUNTIF($P636:$S636,"&gt;"&amp;$Q636)+(COUNTIF($P636:$S636,$Q636)-1)/2</f>
        <v>2</v>
      </c>
      <c r="Z636" s="0" t="n">
        <f aca="false">1+COUNTIF($P636:$S636,"&gt;"&amp;$R636)+(COUNTIF($P636:$S636,$R636)-1)/2</f>
        <v>1</v>
      </c>
      <c r="AA636" s="0" t="n">
        <f aca="false">1+COUNTIF($P636:$S636,"&gt;"&amp;$S636)+(COUNTIF($P636:$S636,$S636)-1)/2</f>
        <v>4</v>
      </c>
      <c r="AB636" s="0" t="n">
        <f aca="false">1+COUNTIF($T636:$W636,"&gt;"&amp;$T636)+(COUNTIF($T636:$W636,$T636)-1)/2</f>
        <v>2</v>
      </c>
      <c r="AC636" s="0" t="n">
        <f aca="false">1+COUNTIF($T636:$W636,"&gt;"&amp;$U636)+(COUNTIF($T636:$W636,$U636)-1)/2</f>
        <v>1</v>
      </c>
      <c r="AD636" s="0" t="n">
        <f aca="false">1+COUNTIF($T636:$W636,"&gt;"&amp;$V636)+(COUNTIF($T636:$W636,$V636)-1)/2</f>
        <v>4</v>
      </c>
      <c r="AE636" s="0" t="n">
        <f aca="false">1+COUNTIF($T636:$W636,"&gt;"&amp;$W636)+(COUNTIF($T636:$W636,$W636)-1)/2</f>
        <v>3</v>
      </c>
      <c r="AF636" s="0" t="n">
        <f aca="false">IFERROR(CORREL($P636:$S636,$T636:$W636),"")</f>
        <v>-0.027050872563825</v>
      </c>
      <c r="AG636" s="0" t="n">
        <f aca="false">IFERROR(CORREL($X636:$AA636,$AB636:$AE636),"")</f>
        <v>-0.2</v>
      </c>
      <c r="AH636" s="0" t="n">
        <f aca="false">IFERROR((SIGN($P636-$Q636)*SIGN($T636-$U636)+SIGN($P636-$R636)*SIGN($T636-$V636)+SIGN($P636-$S636)*SIGN($T636-$W636)+SIGN($Q636-$R636)*SIGN($U636-$V636)+SIGN($Q636-$S636)*SIGN($U636-$W636)+SIGN($R636-$S636)*SIGN($V636-$W636))/SQRT((6-(($P636=$Q636)*1+($P636=$R636)*1+($P636=$S636)*1+($Q636=$R636)*1+($Q636=$S636)*1+($R636=$S636)*1))*(6-(($T636=$U636)*1+($T636=$V636)*1+($T636=$W636)*1+($U636=$V636)*1+($U636=$W636)*1+($V636=$W636)*1))),"")</f>
        <v>0</v>
      </c>
      <c r="AI636" s="0" t="n">
        <f aca="false">MATCH(MAX($K636:$O636),$K636:$O636,0)</f>
        <v>1</v>
      </c>
      <c r="AJ636" s="0" t="n">
        <f aca="false">IF(AI636&lt;&gt;$E636,1,0)</f>
        <v>0</v>
      </c>
      <c r="AK636" s="0" t="str">
        <f aca="false">IF(AJ636=1,INDEX($F636:$J636,AI636)/MAX($P636:$S636),"")</f>
        <v/>
      </c>
      <c r="AL636" s="0" t="str">
        <f aca="false">IF(AJ636=1,1+COUNTIF($P636:$S636,"&gt;"&amp;INDEX($F636:$J636,AI636)),"")</f>
        <v/>
      </c>
      <c r="AM636" s="0" t="n">
        <f aca="false">AVERAGE($P636:$S636)/MAX($P636:$S636)</f>
        <v>0.764218009478673</v>
      </c>
      <c r="AN636" s="0" t="n">
        <f aca="false">100-INDEX($F636:$J636,$E636)</f>
        <v>69.1</v>
      </c>
    </row>
    <row r="637" customFormat="false" ht="15" hidden="false" customHeight="false" outlineLevel="0" collapsed="false">
      <c r="A637" s="0" t="s">
        <v>61</v>
      </c>
      <c r="B637" s="0" t="n">
        <v>2019</v>
      </c>
      <c r="C637" s="0" t="s">
        <v>51</v>
      </c>
      <c r="D637" s="0" t="s">
        <v>44</v>
      </c>
      <c r="E637" s="0" t="n">
        <v>3</v>
      </c>
      <c r="F637" s="0" t="n">
        <v>13.6</v>
      </c>
      <c r="G637" s="0" t="n">
        <v>6.5</v>
      </c>
      <c r="H637" s="0" t="n">
        <v>46.6</v>
      </c>
      <c r="I637" s="0" t="n">
        <v>9</v>
      </c>
      <c r="J637" s="0" t="n">
        <v>19.5</v>
      </c>
      <c r="K637" s="0" t="n">
        <v>25.2233870423</v>
      </c>
      <c r="L637" s="0" t="n">
        <v>0.298621534468</v>
      </c>
      <c r="M637" s="0" t="n">
        <v>25.4887746082</v>
      </c>
      <c r="N637" s="0" t="n">
        <v>5.21255286871</v>
      </c>
      <c r="O637" s="0" t="n">
        <v>43.7766639464</v>
      </c>
      <c r="P637" s="0" t="n">
        <f aca="false">INDEX($F637:$J637,IF(1&lt;$E637,1,1+1))</f>
        <v>13.6</v>
      </c>
      <c r="Q637" s="0" t="n">
        <f aca="false">INDEX($F637:$J637,IF(2&lt;$E637,2,2+1))</f>
        <v>6.5</v>
      </c>
      <c r="R637" s="0" t="n">
        <f aca="false">INDEX($F637:$J637,IF(3&lt;$E637,3,3+1))</f>
        <v>9</v>
      </c>
      <c r="S637" s="0" t="n">
        <f aca="false">INDEX($F637:$J637,IF(4&lt;$E637,4,4+1))</f>
        <v>19.5</v>
      </c>
      <c r="T637" s="0" t="n">
        <f aca="false">INDEX($K637:$O637,IF(1&lt;$E637,1,1+1))</f>
        <v>25.2233870423</v>
      </c>
      <c r="U637" s="0" t="n">
        <f aca="false">INDEX($K637:$O637,IF(2&lt;$E637,2,2+1))</f>
        <v>0.298621534468</v>
      </c>
      <c r="V637" s="0" t="n">
        <f aca="false">INDEX($K637:$O637,IF(3&lt;$E637,3,3+1))</f>
        <v>5.21255286871</v>
      </c>
      <c r="W637" s="0" t="n">
        <f aca="false">INDEX($K637:$O637,IF(4&lt;$E637,4,4+1))</f>
        <v>43.7766639464</v>
      </c>
      <c r="X637" s="0" t="n">
        <f aca="false">1+COUNTIF($P637:$S637,"&gt;"&amp;$P637)+(COUNTIF($P637:$S637,$P637)-1)/2</f>
        <v>2</v>
      </c>
      <c r="Y637" s="0" t="n">
        <f aca="false">1+COUNTIF($P637:$S637,"&gt;"&amp;$Q637)+(COUNTIF($P637:$S637,$Q637)-1)/2</f>
        <v>4</v>
      </c>
      <c r="Z637" s="0" t="n">
        <f aca="false">1+COUNTIF($P637:$S637,"&gt;"&amp;$R637)+(COUNTIF($P637:$S637,$R637)-1)/2</f>
        <v>3</v>
      </c>
      <c r="AA637" s="0" t="n">
        <f aca="false">1+COUNTIF($P637:$S637,"&gt;"&amp;$S637)+(COUNTIF($P637:$S637,$S637)-1)/2</f>
        <v>1</v>
      </c>
      <c r="AB637" s="0" t="n">
        <f aca="false">1+COUNTIF($T637:$W637,"&gt;"&amp;$T637)+(COUNTIF($T637:$W637,$T637)-1)/2</f>
        <v>2</v>
      </c>
      <c r="AC637" s="0" t="n">
        <f aca="false">1+COUNTIF($T637:$W637,"&gt;"&amp;$U637)+(COUNTIF($T637:$W637,$U637)-1)/2</f>
        <v>4</v>
      </c>
      <c r="AD637" s="0" t="n">
        <f aca="false">1+COUNTIF($T637:$W637,"&gt;"&amp;$V637)+(COUNTIF($T637:$W637,$V637)-1)/2</f>
        <v>3</v>
      </c>
      <c r="AE637" s="0" t="n">
        <f aca="false">1+COUNTIF($T637:$W637,"&gt;"&amp;$W637)+(COUNTIF($T637:$W637,$W637)-1)/2</f>
        <v>1</v>
      </c>
      <c r="AF637" s="0" t="n">
        <f aca="false">IFERROR(CORREL($P637:$S637,$T637:$W637),"")</f>
        <v>0.995638144988261</v>
      </c>
      <c r="AG637" s="0" t="n">
        <f aca="false">IFERROR(CORREL($X637:$AA637,$AB637:$AE637),"")</f>
        <v>1</v>
      </c>
      <c r="AH637" s="0" t="n">
        <f aca="false">IFERROR((SIGN($P637-$Q637)*SIGN($T637-$U637)+SIGN($P637-$R637)*SIGN($T637-$V637)+SIGN($P637-$S637)*SIGN($T637-$W637)+SIGN($Q637-$R637)*SIGN($U637-$V637)+SIGN($Q637-$S637)*SIGN($U637-$W637)+SIGN($R637-$S637)*SIGN($V637-$W637))/SQRT((6-(($P637=$Q637)*1+($P637=$R637)*1+($P637=$S637)*1+($Q637=$R637)*1+($Q637=$S637)*1+($R637=$S637)*1))*(6-(($T637=$U637)*1+($T637=$V637)*1+($T637=$W637)*1+($U637=$V637)*1+($U637=$W637)*1+($V637=$W637)*1))),"")</f>
        <v>1</v>
      </c>
      <c r="AI637" s="0" t="n">
        <f aca="false">MATCH(MAX($K637:$O637),$K637:$O637,0)</f>
        <v>5</v>
      </c>
      <c r="AJ637" s="0" t="n">
        <f aca="false">IF(AI637&lt;&gt;$E637,1,0)</f>
        <v>1</v>
      </c>
      <c r="AK637" s="0" t="n">
        <f aca="false">IF(AJ637=1,INDEX($F637:$J637,AI637)/MAX($P637:$S637),"")</f>
        <v>1</v>
      </c>
      <c r="AL637" s="0" t="n">
        <f aca="false">IF(AJ637=1,1+COUNTIF($P637:$S637,"&gt;"&amp;INDEX($F637:$J637,AI637)),"")</f>
        <v>1</v>
      </c>
      <c r="AM637" s="0" t="n">
        <f aca="false">AVERAGE($P637:$S637)/MAX($P637:$S637)</f>
        <v>0.623076923076923</v>
      </c>
      <c r="AN637" s="0" t="n">
        <f aca="false">100-INDEX($F637:$J637,$E637)</f>
        <v>53.4</v>
      </c>
    </row>
    <row r="638" customFormat="false" ht="15" hidden="false" customHeight="false" outlineLevel="0" collapsed="false">
      <c r="A638" s="0" t="s">
        <v>61</v>
      </c>
      <c r="B638" s="0" t="n">
        <v>2019</v>
      </c>
      <c r="C638" s="0" t="s">
        <v>51</v>
      </c>
      <c r="D638" s="0" t="s">
        <v>45</v>
      </c>
      <c r="E638" s="0" t="n">
        <v>5</v>
      </c>
      <c r="F638" s="0" t="n">
        <v>7.7</v>
      </c>
      <c r="G638" s="0" t="n">
        <v>7.9</v>
      </c>
      <c r="H638" s="0" t="n">
        <v>10.8</v>
      </c>
      <c r="I638" s="0" t="n">
        <v>11.9</v>
      </c>
      <c r="J638" s="0" t="n">
        <v>56.8</v>
      </c>
      <c r="K638" s="0" t="n">
        <v>11.8439021726</v>
      </c>
      <c r="L638" s="0" t="n">
        <v>34.236719677</v>
      </c>
      <c r="M638" s="0" t="n">
        <v>16.4051010387</v>
      </c>
      <c r="N638" s="0" t="n">
        <v>3.46216042106</v>
      </c>
      <c r="O638" s="0" t="n">
        <v>34.0521166906</v>
      </c>
      <c r="P638" s="0" t="n">
        <f aca="false">INDEX($F638:$J638,IF(1&lt;$E638,1,1+1))</f>
        <v>7.7</v>
      </c>
      <c r="Q638" s="0" t="n">
        <f aca="false">INDEX($F638:$J638,IF(2&lt;$E638,2,2+1))</f>
        <v>7.9</v>
      </c>
      <c r="R638" s="0" t="n">
        <f aca="false">INDEX($F638:$J638,IF(3&lt;$E638,3,3+1))</f>
        <v>10.8</v>
      </c>
      <c r="S638" s="0" t="n">
        <f aca="false">INDEX($F638:$J638,IF(4&lt;$E638,4,4+1))</f>
        <v>11.9</v>
      </c>
      <c r="T638" s="0" t="n">
        <f aca="false">INDEX($K638:$O638,IF(1&lt;$E638,1,1+1))</f>
        <v>11.8439021726</v>
      </c>
      <c r="U638" s="0" t="n">
        <f aca="false">INDEX($K638:$O638,IF(2&lt;$E638,2,2+1))</f>
        <v>34.236719677</v>
      </c>
      <c r="V638" s="0" t="n">
        <f aca="false">INDEX($K638:$O638,IF(3&lt;$E638,3,3+1))</f>
        <v>16.4051010387</v>
      </c>
      <c r="W638" s="0" t="n">
        <f aca="false">INDEX($K638:$O638,IF(4&lt;$E638,4,4+1))</f>
        <v>3.46216042106</v>
      </c>
      <c r="X638" s="0" t="n">
        <f aca="false">1+COUNTIF($P638:$S638,"&gt;"&amp;$P638)+(COUNTIF($P638:$S638,$P638)-1)/2</f>
        <v>4</v>
      </c>
      <c r="Y638" s="0" t="n">
        <f aca="false">1+COUNTIF($P638:$S638,"&gt;"&amp;$Q638)+(COUNTIF($P638:$S638,$Q638)-1)/2</f>
        <v>3</v>
      </c>
      <c r="Z638" s="0" t="n">
        <f aca="false">1+COUNTIF($P638:$S638,"&gt;"&amp;$R638)+(COUNTIF($P638:$S638,$R638)-1)/2</f>
        <v>2</v>
      </c>
      <c r="AA638" s="0" t="n">
        <f aca="false">1+COUNTIF($P638:$S638,"&gt;"&amp;$S638)+(COUNTIF($P638:$S638,$S638)-1)/2</f>
        <v>1</v>
      </c>
      <c r="AB638" s="0" t="n">
        <f aca="false">1+COUNTIF($T638:$W638,"&gt;"&amp;$T638)+(COUNTIF($T638:$W638,$T638)-1)/2</f>
        <v>3</v>
      </c>
      <c r="AC638" s="0" t="n">
        <f aca="false">1+COUNTIF($T638:$W638,"&gt;"&amp;$U638)+(COUNTIF($T638:$W638,$U638)-1)/2</f>
        <v>1</v>
      </c>
      <c r="AD638" s="0" t="n">
        <f aca="false">1+COUNTIF($T638:$W638,"&gt;"&amp;$V638)+(COUNTIF($T638:$W638,$V638)-1)/2</f>
        <v>2</v>
      </c>
      <c r="AE638" s="0" t="n">
        <f aca="false">1+COUNTIF($T638:$W638,"&gt;"&amp;$W638)+(COUNTIF($T638:$W638,$W638)-1)/2</f>
        <v>4</v>
      </c>
      <c r="AF638" s="0" t="n">
        <f aca="false">IFERROR(CORREL($P638:$S638,$T638:$W638),"")</f>
        <v>-0.628208342206424</v>
      </c>
      <c r="AG638" s="0" t="n">
        <f aca="false">IFERROR(CORREL($X638:$AA638,$AB638:$AE638),"")</f>
        <v>-0.4</v>
      </c>
      <c r="AH638" s="0" t="n">
        <f aca="false">IFERROR((SIGN($P638-$Q638)*SIGN($T638-$U638)+SIGN($P638-$R638)*SIGN($T638-$V638)+SIGN($P638-$S638)*SIGN($T638-$W638)+SIGN($Q638-$R638)*SIGN($U638-$V638)+SIGN($Q638-$S638)*SIGN($U638-$W638)+SIGN($R638-$S638)*SIGN($V638-$W638))/SQRT((6-(($P638=$Q638)*1+($P638=$R638)*1+($P638=$S638)*1+($Q638=$R638)*1+($Q638=$S638)*1+($R638=$S638)*1))*(6-(($T638=$U638)*1+($T638=$V638)*1+($T638=$W638)*1+($U638=$V638)*1+($U638=$W638)*1+($V638=$W638)*1))),"")</f>
        <v>-0.333333333333333</v>
      </c>
      <c r="AI638" s="0" t="n">
        <f aca="false">MATCH(MAX($K638:$O638),$K638:$O638,0)</f>
        <v>2</v>
      </c>
      <c r="AJ638" s="0" t="n">
        <f aca="false">IF(AI638&lt;&gt;$E638,1,0)</f>
        <v>1</v>
      </c>
      <c r="AK638" s="0" t="n">
        <f aca="false">IF(AJ638=1,INDEX($F638:$J638,AI638)/MAX($P638:$S638),"")</f>
        <v>0.663865546218487</v>
      </c>
      <c r="AL638" s="0" t="n">
        <f aca="false">IF(AJ638=1,1+COUNTIF($P638:$S638,"&gt;"&amp;INDEX($F638:$J638,AI638)),"")</f>
        <v>3</v>
      </c>
      <c r="AM638" s="0" t="n">
        <f aca="false">AVERAGE($P638:$S638)/MAX($P638:$S638)</f>
        <v>0.804621848739496</v>
      </c>
      <c r="AN638" s="0" t="n">
        <f aca="false">100-INDEX($F638:$J638,$E638)</f>
        <v>43.2</v>
      </c>
    </row>
    <row r="639" customFormat="false" ht="15" hidden="false" customHeight="false" outlineLevel="0" collapsed="false">
      <c r="A639" s="0" t="s">
        <v>61</v>
      </c>
      <c r="B639" s="0" t="n">
        <v>2019</v>
      </c>
      <c r="C639" s="0" t="s">
        <v>46</v>
      </c>
      <c r="D639" s="0" t="s">
        <v>42</v>
      </c>
      <c r="E639" s="0" t="n">
        <v>1</v>
      </c>
      <c r="F639" s="0" t="n">
        <v>35.1</v>
      </c>
      <c r="G639" s="0" t="n">
        <v>9.4</v>
      </c>
      <c r="H639" s="0" t="n">
        <v>8.8</v>
      </c>
      <c r="I639" s="0" t="n">
        <v>10.9</v>
      </c>
      <c r="J639" s="0" t="n">
        <v>22.9</v>
      </c>
      <c r="K639" s="0" t="n">
        <v>7.87520825083</v>
      </c>
      <c r="L639" s="0" t="n">
        <v>40.1497214738</v>
      </c>
      <c r="M639" s="0" t="n">
        <v>4.87640541693</v>
      </c>
      <c r="N639" s="0" t="n">
        <v>38.8439517551</v>
      </c>
      <c r="O639" s="0" t="n">
        <v>8.25471310329</v>
      </c>
      <c r="P639" s="0" t="n">
        <f aca="false">INDEX($F639:$J639,IF(1&lt;$E639,1,1+1))</f>
        <v>9.4</v>
      </c>
      <c r="Q639" s="0" t="n">
        <f aca="false">INDEX($F639:$J639,IF(2&lt;$E639,2,2+1))</f>
        <v>8.8</v>
      </c>
      <c r="R639" s="0" t="n">
        <f aca="false">INDEX($F639:$J639,IF(3&lt;$E639,3,3+1))</f>
        <v>10.9</v>
      </c>
      <c r="S639" s="0" t="n">
        <f aca="false">INDEX($F639:$J639,IF(4&lt;$E639,4,4+1))</f>
        <v>22.9</v>
      </c>
      <c r="T639" s="0" t="n">
        <f aca="false">INDEX($K639:$O639,IF(1&lt;$E639,1,1+1))</f>
        <v>40.1497214738</v>
      </c>
      <c r="U639" s="0" t="n">
        <f aca="false">INDEX($K639:$O639,IF(2&lt;$E639,2,2+1))</f>
        <v>4.87640541693</v>
      </c>
      <c r="V639" s="0" t="n">
        <f aca="false">INDEX($K639:$O639,IF(3&lt;$E639,3,3+1))</f>
        <v>38.8439517551</v>
      </c>
      <c r="W639" s="0" t="n">
        <f aca="false">INDEX($K639:$O639,IF(4&lt;$E639,4,4+1))</f>
        <v>8.25471310329</v>
      </c>
      <c r="X639" s="0" t="n">
        <f aca="false">1+COUNTIF($P639:$S639,"&gt;"&amp;$P639)+(COUNTIF($P639:$S639,$P639)-1)/2</f>
        <v>3</v>
      </c>
      <c r="Y639" s="0" t="n">
        <f aca="false">1+COUNTIF($P639:$S639,"&gt;"&amp;$Q639)+(COUNTIF($P639:$S639,$Q639)-1)/2</f>
        <v>4</v>
      </c>
      <c r="Z639" s="0" t="n">
        <f aca="false">1+COUNTIF($P639:$S639,"&gt;"&amp;$R639)+(COUNTIF($P639:$S639,$R639)-1)/2</f>
        <v>2</v>
      </c>
      <c r="AA639" s="0" t="n">
        <f aca="false">1+COUNTIF($P639:$S639,"&gt;"&amp;$S639)+(COUNTIF($P639:$S639,$S639)-1)/2</f>
        <v>1</v>
      </c>
      <c r="AB639" s="0" t="n">
        <f aca="false">1+COUNTIF($T639:$W639,"&gt;"&amp;$T639)+(COUNTIF($T639:$W639,$T639)-1)/2</f>
        <v>1</v>
      </c>
      <c r="AC639" s="0" t="n">
        <f aca="false">1+COUNTIF($T639:$W639,"&gt;"&amp;$U639)+(COUNTIF($T639:$W639,$U639)-1)/2</f>
        <v>4</v>
      </c>
      <c r="AD639" s="0" t="n">
        <f aca="false">1+COUNTIF($T639:$W639,"&gt;"&amp;$V639)+(COUNTIF($T639:$W639,$V639)-1)/2</f>
        <v>2</v>
      </c>
      <c r="AE639" s="0" t="n">
        <f aca="false">1+COUNTIF($T639:$W639,"&gt;"&amp;$W639)+(COUNTIF($T639:$W639,$W639)-1)/2</f>
        <v>3</v>
      </c>
      <c r="AF639" s="0" t="n">
        <f aca="false">IFERROR(CORREL($P639:$S639,$T639:$W639),"")</f>
        <v>-0.432779451844286</v>
      </c>
      <c r="AG639" s="0" t="n">
        <f aca="false">IFERROR(CORREL($X639:$AA639,$AB639:$AE639),"")</f>
        <v>0.2</v>
      </c>
      <c r="AH639" s="0" t="n">
        <f aca="false">IFERROR((SIGN($P639-$Q639)*SIGN($T639-$U639)+SIGN($P639-$R639)*SIGN($T639-$V639)+SIGN($P639-$S639)*SIGN($T639-$W639)+SIGN($Q639-$R639)*SIGN($U639-$V639)+SIGN($Q639-$S639)*SIGN($U639-$W639)+SIGN($R639-$S639)*SIGN($V639-$W639))/SQRT((6-(($P639=$Q639)*1+($P639=$R639)*1+($P639=$S639)*1+($Q639=$R639)*1+($Q639=$S639)*1+($R639=$S639)*1))*(6-(($T639=$U639)*1+($T639=$V639)*1+($T639=$W639)*1+($U639=$V639)*1+($U639=$W639)*1+($V639=$W639)*1))),"")</f>
        <v>0</v>
      </c>
      <c r="AI639" s="0" t="n">
        <f aca="false">MATCH(MAX($K639:$O639),$K639:$O639,0)</f>
        <v>2</v>
      </c>
      <c r="AJ639" s="0" t="n">
        <f aca="false">IF(AI639&lt;&gt;$E639,1,0)</f>
        <v>1</v>
      </c>
      <c r="AK639" s="0" t="n">
        <f aca="false">IF(AJ639=1,INDEX($F639:$J639,AI639)/MAX($P639:$S639),"")</f>
        <v>0.410480349344978</v>
      </c>
      <c r="AL639" s="0" t="n">
        <f aca="false">IF(AJ639=1,1+COUNTIF($P639:$S639,"&gt;"&amp;INDEX($F639:$J639,AI639)),"")</f>
        <v>3</v>
      </c>
      <c r="AM639" s="0" t="n">
        <f aca="false">AVERAGE($P639:$S639)/MAX($P639:$S639)</f>
        <v>0.567685589519651</v>
      </c>
      <c r="AN639" s="0" t="n">
        <f aca="false">100-INDEX($F639:$J639,$E639)</f>
        <v>64.9</v>
      </c>
    </row>
    <row r="640" customFormat="false" ht="15" hidden="false" customHeight="false" outlineLevel="0" collapsed="false">
      <c r="A640" s="0" t="s">
        <v>61</v>
      </c>
      <c r="B640" s="0" t="n">
        <v>2019</v>
      </c>
      <c r="C640" s="0" t="s">
        <v>46</v>
      </c>
      <c r="D640" s="0" t="s">
        <v>43</v>
      </c>
      <c r="E640" s="0" t="n">
        <v>5</v>
      </c>
      <c r="F640" s="0" t="n">
        <v>13.1</v>
      </c>
      <c r="G640" s="0" t="n">
        <v>14.7</v>
      </c>
      <c r="H640" s="0" t="n">
        <v>8.5</v>
      </c>
      <c r="I640" s="0" t="n">
        <v>11.4</v>
      </c>
      <c r="J640" s="0" t="n">
        <v>39</v>
      </c>
      <c r="K640" s="0" t="n">
        <v>3.93882378724</v>
      </c>
      <c r="L640" s="0" t="n">
        <v>14.5229726294</v>
      </c>
      <c r="M640" s="0" t="n">
        <v>7.45477534215</v>
      </c>
      <c r="N640" s="0" t="n">
        <v>8.13963936571</v>
      </c>
      <c r="O640" s="0" t="n">
        <v>65.9437888755</v>
      </c>
      <c r="P640" s="0" t="n">
        <f aca="false">INDEX($F640:$J640,IF(1&lt;$E640,1,1+1))</f>
        <v>13.1</v>
      </c>
      <c r="Q640" s="0" t="n">
        <f aca="false">INDEX($F640:$J640,IF(2&lt;$E640,2,2+1))</f>
        <v>14.7</v>
      </c>
      <c r="R640" s="0" t="n">
        <f aca="false">INDEX($F640:$J640,IF(3&lt;$E640,3,3+1))</f>
        <v>8.5</v>
      </c>
      <c r="S640" s="0" t="n">
        <f aca="false">INDEX($F640:$J640,IF(4&lt;$E640,4,4+1))</f>
        <v>11.4</v>
      </c>
      <c r="T640" s="0" t="n">
        <f aca="false">INDEX($K640:$O640,IF(1&lt;$E640,1,1+1))</f>
        <v>3.93882378724</v>
      </c>
      <c r="U640" s="0" t="n">
        <f aca="false">INDEX($K640:$O640,IF(2&lt;$E640,2,2+1))</f>
        <v>14.5229726294</v>
      </c>
      <c r="V640" s="0" t="n">
        <f aca="false">INDEX($K640:$O640,IF(3&lt;$E640,3,3+1))</f>
        <v>7.45477534215</v>
      </c>
      <c r="W640" s="0" t="n">
        <f aca="false">INDEX($K640:$O640,IF(4&lt;$E640,4,4+1))</f>
        <v>8.13963936571</v>
      </c>
      <c r="X640" s="0" t="n">
        <f aca="false">1+COUNTIF($P640:$S640,"&gt;"&amp;$P640)+(COUNTIF($P640:$S640,$P640)-1)/2</f>
        <v>2</v>
      </c>
      <c r="Y640" s="0" t="n">
        <f aca="false">1+COUNTIF($P640:$S640,"&gt;"&amp;$Q640)+(COUNTIF($P640:$S640,$Q640)-1)/2</f>
        <v>1</v>
      </c>
      <c r="Z640" s="0" t="n">
        <f aca="false">1+COUNTIF($P640:$S640,"&gt;"&amp;$R640)+(COUNTIF($P640:$S640,$R640)-1)/2</f>
        <v>4</v>
      </c>
      <c r="AA640" s="0" t="n">
        <f aca="false">1+COUNTIF($P640:$S640,"&gt;"&amp;$S640)+(COUNTIF($P640:$S640,$S640)-1)/2</f>
        <v>3</v>
      </c>
      <c r="AB640" s="0" t="n">
        <f aca="false">1+COUNTIF($T640:$W640,"&gt;"&amp;$T640)+(COUNTIF($T640:$W640,$T640)-1)/2</f>
        <v>4</v>
      </c>
      <c r="AC640" s="0" t="n">
        <f aca="false">1+COUNTIF($T640:$W640,"&gt;"&amp;$U640)+(COUNTIF($T640:$W640,$U640)-1)/2</f>
        <v>1</v>
      </c>
      <c r="AD640" s="0" t="n">
        <f aca="false">1+COUNTIF($T640:$W640,"&gt;"&amp;$V640)+(COUNTIF($T640:$W640,$V640)-1)/2</f>
        <v>3</v>
      </c>
      <c r="AE640" s="0" t="n">
        <f aca="false">1+COUNTIF($T640:$W640,"&gt;"&amp;$W640)+(COUNTIF($T640:$W640,$W640)-1)/2</f>
        <v>2</v>
      </c>
      <c r="AF640" s="0" t="n">
        <f aca="false">IFERROR(CORREL($P640:$S640,$T640:$W640),"")</f>
        <v>0.431316705791743</v>
      </c>
      <c r="AG640" s="0" t="n">
        <f aca="false">IFERROR(CORREL($X640:$AA640,$AB640:$AE640),"")</f>
        <v>0.4</v>
      </c>
      <c r="AH640" s="0" t="n">
        <f aca="false">IFERROR((SIGN($P640-$Q640)*SIGN($T640-$U640)+SIGN($P640-$R640)*SIGN($T640-$V640)+SIGN($P640-$S640)*SIGN($T640-$W640)+SIGN($Q640-$R640)*SIGN($U640-$V640)+SIGN($Q640-$S640)*SIGN($U640-$W640)+SIGN($R640-$S640)*SIGN($V640-$W640))/SQRT((6-(($P640=$Q640)*1+($P640=$R640)*1+($P640=$S640)*1+($Q640=$R640)*1+($Q640=$S640)*1+($R640=$S640)*1))*(6-(($T640=$U640)*1+($T640=$V640)*1+($T640=$W640)*1+($U640=$V640)*1+($U640=$W640)*1+($V640=$W640)*1))),"")</f>
        <v>0.333333333333333</v>
      </c>
      <c r="AI640" s="0" t="n">
        <f aca="false">MATCH(MAX($K640:$O640),$K640:$O640,0)</f>
        <v>5</v>
      </c>
      <c r="AJ640" s="0" t="n">
        <f aca="false">IF(AI640&lt;&gt;$E640,1,0)</f>
        <v>0</v>
      </c>
      <c r="AK640" s="0" t="str">
        <f aca="false">IF(AJ640=1,INDEX($F640:$J640,AI640)/MAX($P640:$S640),"")</f>
        <v/>
      </c>
      <c r="AL640" s="0" t="str">
        <f aca="false">IF(AJ640=1,1+COUNTIF($P640:$S640,"&gt;"&amp;INDEX($F640:$J640,AI640)),"")</f>
        <v/>
      </c>
      <c r="AM640" s="0" t="n">
        <f aca="false">AVERAGE($P640:$S640)/MAX($P640:$S640)</f>
        <v>0.811224489795918</v>
      </c>
      <c r="AN640" s="0" t="n">
        <f aca="false">100-INDEX($F640:$J640,$E640)</f>
        <v>61</v>
      </c>
    </row>
    <row r="641" customFormat="false" ht="15" hidden="false" customHeight="false" outlineLevel="0" collapsed="false">
      <c r="A641" s="0" t="s">
        <v>61</v>
      </c>
      <c r="B641" s="0" t="n">
        <v>2019</v>
      </c>
      <c r="C641" s="0" t="s">
        <v>46</v>
      </c>
      <c r="D641" s="0" t="s">
        <v>44</v>
      </c>
      <c r="E641" s="0" t="n">
        <v>1</v>
      </c>
      <c r="F641" s="0" t="n">
        <v>40</v>
      </c>
      <c r="G641" s="0" t="n">
        <v>16.4</v>
      </c>
      <c r="H641" s="0" t="n">
        <v>10.8</v>
      </c>
      <c r="I641" s="0" t="n">
        <v>11.1</v>
      </c>
      <c r="J641" s="0" t="n">
        <v>8.4</v>
      </c>
      <c r="K641" s="0" t="n">
        <v>15.4443218997</v>
      </c>
      <c r="L641" s="0" t="n">
        <v>16.7408934921</v>
      </c>
      <c r="M641" s="0" t="n">
        <v>16.2099150383</v>
      </c>
      <c r="N641" s="0" t="n">
        <v>30.0460747735</v>
      </c>
      <c r="O641" s="0" t="n">
        <v>21.5587947965</v>
      </c>
      <c r="P641" s="0" t="n">
        <f aca="false">INDEX($F641:$J641,IF(1&lt;$E641,1,1+1))</f>
        <v>16.4</v>
      </c>
      <c r="Q641" s="0" t="n">
        <f aca="false">INDEX($F641:$J641,IF(2&lt;$E641,2,2+1))</f>
        <v>10.8</v>
      </c>
      <c r="R641" s="0" t="n">
        <f aca="false">INDEX($F641:$J641,IF(3&lt;$E641,3,3+1))</f>
        <v>11.1</v>
      </c>
      <c r="S641" s="0" t="n">
        <f aca="false">INDEX($F641:$J641,IF(4&lt;$E641,4,4+1))</f>
        <v>8.4</v>
      </c>
      <c r="T641" s="0" t="n">
        <f aca="false">INDEX($K641:$O641,IF(1&lt;$E641,1,1+1))</f>
        <v>16.7408934921</v>
      </c>
      <c r="U641" s="0" t="n">
        <f aca="false">INDEX($K641:$O641,IF(2&lt;$E641,2,2+1))</f>
        <v>16.2099150383</v>
      </c>
      <c r="V641" s="0" t="n">
        <f aca="false">INDEX($K641:$O641,IF(3&lt;$E641,3,3+1))</f>
        <v>30.0460747735</v>
      </c>
      <c r="W641" s="0" t="n">
        <f aca="false">INDEX($K641:$O641,IF(4&lt;$E641,4,4+1))</f>
        <v>21.5587947965</v>
      </c>
      <c r="X641" s="0" t="n">
        <f aca="false">1+COUNTIF($P641:$S641,"&gt;"&amp;$P641)+(COUNTIF($P641:$S641,$P641)-1)/2</f>
        <v>1</v>
      </c>
      <c r="Y641" s="0" t="n">
        <f aca="false">1+COUNTIF($P641:$S641,"&gt;"&amp;$Q641)+(COUNTIF($P641:$S641,$Q641)-1)/2</f>
        <v>3</v>
      </c>
      <c r="Z641" s="0" t="n">
        <f aca="false">1+COUNTIF($P641:$S641,"&gt;"&amp;$R641)+(COUNTIF($P641:$S641,$R641)-1)/2</f>
        <v>2</v>
      </c>
      <c r="AA641" s="0" t="n">
        <f aca="false">1+COUNTIF($P641:$S641,"&gt;"&amp;$S641)+(COUNTIF($P641:$S641,$S641)-1)/2</f>
        <v>4</v>
      </c>
      <c r="AB641" s="0" t="n">
        <f aca="false">1+COUNTIF($T641:$W641,"&gt;"&amp;$T641)+(COUNTIF($T641:$W641,$T641)-1)/2</f>
        <v>3</v>
      </c>
      <c r="AC641" s="0" t="n">
        <f aca="false">1+COUNTIF($T641:$W641,"&gt;"&amp;$U641)+(COUNTIF($T641:$W641,$U641)-1)/2</f>
        <v>4</v>
      </c>
      <c r="AD641" s="0" t="n">
        <f aca="false">1+COUNTIF($T641:$W641,"&gt;"&amp;$V641)+(COUNTIF($T641:$W641,$V641)-1)/2</f>
        <v>1</v>
      </c>
      <c r="AE641" s="0" t="n">
        <f aca="false">1+COUNTIF($T641:$W641,"&gt;"&amp;$W641)+(COUNTIF($T641:$W641,$W641)-1)/2</f>
        <v>2</v>
      </c>
      <c r="AF641" s="0" t="n">
        <f aca="false">IFERROR(CORREL($P641:$S641,$T641:$W641),"")</f>
        <v>-0.354125995536621</v>
      </c>
      <c r="AG641" s="0" t="n">
        <f aca="false">IFERROR(CORREL($X641:$AA641,$AB641:$AE641),"")</f>
        <v>0</v>
      </c>
      <c r="AH641" s="0" t="n">
        <f aca="false">IFERROR((SIGN($P641-$Q641)*SIGN($T641-$U641)+SIGN($P641-$R641)*SIGN($T641-$V641)+SIGN($P641-$S641)*SIGN($T641-$W641)+SIGN($Q641-$R641)*SIGN($U641-$V641)+SIGN($Q641-$S641)*SIGN($U641-$W641)+SIGN($R641-$S641)*SIGN($V641-$W641))/SQRT((6-(($P641=$Q641)*1+($P641=$R641)*1+($P641=$S641)*1+($Q641=$R641)*1+($Q641=$S641)*1+($R641=$S641)*1))*(6-(($T641=$U641)*1+($T641=$V641)*1+($T641=$W641)*1+($U641=$V641)*1+($U641=$W641)*1+($V641=$W641)*1))),"")</f>
        <v>0</v>
      </c>
      <c r="AI641" s="0" t="n">
        <f aca="false">MATCH(MAX($K641:$O641),$K641:$O641,0)</f>
        <v>4</v>
      </c>
      <c r="AJ641" s="0" t="n">
        <f aca="false">IF(AI641&lt;&gt;$E641,1,0)</f>
        <v>1</v>
      </c>
      <c r="AK641" s="0" t="n">
        <f aca="false">IF(AJ641=1,INDEX($F641:$J641,AI641)/MAX($P641:$S641),"")</f>
        <v>0.676829268292683</v>
      </c>
      <c r="AL641" s="0" t="n">
        <f aca="false">IF(AJ641=1,1+COUNTIF($P641:$S641,"&gt;"&amp;INDEX($F641:$J641,AI641)),"")</f>
        <v>2</v>
      </c>
      <c r="AM641" s="0" t="n">
        <f aca="false">AVERAGE($P641:$S641)/MAX($P641:$S641)</f>
        <v>0.711890243902439</v>
      </c>
      <c r="AN641" s="0" t="n">
        <f aca="false">100-INDEX($F641:$J641,$E641)</f>
        <v>60</v>
      </c>
    </row>
    <row r="642" customFormat="false" ht="15" hidden="false" customHeight="false" outlineLevel="0" collapsed="false">
      <c r="A642" s="0" t="s">
        <v>61</v>
      </c>
      <c r="B642" s="0" t="n">
        <v>2019</v>
      </c>
      <c r="C642" s="0" t="s">
        <v>46</v>
      </c>
      <c r="D642" s="0" t="s">
        <v>45</v>
      </c>
      <c r="E642" s="0" t="n">
        <v>5</v>
      </c>
      <c r="F642" s="0" t="n">
        <v>11.9</v>
      </c>
      <c r="G642" s="0" t="n">
        <v>11.2</v>
      </c>
      <c r="H642" s="0" t="n">
        <v>13.5</v>
      </c>
      <c r="I642" s="0" t="n">
        <v>16</v>
      </c>
      <c r="J642" s="0" t="n">
        <v>33.9</v>
      </c>
      <c r="K642" s="0" t="n">
        <v>2.59915990452</v>
      </c>
      <c r="L642" s="0" t="n">
        <v>30.91307776</v>
      </c>
      <c r="M642" s="0" t="n">
        <v>21.2140091917</v>
      </c>
      <c r="N642" s="0" t="n">
        <v>25.8957851053</v>
      </c>
      <c r="O642" s="0" t="n">
        <v>19.3779680384</v>
      </c>
      <c r="P642" s="0" t="n">
        <f aca="false">INDEX($F642:$J642,IF(1&lt;$E642,1,1+1))</f>
        <v>11.9</v>
      </c>
      <c r="Q642" s="0" t="n">
        <f aca="false">INDEX($F642:$J642,IF(2&lt;$E642,2,2+1))</f>
        <v>11.2</v>
      </c>
      <c r="R642" s="0" t="n">
        <f aca="false">INDEX($F642:$J642,IF(3&lt;$E642,3,3+1))</f>
        <v>13.5</v>
      </c>
      <c r="S642" s="0" t="n">
        <f aca="false">INDEX($F642:$J642,IF(4&lt;$E642,4,4+1))</f>
        <v>16</v>
      </c>
      <c r="T642" s="0" t="n">
        <f aca="false">INDEX($K642:$O642,IF(1&lt;$E642,1,1+1))</f>
        <v>2.59915990452</v>
      </c>
      <c r="U642" s="0" t="n">
        <f aca="false">INDEX($K642:$O642,IF(2&lt;$E642,2,2+1))</f>
        <v>30.91307776</v>
      </c>
      <c r="V642" s="0" t="n">
        <f aca="false">INDEX($K642:$O642,IF(3&lt;$E642,3,3+1))</f>
        <v>21.2140091917</v>
      </c>
      <c r="W642" s="0" t="n">
        <f aca="false">INDEX($K642:$O642,IF(4&lt;$E642,4,4+1))</f>
        <v>25.8957851053</v>
      </c>
      <c r="X642" s="0" t="n">
        <f aca="false">1+COUNTIF($P642:$S642,"&gt;"&amp;$P642)+(COUNTIF($P642:$S642,$P642)-1)/2</f>
        <v>3</v>
      </c>
      <c r="Y642" s="0" t="n">
        <f aca="false">1+COUNTIF($P642:$S642,"&gt;"&amp;$Q642)+(COUNTIF($P642:$S642,$Q642)-1)/2</f>
        <v>4</v>
      </c>
      <c r="Z642" s="0" t="n">
        <f aca="false">1+COUNTIF($P642:$S642,"&gt;"&amp;$R642)+(COUNTIF($P642:$S642,$R642)-1)/2</f>
        <v>2</v>
      </c>
      <c r="AA642" s="0" t="n">
        <f aca="false">1+COUNTIF($P642:$S642,"&gt;"&amp;$S642)+(COUNTIF($P642:$S642,$S642)-1)/2</f>
        <v>1</v>
      </c>
      <c r="AB642" s="0" t="n">
        <f aca="false">1+COUNTIF($T642:$W642,"&gt;"&amp;$T642)+(COUNTIF($T642:$W642,$T642)-1)/2</f>
        <v>4</v>
      </c>
      <c r="AC642" s="0" t="n">
        <f aca="false">1+COUNTIF($T642:$W642,"&gt;"&amp;$U642)+(COUNTIF($T642:$W642,$U642)-1)/2</f>
        <v>1</v>
      </c>
      <c r="AD642" s="0" t="n">
        <f aca="false">1+COUNTIF($T642:$W642,"&gt;"&amp;$V642)+(COUNTIF($T642:$W642,$V642)-1)/2</f>
        <v>3</v>
      </c>
      <c r="AE642" s="0" t="n">
        <f aca="false">1+COUNTIF($T642:$W642,"&gt;"&amp;$W642)+(COUNTIF($T642:$W642,$W642)-1)/2</f>
        <v>2</v>
      </c>
      <c r="AF642" s="0" t="n">
        <f aca="false">IFERROR(CORREL($P642:$S642,$T642:$W642),"")</f>
        <v>0.224162415842454</v>
      </c>
      <c r="AG642" s="0" t="n">
        <f aca="false">IFERROR(CORREL($X642:$AA642,$AB642:$AE642),"")</f>
        <v>-0.2</v>
      </c>
      <c r="AH642" s="0" t="n">
        <f aca="false">IFERROR((SIGN($P642-$Q642)*SIGN($T642-$U642)+SIGN($P642-$R642)*SIGN($T642-$V642)+SIGN($P642-$S642)*SIGN($T642-$W642)+SIGN($Q642-$R642)*SIGN($U642-$V642)+SIGN($Q642-$S642)*SIGN($U642-$W642)+SIGN($R642-$S642)*SIGN($V642-$W642))/SQRT((6-(($P642=$Q642)*1+($P642=$R642)*1+($P642=$S642)*1+($Q642=$R642)*1+($Q642=$S642)*1+($R642=$S642)*1))*(6-(($T642=$U642)*1+($T642=$V642)*1+($T642=$W642)*1+($U642=$V642)*1+($U642=$W642)*1+($V642=$W642)*1))),"")</f>
        <v>0</v>
      </c>
      <c r="AI642" s="0" t="n">
        <f aca="false">MATCH(MAX($K642:$O642),$K642:$O642,0)</f>
        <v>2</v>
      </c>
      <c r="AJ642" s="0" t="n">
        <f aca="false">IF(AI642&lt;&gt;$E642,1,0)</f>
        <v>1</v>
      </c>
      <c r="AK642" s="0" t="n">
        <f aca="false">IF(AJ642=1,INDEX($F642:$J642,AI642)/MAX($P642:$S642),"")</f>
        <v>0.7</v>
      </c>
      <c r="AL642" s="0" t="n">
        <f aca="false">IF(AJ642=1,1+COUNTIF($P642:$S642,"&gt;"&amp;INDEX($F642:$J642,AI642)),"")</f>
        <v>4</v>
      </c>
      <c r="AM642" s="0" t="n">
        <f aca="false">AVERAGE($P642:$S642)/MAX($P642:$S642)</f>
        <v>0.821875</v>
      </c>
      <c r="AN642" s="0" t="n">
        <f aca="false">100-INDEX($F642:$J642,$E642)</f>
        <v>66.1</v>
      </c>
    </row>
    <row r="643" customFormat="false" ht="15" hidden="false" customHeight="false" outlineLevel="0" collapsed="false">
      <c r="A643" s="0" t="s">
        <v>61</v>
      </c>
      <c r="B643" s="0" t="n">
        <v>2018</v>
      </c>
      <c r="C643" s="0" t="s">
        <v>58</v>
      </c>
      <c r="D643" s="0" t="s">
        <v>43</v>
      </c>
      <c r="E643" s="0" t="n">
        <v>3</v>
      </c>
      <c r="F643" s="0" t="n">
        <v>12</v>
      </c>
      <c r="G643" s="0" t="n">
        <v>17.2</v>
      </c>
      <c r="H643" s="0" t="n">
        <v>35.2</v>
      </c>
      <c r="I643" s="0" t="n">
        <v>20.7</v>
      </c>
      <c r="J643" s="0" t="n">
        <v>7</v>
      </c>
      <c r="K643" s="0" t="n">
        <v>28.8601974743</v>
      </c>
      <c r="L643" s="0" t="n">
        <v>30.6902664547</v>
      </c>
      <c r="M643" s="0" t="n">
        <v>21.8734558122</v>
      </c>
      <c r="N643" s="0" t="n">
        <v>2.68870088575</v>
      </c>
      <c r="O643" s="0" t="n">
        <v>15.887379373</v>
      </c>
      <c r="P643" s="0" t="n">
        <f aca="false">INDEX($F643:$J643,IF(1&lt;$E643,1,1+1))</f>
        <v>12</v>
      </c>
      <c r="Q643" s="0" t="n">
        <f aca="false">INDEX($F643:$J643,IF(2&lt;$E643,2,2+1))</f>
        <v>17.2</v>
      </c>
      <c r="R643" s="0" t="n">
        <f aca="false">INDEX($F643:$J643,IF(3&lt;$E643,3,3+1))</f>
        <v>20.7</v>
      </c>
      <c r="S643" s="0" t="n">
        <f aca="false">INDEX($F643:$J643,IF(4&lt;$E643,4,4+1))</f>
        <v>7</v>
      </c>
      <c r="T643" s="0" t="n">
        <f aca="false">INDEX($K643:$O643,IF(1&lt;$E643,1,1+1))</f>
        <v>28.8601974743</v>
      </c>
      <c r="U643" s="0" t="n">
        <f aca="false">INDEX($K643:$O643,IF(2&lt;$E643,2,2+1))</f>
        <v>30.6902664547</v>
      </c>
      <c r="V643" s="0" t="n">
        <f aca="false">INDEX($K643:$O643,IF(3&lt;$E643,3,3+1))</f>
        <v>2.68870088575</v>
      </c>
      <c r="W643" s="0" t="n">
        <f aca="false">INDEX($K643:$O643,IF(4&lt;$E643,4,4+1))</f>
        <v>15.887379373</v>
      </c>
      <c r="X643" s="0" t="n">
        <f aca="false">1+COUNTIF($P643:$S643,"&gt;"&amp;$P643)+(COUNTIF($P643:$S643,$P643)-1)/2</f>
        <v>3</v>
      </c>
      <c r="Y643" s="0" t="n">
        <f aca="false">1+COUNTIF($P643:$S643,"&gt;"&amp;$Q643)+(COUNTIF($P643:$S643,$Q643)-1)/2</f>
        <v>2</v>
      </c>
      <c r="Z643" s="0" t="n">
        <f aca="false">1+COUNTIF($P643:$S643,"&gt;"&amp;$R643)+(COUNTIF($P643:$S643,$R643)-1)/2</f>
        <v>1</v>
      </c>
      <c r="AA643" s="0" t="n">
        <f aca="false">1+COUNTIF($P643:$S643,"&gt;"&amp;$S643)+(COUNTIF($P643:$S643,$S643)-1)/2</f>
        <v>4</v>
      </c>
      <c r="AB643" s="0" t="n">
        <f aca="false">1+COUNTIF($T643:$W643,"&gt;"&amp;$T643)+(COUNTIF($T643:$W643,$T643)-1)/2</f>
        <v>2</v>
      </c>
      <c r="AC643" s="0" t="n">
        <f aca="false">1+COUNTIF($T643:$W643,"&gt;"&amp;$U643)+(COUNTIF($T643:$W643,$U643)-1)/2</f>
        <v>1</v>
      </c>
      <c r="AD643" s="0" t="n">
        <f aca="false">1+COUNTIF($T643:$W643,"&gt;"&amp;$V643)+(COUNTIF($T643:$W643,$V643)-1)/2</f>
        <v>4</v>
      </c>
      <c r="AE643" s="0" t="n">
        <f aca="false">1+COUNTIF($T643:$W643,"&gt;"&amp;$W643)+(COUNTIF($T643:$W643,$W643)-1)/2</f>
        <v>3</v>
      </c>
      <c r="AF643" s="0" t="n">
        <f aca="false">IFERROR(CORREL($P643:$S643,$T643:$W643),"")</f>
        <v>-0.300030122845247</v>
      </c>
      <c r="AG643" s="0" t="n">
        <f aca="false">IFERROR(CORREL($X643:$AA643,$AB643:$AE643),"")</f>
        <v>-0.2</v>
      </c>
      <c r="AH643" s="0" t="n">
        <f aca="false">IFERROR((SIGN($P643-$Q643)*SIGN($T643-$U643)+SIGN($P643-$R643)*SIGN($T643-$V643)+SIGN($P643-$S643)*SIGN($T643-$W643)+SIGN($Q643-$R643)*SIGN($U643-$V643)+SIGN($Q643-$S643)*SIGN($U643-$W643)+SIGN($R643-$S643)*SIGN($V643-$W643))/SQRT((6-(($P643=$Q643)*1+($P643=$R643)*1+($P643=$S643)*1+($Q643=$R643)*1+($Q643=$S643)*1+($R643=$S643)*1))*(6-(($T643=$U643)*1+($T643=$V643)*1+($T643=$W643)*1+($U643=$V643)*1+($U643=$W643)*1+($V643=$W643)*1))),"")</f>
        <v>0</v>
      </c>
      <c r="AI643" s="0" t="n">
        <f aca="false">MATCH(MAX($K643:$O643),$K643:$O643,0)</f>
        <v>2</v>
      </c>
      <c r="AJ643" s="0" t="n">
        <f aca="false">IF(AI643&lt;&gt;$E643,1,0)</f>
        <v>1</v>
      </c>
      <c r="AK643" s="0" t="n">
        <f aca="false">IF(AJ643=1,INDEX($F643:$J643,AI643)/MAX($P643:$S643),"")</f>
        <v>0.830917874396135</v>
      </c>
      <c r="AL643" s="0" t="n">
        <f aca="false">IF(AJ643=1,1+COUNTIF($P643:$S643,"&gt;"&amp;INDEX($F643:$J643,AI643)),"")</f>
        <v>2</v>
      </c>
      <c r="AM643" s="0" t="n">
        <f aca="false">AVERAGE($P643:$S643)/MAX($P643:$S643)</f>
        <v>0.68719806763285</v>
      </c>
      <c r="AN643" s="0" t="n">
        <f aca="false">100-INDEX($F643:$J643,$E643)</f>
        <v>64.8</v>
      </c>
    </row>
    <row r="644" customFormat="false" ht="15" hidden="false" customHeight="false" outlineLevel="0" collapsed="false">
      <c r="A644" s="0" t="s">
        <v>61</v>
      </c>
      <c r="B644" s="0" t="n">
        <v>2018</v>
      </c>
      <c r="C644" s="0" t="s">
        <v>58</v>
      </c>
      <c r="D644" s="0" t="s">
        <v>44</v>
      </c>
      <c r="E644" s="0" t="n">
        <v>3</v>
      </c>
      <c r="F644" s="0" t="n">
        <v>19.9</v>
      </c>
      <c r="G644" s="0" t="n">
        <v>9.9</v>
      </c>
      <c r="H644" s="0" t="n">
        <v>38.1</v>
      </c>
      <c r="I644" s="0" t="n">
        <v>17.6</v>
      </c>
      <c r="J644" s="0" t="n">
        <v>6.2</v>
      </c>
      <c r="K644" s="0" t="n">
        <v>21.4463122734</v>
      </c>
      <c r="L644" s="0" t="n">
        <v>6.80765388952</v>
      </c>
      <c r="M644" s="0" t="n">
        <v>30.8106601814</v>
      </c>
      <c r="N644" s="0" t="n">
        <v>20.36412174</v>
      </c>
      <c r="O644" s="0" t="n">
        <v>20.5712519157</v>
      </c>
      <c r="P644" s="0" t="n">
        <f aca="false">INDEX($F644:$J644,IF(1&lt;$E644,1,1+1))</f>
        <v>19.9</v>
      </c>
      <c r="Q644" s="0" t="n">
        <f aca="false">INDEX($F644:$J644,IF(2&lt;$E644,2,2+1))</f>
        <v>9.9</v>
      </c>
      <c r="R644" s="0" t="n">
        <f aca="false">INDEX($F644:$J644,IF(3&lt;$E644,3,3+1))</f>
        <v>17.6</v>
      </c>
      <c r="S644" s="0" t="n">
        <f aca="false">INDEX($F644:$J644,IF(4&lt;$E644,4,4+1))</f>
        <v>6.2</v>
      </c>
      <c r="T644" s="0" t="n">
        <f aca="false">INDEX($K644:$O644,IF(1&lt;$E644,1,1+1))</f>
        <v>21.4463122734</v>
      </c>
      <c r="U644" s="0" t="n">
        <f aca="false">INDEX($K644:$O644,IF(2&lt;$E644,2,2+1))</f>
        <v>6.80765388952</v>
      </c>
      <c r="V644" s="0" t="n">
        <f aca="false">INDEX($K644:$O644,IF(3&lt;$E644,3,3+1))</f>
        <v>20.36412174</v>
      </c>
      <c r="W644" s="0" t="n">
        <f aca="false">INDEX($K644:$O644,IF(4&lt;$E644,4,4+1))</f>
        <v>20.5712519157</v>
      </c>
      <c r="X644" s="0" t="n">
        <f aca="false">1+COUNTIF($P644:$S644,"&gt;"&amp;$P644)+(COUNTIF($P644:$S644,$P644)-1)/2</f>
        <v>1</v>
      </c>
      <c r="Y644" s="0" t="n">
        <f aca="false">1+COUNTIF($P644:$S644,"&gt;"&amp;$Q644)+(COUNTIF($P644:$S644,$Q644)-1)/2</f>
        <v>3</v>
      </c>
      <c r="Z644" s="0" t="n">
        <f aca="false">1+COUNTIF($P644:$S644,"&gt;"&amp;$R644)+(COUNTIF($P644:$S644,$R644)-1)/2</f>
        <v>2</v>
      </c>
      <c r="AA644" s="0" t="n">
        <f aca="false">1+COUNTIF($P644:$S644,"&gt;"&amp;$S644)+(COUNTIF($P644:$S644,$S644)-1)/2</f>
        <v>4</v>
      </c>
      <c r="AB644" s="0" t="n">
        <f aca="false">1+COUNTIF($T644:$W644,"&gt;"&amp;$T644)+(COUNTIF($T644:$W644,$T644)-1)/2</f>
        <v>1</v>
      </c>
      <c r="AC644" s="0" t="n">
        <f aca="false">1+COUNTIF($T644:$W644,"&gt;"&amp;$U644)+(COUNTIF($T644:$W644,$U644)-1)/2</f>
        <v>4</v>
      </c>
      <c r="AD644" s="0" t="n">
        <f aca="false">1+COUNTIF($T644:$W644,"&gt;"&amp;$V644)+(COUNTIF($T644:$W644,$V644)-1)/2</f>
        <v>3</v>
      </c>
      <c r="AE644" s="0" t="n">
        <f aca="false">1+COUNTIF($T644:$W644,"&gt;"&amp;$W644)+(COUNTIF($T644:$W644,$W644)-1)/2</f>
        <v>2</v>
      </c>
      <c r="AF644" s="0" t="n">
        <f aca="false">IFERROR(CORREL($P644:$S644,$T644:$W644),"")</f>
        <v>0.392027293325411</v>
      </c>
      <c r="AG644" s="0" t="n">
        <f aca="false">IFERROR(CORREL($X644:$AA644,$AB644:$AE644),"")</f>
        <v>0.4</v>
      </c>
      <c r="AH644" s="0" t="n">
        <f aca="false">IFERROR((SIGN($P644-$Q644)*SIGN($T644-$U644)+SIGN($P644-$R644)*SIGN($T644-$V644)+SIGN($P644-$S644)*SIGN($T644-$W644)+SIGN($Q644-$R644)*SIGN($U644-$V644)+SIGN($Q644-$S644)*SIGN($U644-$W644)+SIGN($R644-$S644)*SIGN($V644-$W644))/SQRT((6-(($P644=$Q644)*1+($P644=$R644)*1+($P644=$S644)*1+($Q644=$R644)*1+($Q644=$S644)*1+($R644=$S644)*1))*(6-(($T644=$U644)*1+($T644=$V644)*1+($T644=$W644)*1+($U644=$V644)*1+($U644=$W644)*1+($V644=$W644)*1))),"")</f>
        <v>0.333333333333333</v>
      </c>
      <c r="AI644" s="0" t="n">
        <f aca="false">MATCH(MAX($K644:$O644),$K644:$O644,0)</f>
        <v>3</v>
      </c>
      <c r="AJ644" s="0" t="n">
        <f aca="false">IF(AI644&lt;&gt;$E644,1,0)</f>
        <v>0</v>
      </c>
      <c r="AK644" s="0" t="str">
        <f aca="false">IF(AJ644=1,INDEX($F644:$J644,AI644)/MAX($P644:$S644),"")</f>
        <v/>
      </c>
      <c r="AL644" s="0" t="str">
        <f aca="false">IF(AJ644=1,1+COUNTIF($P644:$S644,"&gt;"&amp;INDEX($F644:$J644,AI644)),"")</f>
        <v/>
      </c>
      <c r="AM644" s="0" t="n">
        <f aca="false">AVERAGE($P644:$S644)/MAX($P644:$S644)</f>
        <v>0.673366834170854</v>
      </c>
      <c r="AN644" s="0" t="n">
        <f aca="false">100-INDEX($F644:$J644,$E644)</f>
        <v>61.9</v>
      </c>
    </row>
    <row r="645" customFormat="false" ht="15" hidden="false" customHeight="false" outlineLevel="0" collapsed="false">
      <c r="A645" s="0" t="s">
        <v>61</v>
      </c>
      <c r="B645" s="0" t="n">
        <v>2018</v>
      </c>
      <c r="C645" s="0" t="s">
        <v>58</v>
      </c>
      <c r="D645" s="0" t="s">
        <v>45</v>
      </c>
      <c r="E645" s="0" t="n">
        <v>2</v>
      </c>
      <c r="F645" s="0" t="n">
        <v>20.2</v>
      </c>
      <c r="G645" s="0" t="n">
        <v>30</v>
      </c>
      <c r="H645" s="0" t="n">
        <v>15.9</v>
      </c>
      <c r="I645" s="0" t="n">
        <v>15.9</v>
      </c>
      <c r="J645" s="0" t="n">
        <v>9.7</v>
      </c>
      <c r="K645" s="0" t="n">
        <v>4.66049249641</v>
      </c>
      <c r="L645" s="0" t="n">
        <v>31.391072586</v>
      </c>
      <c r="M645" s="0" t="n">
        <v>4.35472742558</v>
      </c>
      <c r="N645" s="0" t="n">
        <v>16.3870291107</v>
      </c>
      <c r="O645" s="0" t="n">
        <v>43.2066783813</v>
      </c>
      <c r="P645" s="0" t="n">
        <f aca="false">INDEX($F645:$J645,IF(1&lt;$E645,1,1+1))</f>
        <v>20.2</v>
      </c>
      <c r="Q645" s="0" t="n">
        <f aca="false">INDEX($F645:$J645,IF(2&lt;$E645,2,2+1))</f>
        <v>15.9</v>
      </c>
      <c r="R645" s="0" t="n">
        <f aca="false">INDEX($F645:$J645,IF(3&lt;$E645,3,3+1))</f>
        <v>15.9</v>
      </c>
      <c r="S645" s="0" t="n">
        <f aca="false">INDEX($F645:$J645,IF(4&lt;$E645,4,4+1))</f>
        <v>9.7</v>
      </c>
      <c r="T645" s="0" t="n">
        <f aca="false">INDEX($K645:$O645,IF(1&lt;$E645,1,1+1))</f>
        <v>4.66049249641</v>
      </c>
      <c r="U645" s="0" t="n">
        <f aca="false">INDEX($K645:$O645,IF(2&lt;$E645,2,2+1))</f>
        <v>4.35472742558</v>
      </c>
      <c r="V645" s="0" t="n">
        <f aca="false">INDEX($K645:$O645,IF(3&lt;$E645,3,3+1))</f>
        <v>16.3870291107</v>
      </c>
      <c r="W645" s="0" t="n">
        <f aca="false">INDEX($K645:$O645,IF(4&lt;$E645,4,4+1))</f>
        <v>43.2066783813</v>
      </c>
      <c r="X645" s="0" t="n">
        <f aca="false">1+COUNTIF($P645:$S645,"&gt;"&amp;$P645)+(COUNTIF($P645:$S645,$P645)-1)/2</f>
        <v>1</v>
      </c>
      <c r="Y645" s="0" t="n">
        <f aca="false">1+COUNTIF($P645:$S645,"&gt;"&amp;$Q645)+(COUNTIF($P645:$S645,$Q645)-1)/2</f>
        <v>2.5</v>
      </c>
      <c r="Z645" s="0" t="n">
        <f aca="false">1+COUNTIF($P645:$S645,"&gt;"&amp;$R645)+(COUNTIF($P645:$S645,$R645)-1)/2</f>
        <v>2.5</v>
      </c>
      <c r="AA645" s="0" t="n">
        <f aca="false">1+COUNTIF($P645:$S645,"&gt;"&amp;$S645)+(COUNTIF($P645:$S645,$S645)-1)/2</f>
        <v>4</v>
      </c>
      <c r="AB645" s="0" t="n">
        <f aca="false">1+COUNTIF($T645:$W645,"&gt;"&amp;$T645)+(COUNTIF($T645:$W645,$T645)-1)/2</f>
        <v>3</v>
      </c>
      <c r="AC645" s="0" t="n">
        <f aca="false">1+COUNTIF($T645:$W645,"&gt;"&amp;$U645)+(COUNTIF($T645:$W645,$U645)-1)/2</f>
        <v>4</v>
      </c>
      <c r="AD645" s="0" t="n">
        <f aca="false">1+COUNTIF($T645:$W645,"&gt;"&amp;$V645)+(COUNTIF($T645:$W645,$V645)-1)/2</f>
        <v>2</v>
      </c>
      <c r="AE645" s="0" t="n">
        <f aca="false">1+COUNTIF($T645:$W645,"&gt;"&amp;$W645)+(COUNTIF($T645:$W645,$W645)-1)/2</f>
        <v>1</v>
      </c>
      <c r="AF645" s="0" t="n">
        <f aca="false">IFERROR(CORREL($P645:$S645,$T645:$W645),"")</f>
        <v>-0.909728701078111</v>
      </c>
      <c r="AG645" s="0" t="n">
        <f aca="false">IFERROR(CORREL($X645:$AA645,$AB645:$AE645),"")</f>
        <v>-0.632455532033676</v>
      </c>
      <c r="AH645" s="0" t="n">
        <f aca="false">IFERROR((SIGN($P645-$Q645)*SIGN($T645-$U645)+SIGN($P645-$R645)*SIGN($T645-$V645)+SIGN($P645-$S645)*SIGN($T645-$W645)+SIGN($Q645-$R645)*SIGN($U645-$V645)+SIGN($Q645-$S645)*SIGN($U645-$W645)+SIGN($R645-$S645)*SIGN($V645-$W645))/SQRT((6-(($P645=$Q645)*1+($P645=$R645)*1+($P645=$S645)*1+($Q645=$R645)*1+($Q645=$S645)*1+($R645=$S645)*1))*(6-(($T645=$U645)*1+($T645=$V645)*1+($T645=$W645)*1+($U645=$V645)*1+($U645=$W645)*1+($V645=$W645)*1))),"")</f>
        <v>-0.547722557505166</v>
      </c>
      <c r="AI645" s="0" t="n">
        <f aca="false">MATCH(MAX($K645:$O645),$K645:$O645,0)</f>
        <v>5</v>
      </c>
      <c r="AJ645" s="0" t="n">
        <f aca="false">IF(AI645&lt;&gt;$E645,1,0)</f>
        <v>1</v>
      </c>
      <c r="AK645" s="0" t="n">
        <f aca="false">IF(AJ645=1,INDEX($F645:$J645,AI645)/MAX($P645:$S645),"")</f>
        <v>0.48019801980198</v>
      </c>
      <c r="AL645" s="0" t="n">
        <f aca="false">IF(AJ645=1,1+COUNTIF($P645:$S645,"&gt;"&amp;INDEX($F645:$J645,AI645)),"")</f>
        <v>4</v>
      </c>
      <c r="AM645" s="0" t="n">
        <f aca="false">AVERAGE($P645:$S645)/MAX($P645:$S645)</f>
        <v>0.763613861386139</v>
      </c>
      <c r="AN645" s="0" t="n">
        <f aca="false">100-INDEX($F645:$J645,$E645)</f>
        <v>70</v>
      </c>
    </row>
    <row r="646" customFormat="false" ht="15" hidden="false" customHeight="false" outlineLevel="0" collapsed="false">
      <c r="A646" s="0" t="s">
        <v>61</v>
      </c>
      <c r="B646" s="0" t="n">
        <v>2018</v>
      </c>
      <c r="C646" s="0" t="s">
        <v>49</v>
      </c>
      <c r="D646" s="0" t="s">
        <v>42</v>
      </c>
      <c r="E646" s="0" t="n">
        <v>2</v>
      </c>
      <c r="F646" s="0" t="n">
        <v>10.3</v>
      </c>
      <c r="G646" s="0" t="n">
        <v>50.3</v>
      </c>
      <c r="H646" s="0" t="n">
        <v>9.4</v>
      </c>
      <c r="I646" s="0" t="n">
        <v>12.8</v>
      </c>
      <c r="J646" s="0" t="n">
        <v>5</v>
      </c>
      <c r="K646" s="0" t="n">
        <v>0.0207727261521</v>
      </c>
      <c r="L646" s="0" t="n">
        <v>93.9117892862</v>
      </c>
      <c r="M646" s="0" t="n">
        <v>0.0234760642835</v>
      </c>
      <c r="N646" s="0" t="n">
        <v>2.97694872734</v>
      </c>
      <c r="O646" s="0" t="n">
        <v>3.06701319607</v>
      </c>
      <c r="P646" s="0" t="n">
        <f aca="false">INDEX($F646:$J646,IF(1&lt;$E646,1,1+1))</f>
        <v>10.3</v>
      </c>
      <c r="Q646" s="0" t="n">
        <f aca="false">INDEX($F646:$J646,IF(2&lt;$E646,2,2+1))</f>
        <v>9.4</v>
      </c>
      <c r="R646" s="0" t="n">
        <f aca="false">INDEX($F646:$J646,IF(3&lt;$E646,3,3+1))</f>
        <v>12.8</v>
      </c>
      <c r="S646" s="0" t="n">
        <f aca="false">INDEX($F646:$J646,IF(4&lt;$E646,4,4+1))</f>
        <v>5</v>
      </c>
      <c r="T646" s="0" t="n">
        <f aca="false">INDEX($K646:$O646,IF(1&lt;$E646,1,1+1))</f>
        <v>0.0207727261521</v>
      </c>
      <c r="U646" s="0" t="n">
        <f aca="false">INDEX($K646:$O646,IF(2&lt;$E646,2,2+1))</f>
        <v>0.0234760642835</v>
      </c>
      <c r="V646" s="0" t="n">
        <f aca="false">INDEX($K646:$O646,IF(3&lt;$E646,3,3+1))</f>
        <v>2.97694872734</v>
      </c>
      <c r="W646" s="0" t="n">
        <f aca="false">INDEX($K646:$O646,IF(4&lt;$E646,4,4+1))</f>
        <v>3.06701319607</v>
      </c>
      <c r="X646" s="0" t="n">
        <f aca="false">1+COUNTIF($P646:$S646,"&gt;"&amp;$P646)+(COUNTIF($P646:$S646,$P646)-1)/2</f>
        <v>2</v>
      </c>
      <c r="Y646" s="0" t="n">
        <f aca="false">1+COUNTIF($P646:$S646,"&gt;"&amp;$Q646)+(COUNTIF($P646:$S646,$Q646)-1)/2</f>
        <v>3</v>
      </c>
      <c r="Z646" s="0" t="n">
        <f aca="false">1+COUNTIF($P646:$S646,"&gt;"&amp;$R646)+(COUNTIF($P646:$S646,$R646)-1)/2</f>
        <v>1</v>
      </c>
      <c r="AA646" s="0" t="n">
        <f aca="false">1+COUNTIF($P646:$S646,"&gt;"&amp;$S646)+(COUNTIF($P646:$S646,$S646)-1)/2</f>
        <v>4</v>
      </c>
      <c r="AB646" s="0" t="n">
        <f aca="false">1+COUNTIF($T646:$W646,"&gt;"&amp;$T646)+(COUNTIF($T646:$W646,$T646)-1)/2</f>
        <v>4</v>
      </c>
      <c r="AC646" s="0" t="n">
        <f aca="false">1+COUNTIF($T646:$W646,"&gt;"&amp;$U646)+(COUNTIF($T646:$W646,$U646)-1)/2</f>
        <v>3</v>
      </c>
      <c r="AD646" s="0" t="n">
        <f aca="false">1+COUNTIF($T646:$W646,"&gt;"&amp;$V646)+(COUNTIF($T646:$W646,$V646)-1)/2</f>
        <v>2</v>
      </c>
      <c r="AE646" s="0" t="n">
        <f aca="false">1+COUNTIF($T646:$W646,"&gt;"&amp;$W646)+(COUNTIF($T646:$W646,$W646)-1)/2</f>
        <v>1</v>
      </c>
      <c r="AF646" s="0" t="n">
        <f aca="false">IFERROR(CORREL($P646:$S646,$T646:$W646),"")</f>
        <v>-0.189474147600331</v>
      </c>
      <c r="AG646" s="0" t="n">
        <f aca="false">IFERROR(CORREL($X646:$AA646,$AB646:$AE646),"")</f>
        <v>-0.4</v>
      </c>
      <c r="AH646" s="0" t="n">
        <f aca="false">IFERROR((SIGN($P646-$Q646)*SIGN($T646-$U646)+SIGN($P646-$R646)*SIGN($T646-$V646)+SIGN($P646-$S646)*SIGN($T646-$W646)+SIGN($Q646-$R646)*SIGN($U646-$V646)+SIGN($Q646-$S646)*SIGN($U646-$W646)+SIGN($R646-$S646)*SIGN($V646-$W646))/SQRT((6-(($P646=$Q646)*1+($P646=$R646)*1+($P646=$S646)*1+($Q646=$R646)*1+($Q646=$S646)*1+($R646=$S646)*1))*(6-(($T646=$U646)*1+($T646=$V646)*1+($T646=$W646)*1+($U646=$V646)*1+($U646=$W646)*1+($V646=$W646)*1))),"")</f>
        <v>-0.333333333333333</v>
      </c>
      <c r="AI646" s="0" t="n">
        <f aca="false">MATCH(MAX($K646:$O646),$K646:$O646,0)</f>
        <v>2</v>
      </c>
      <c r="AJ646" s="0" t="n">
        <f aca="false">IF(AI646&lt;&gt;$E646,1,0)</f>
        <v>0</v>
      </c>
      <c r="AK646" s="0" t="str">
        <f aca="false">IF(AJ646=1,INDEX($F646:$J646,AI646)/MAX($P646:$S646),"")</f>
        <v/>
      </c>
      <c r="AL646" s="0" t="str">
        <f aca="false">IF(AJ646=1,1+COUNTIF($P646:$S646,"&gt;"&amp;INDEX($F646:$J646,AI646)),"")</f>
        <v/>
      </c>
      <c r="AM646" s="0" t="n">
        <f aca="false">AVERAGE($P646:$S646)/MAX($P646:$S646)</f>
        <v>0.732421875</v>
      </c>
      <c r="AN646" s="0" t="n">
        <f aca="false">100-INDEX($F646:$J646,$E646)</f>
        <v>49.7</v>
      </c>
    </row>
    <row r="647" customFormat="false" ht="15" hidden="false" customHeight="false" outlineLevel="0" collapsed="false">
      <c r="A647" s="0" t="s">
        <v>61</v>
      </c>
      <c r="B647" s="0" t="n">
        <v>2018</v>
      </c>
      <c r="C647" s="0" t="s">
        <v>49</v>
      </c>
      <c r="D647" s="0" t="s">
        <v>43</v>
      </c>
      <c r="E647" s="0" t="n">
        <v>1</v>
      </c>
      <c r="F647" s="0" t="n">
        <v>57.5</v>
      </c>
      <c r="G647" s="0" t="n">
        <v>8.6</v>
      </c>
      <c r="H647" s="0" t="n">
        <v>9.2</v>
      </c>
      <c r="I647" s="0" t="n">
        <v>7</v>
      </c>
      <c r="J647" s="0" t="n">
        <v>5</v>
      </c>
      <c r="K647" s="0" t="n">
        <v>35.8272814912</v>
      </c>
      <c r="L647" s="0" t="n">
        <v>2.24184521618</v>
      </c>
      <c r="M647" s="0" t="n">
        <v>30.9203913393</v>
      </c>
      <c r="N647" s="0" t="n">
        <v>19.3650949969</v>
      </c>
      <c r="O647" s="0" t="n">
        <v>11.6453869563</v>
      </c>
      <c r="P647" s="0" t="n">
        <f aca="false">INDEX($F647:$J647,IF(1&lt;$E647,1,1+1))</f>
        <v>8.6</v>
      </c>
      <c r="Q647" s="0" t="n">
        <f aca="false">INDEX($F647:$J647,IF(2&lt;$E647,2,2+1))</f>
        <v>9.2</v>
      </c>
      <c r="R647" s="0" t="n">
        <f aca="false">INDEX($F647:$J647,IF(3&lt;$E647,3,3+1))</f>
        <v>7</v>
      </c>
      <c r="S647" s="0" t="n">
        <f aca="false">INDEX($F647:$J647,IF(4&lt;$E647,4,4+1))</f>
        <v>5</v>
      </c>
      <c r="T647" s="0" t="n">
        <f aca="false">INDEX($K647:$O647,IF(1&lt;$E647,1,1+1))</f>
        <v>2.24184521618</v>
      </c>
      <c r="U647" s="0" t="n">
        <f aca="false">INDEX($K647:$O647,IF(2&lt;$E647,2,2+1))</f>
        <v>30.9203913393</v>
      </c>
      <c r="V647" s="0" t="n">
        <f aca="false">INDEX($K647:$O647,IF(3&lt;$E647,3,3+1))</f>
        <v>19.3650949969</v>
      </c>
      <c r="W647" s="0" t="n">
        <f aca="false">INDEX($K647:$O647,IF(4&lt;$E647,4,4+1))</f>
        <v>11.6453869563</v>
      </c>
      <c r="X647" s="0" t="n">
        <f aca="false">1+COUNTIF($P647:$S647,"&gt;"&amp;$P647)+(COUNTIF($P647:$S647,$P647)-1)/2</f>
        <v>2</v>
      </c>
      <c r="Y647" s="0" t="n">
        <f aca="false">1+COUNTIF($P647:$S647,"&gt;"&amp;$Q647)+(COUNTIF($P647:$S647,$Q647)-1)/2</f>
        <v>1</v>
      </c>
      <c r="Z647" s="0" t="n">
        <f aca="false">1+COUNTIF($P647:$S647,"&gt;"&amp;$R647)+(COUNTIF($P647:$S647,$R647)-1)/2</f>
        <v>3</v>
      </c>
      <c r="AA647" s="0" t="n">
        <f aca="false">1+COUNTIF($P647:$S647,"&gt;"&amp;$S647)+(COUNTIF($P647:$S647,$S647)-1)/2</f>
        <v>4</v>
      </c>
      <c r="AB647" s="0" t="n">
        <f aca="false">1+COUNTIF($T647:$W647,"&gt;"&amp;$T647)+(COUNTIF($T647:$W647,$T647)-1)/2</f>
        <v>4</v>
      </c>
      <c r="AC647" s="0" t="n">
        <f aca="false">1+COUNTIF($T647:$W647,"&gt;"&amp;$U647)+(COUNTIF($T647:$W647,$U647)-1)/2</f>
        <v>1</v>
      </c>
      <c r="AD647" s="0" t="n">
        <f aca="false">1+COUNTIF($T647:$W647,"&gt;"&amp;$V647)+(COUNTIF($T647:$W647,$V647)-1)/2</f>
        <v>2</v>
      </c>
      <c r="AE647" s="0" t="n">
        <f aca="false">1+COUNTIF($T647:$W647,"&gt;"&amp;$W647)+(COUNTIF($T647:$W647,$W647)-1)/2</f>
        <v>3</v>
      </c>
      <c r="AF647" s="0" t="n">
        <f aca="false">IFERROR(CORREL($P647:$S647,$T647:$W647),"")</f>
        <v>0.284132467112236</v>
      </c>
      <c r="AG647" s="0" t="n">
        <f aca="false">IFERROR(CORREL($X647:$AA647,$AB647:$AE647),"")</f>
        <v>0.4</v>
      </c>
      <c r="AH647" s="0" t="n">
        <f aca="false">IFERROR((SIGN($P647-$Q647)*SIGN($T647-$U647)+SIGN($P647-$R647)*SIGN($T647-$V647)+SIGN($P647-$S647)*SIGN($T647-$W647)+SIGN($Q647-$R647)*SIGN($U647-$V647)+SIGN($Q647-$S647)*SIGN($U647-$W647)+SIGN($R647-$S647)*SIGN($V647-$W647))/SQRT((6-(($P647=$Q647)*1+($P647=$R647)*1+($P647=$S647)*1+($Q647=$R647)*1+($Q647=$S647)*1+($R647=$S647)*1))*(6-(($T647=$U647)*1+($T647=$V647)*1+($T647=$W647)*1+($U647=$V647)*1+($U647=$W647)*1+($V647=$W647)*1))),"")</f>
        <v>0.333333333333333</v>
      </c>
      <c r="AI647" s="0" t="n">
        <f aca="false">MATCH(MAX($K647:$O647),$K647:$O647,0)</f>
        <v>1</v>
      </c>
      <c r="AJ647" s="0" t="n">
        <f aca="false">IF(AI647&lt;&gt;$E647,1,0)</f>
        <v>0</v>
      </c>
      <c r="AK647" s="0" t="str">
        <f aca="false">IF(AJ647=1,INDEX($F647:$J647,AI647)/MAX($P647:$S647),"")</f>
        <v/>
      </c>
      <c r="AL647" s="0" t="str">
        <f aca="false">IF(AJ647=1,1+COUNTIF($P647:$S647,"&gt;"&amp;INDEX($F647:$J647,AI647)),"")</f>
        <v/>
      </c>
      <c r="AM647" s="0" t="n">
        <f aca="false">AVERAGE($P647:$S647)/MAX($P647:$S647)</f>
        <v>0.809782608695652</v>
      </c>
      <c r="AN647" s="0" t="n">
        <f aca="false">100-INDEX($F647:$J647,$E647)</f>
        <v>42.5</v>
      </c>
    </row>
    <row r="648" customFormat="false" ht="15" hidden="false" customHeight="false" outlineLevel="0" collapsed="false">
      <c r="A648" s="0" t="s">
        <v>61</v>
      </c>
      <c r="B648" s="0" t="n">
        <v>2018</v>
      </c>
      <c r="C648" s="0" t="s">
        <v>49</v>
      </c>
      <c r="D648" s="0" t="s">
        <v>44</v>
      </c>
      <c r="E648" s="0" t="n">
        <v>4</v>
      </c>
      <c r="F648" s="0" t="n">
        <v>9.9</v>
      </c>
      <c r="G648" s="0" t="n">
        <v>7.7</v>
      </c>
      <c r="H648" s="0" t="n">
        <v>14.8</v>
      </c>
      <c r="I648" s="0" t="n">
        <v>44.2</v>
      </c>
      <c r="J648" s="0" t="n">
        <v>10.5</v>
      </c>
      <c r="K648" s="0" t="n">
        <v>22.0658192555</v>
      </c>
      <c r="L648" s="0" t="n">
        <v>42.4690934302</v>
      </c>
      <c r="M648" s="0" t="n">
        <v>11.9516790561</v>
      </c>
      <c r="N648" s="0" t="n">
        <v>21.4892228984</v>
      </c>
      <c r="O648" s="0" t="n">
        <v>2.02418535975</v>
      </c>
      <c r="P648" s="0" t="n">
        <f aca="false">INDEX($F648:$J648,IF(1&lt;$E648,1,1+1))</f>
        <v>9.9</v>
      </c>
      <c r="Q648" s="0" t="n">
        <f aca="false">INDEX($F648:$J648,IF(2&lt;$E648,2,2+1))</f>
        <v>7.7</v>
      </c>
      <c r="R648" s="0" t="n">
        <f aca="false">INDEX($F648:$J648,IF(3&lt;$E648,3,3+1))</f>
        <v>14.8</v>
      </c>
      <c r="S648" s="0" t="n">
        <f aca="false">INDEX($F648:$J648,IF(4&lt;$E648,4,4+1))</f>
        <v>10.5</v>
      </c>
      <c r="T648" s="0" t="n">
        <f aca="false">INDEX($K648:$O648,IF(1&lt;$E648,1,1+1))</f>
        <v>22.0658192555</v>
      </c>
      <c r="U648" s="0" t="n">
        <f aca="false">INDEX($K648:$O648,IF(2&lt;$E648,2,2+1))</f>
        <v>42.4690934302</v>
      </c>
      <c r="V648" s="0" t="n">
        <f aca="false">INDEX($K648:$O648,IF(3&lt;$E648,3,3+1))</f>
        <v>11.9516790561</v>
      </c>
      <c r="W648" s="0" t="n">
        <f aca="false">INDEX($K648:$O648,IF(4&lt;$E648,4,4+1))</f>
        <v>2.02418535975</v>
      </c>
      <c r="X648" s="0" t="n">
        <f aca="false">1+COUNTIF($P648:$S648,"&gt;"&amp;$P648)+(COUNTIF($P648:$S648,$P648)-1)/2</f>
        <v>3</v>
      </c>
      <c r="Y648" s="0" t="n">
        <f aca="false">1+COUNTIF($P648:$S648,"&gt;"&amp;$Q648)+(COUNTIF($P648:$S648,$Q648)-1)/2</f>
        <v>4</v>
      </c>
      <c r="Z648" s="0" t="n">
        <f aca="false">1+COUNTIF($P648:$S648,"&gt;"&amp;$R648)+(COUNTIF($P648:$S648,$R648)-1)/2</f>
        <v>1</v>
      </c>
      <c r="AA648" s="0" t="n">
        <f aca="false">1+COUNTIF($P648:$S648,"&gt;"&amp;$S648)+(COUNTIF($P648:$S648,$S648)-1)/2</f>
        <v>2</v>
      </c>
      <c r="AB648" s="0" t="n">
        <f aca="false">1+COUNTIF($T648:$W648,"&gt;"&amp;$T648)+(COUNTIF($T648:$W648,$T648)-1)/2</f>
        <v>2</v>
      </c>
      <c r="AC648" s="0" t="n">
        <f aca="false">1+COUNTIF($T648:$W648,"&gt;"&amp;$U648)+(COUNTIF($T648:$W648,$U648)-1)/2</f>
        <v>1</v>
      </c>
      <c r="AD648" s="0" t="n">
        <f aca="false">1+COUNTIF($T648:$W648,"&gt;"&amp;$V648)+(COUNTIF($T648:$W648,$V648)-1)/2</f>
        <v>3</v>
      </c>
      <c r="AE648" s="0" t="n">
        <f aca="false">1+COUNTIF($T648:$W648,"&gt;"&amp;$W648)+(COUNTIF($T648:$W648,$W648)-1)/2</f>
        <v>4</v>
      </c>
      <c r="AF648" s="0" t="n">
        <f aca="false">IFERROR(CORREL($P648:$S648,$T648:$W648),"")</f>
        <v>-0.638730792457308</v>
      </c>
      <c r="AG648" s="0" t="n">
        <f aca="false">IFERROR(CORREL($X648:$AA648,$AB648:$AE648),"")</f>
        <v>-0.8</v>
      </c>
      <c r="AH648" s="0" t="n">
        <f aca="false">IFERROR((SIGN($P648-$Q648)*SIGN($T648-$U648)+SIGN($P648-$R648)*SIGN($T648-$V648)+SIGN($P648-$S648)*SIGN($T648-$W648)+SIGN($Q648-$R648)*SIGN($U648-$V648)+SIGN($Q648-$S648)*SIGN($U648-$W648)+SIGN($R648-$S648)*SIGN($V648-$W648))/SQRT((6-(($P648=$Q648)*1+($P648=$R648)*1+($P648=$S648)*1+($Q648=$R648)*1+($Q648=$S648)*1+($R648=$S648)*1))*(6-(($T648=$U648)*1+($T648=$V648)*1+($T648=$W648)*1+($U648=$V648)*1+($U648=$W648)*1+($V648=$W648)*1))),"")</f>
        <v>-0.666666666666667</v>
      </c>
      <c r="AI648" s="0" t="n">
        <f aca="false">MATCH(MAX($K648:$O648),$K648:$O648,0)</f>
        <v>2</v>
      </c>
      <c r="AJ648" s="0" t="n">
        <f aca="false">IF(AI648&lt;&gt;$E648,1,0)</f>
        <v>1</v>
      </c>
      <c r="AK648" s="0" t="n">
        <f aca="false">IF(AJ648=1,INDEX($F648:$J648,AI648)/MAX($P648:$S648),"")</f>
        <v>0.52027027027027</v>
      </c>
      <c r="AL648" s="0" t="n">
        <f aca="false">IF(AJ648=1,1+COUNTIF($P648:$S648,"&gt;"&amp;INDEX($F648:$J648,AI648)),"")</f>
        <v>4</v>
      </c>
      <c r="AM648" s="0" t="n">
        <f aca="false">AVERAGE($P648:$S648)/MAX($P648:$S648)</f>
        <v>0.724662162162162</v>
      </c>
      <c r="AN648" s="0" t="n">
        <f aca="false">100-INDEX($F648:$J648,$E648)</f>
        <v>55.8</v>
      </c>
    </row>
    <row r="649" customFormat="false" ht="15" hidden="false" customHeight="false" outlineLevel="0" collapsed="false">
      <c r="A649" s="0" t="s">
        <v>61</v>
      </c>
      <c r="B649" s="0" t="n">
        <v>2018</v>
      </c>
      <c r="C649" s="0" t="s">
        <v>49</v>
      </c>
      <c r="D649" s="0" t="s">
        <v>45</v>
      </c>
      <c r="E649" s="0" t="n">
        <v>4</v>
      </c>
      <c r="F649" s="0" t="n">
        <v>6.8</v>
      </c>
      <c r="G649" s="0" t="n">
        <v>16.7</v>
      </c>
      <c r="H649" s="0" t="n">
        <v>6.6</v>
      </c>
      <c r="I649" s="0" t="n">
        <v>38.8</v>
      </c>
      <c r="J649" s="0" t="n">
        <v>17.6</v>
      </c>
      <c r="K649" s="0" t="n">
        <v>3.96203029168</v>
      </c>
      <c r="L649" s="0" t="n">
        <v>14.5207081771</v>
      </c>
      <c r="M649" s="0" t="n">
        <v>5.85772274712</v>
      </c>
      <c r="N649" s="0" t="n">
        <v>65.5961806228</v>
      </c>
      <c r="O649" s="0" t="n">
        <v>10.0633581613</v>
      </c>
      <c r="P649" s="0" t="n">
        <f aca="false">INDEX($F649:$J649,IF(1&lt;$E649,1,1+1))</f>
        <v>6.8</v>
      </c>
      <c r="Q649" s="0" t="n">
        <f aca="false">INDEX($F649:$J649,IF(2&lt;$E649,2,2+1))</f>
        <v>16.7</v>
      </c>
      <c r="R649" s="0" t="n">
        <f aca="false">INDEX($F649:$J649,IF(3&lt;$E649,3,3+1))</f>
        <v>6.6</v>
      </c>
      <c r="S649" s="0" t="n">
        <f aca="false">INDEX($F649:$J649,IF(4&lt;$E649,4,4+1))</f>
        <v>17.6</v>
      </c>
      <c r="T649" s="0" t="n">
        <f aca="false">INDEX($K649:$O649,IF(1&lt;$E649,1,1+1))</f>
        <v>3.96203029168</v>
      </c>
      <c r="U649" s="0" t="n">
        <f aca="false">INDEX($K649:$O649,IF(2&lt;$E649,2,2+1))</f>
        <v>14.5207081771</v>
      </c>
      <c r="V649" s="0" t="n">
        <f aca="false">INDEX($K649:$O649,IF(3&lt;$E649,3,3+1))</f>
        <v>5.85772274712</v>
      </c>
      <c r="W649" s="0" t="n">
        <f aca="false">INDEX($K649:$O649,IF(4&lt;$E649,4,4+1))</f>
        <v>10.0633581613</v>
      </c>
      <c r="X649" s="0" t="n">
        <f aca="false">1+COUNTIF($P649:$S649,"&gt;"&amp;$P649)+(COUNTIF($P649:$S649,$P649)-1)/2</f>
        <v>3</v>
      </c>
      <c r="Y649" s="0" t="n">
        <f aca="false">1+COUNTIF($P649:$S649,"&gt;"&amp;$Q649)+(COUNTIF($P649:$S649,$Q649)-1)/2</f>
        <v>2</v>
      </c>
      <c r="Z649" s="0" t="n">
        <f aca="false">1+COUNTIF($P649:$S649,"&gt;"&amp;$R649)+(COUNTIF($P649:$S649,$R649)-1)/2</f>
        <v>4</v>
      </c>
      <c r="AA649" s="0" t="n">
        <f aca="false">1+COUNTIF($P649:$S649,"&gt;"&amp;$S649)+(COUNTIF($P649:$S649,$S649)-1)/2</f>
        <v>1</v>
      </c>
      <c r="AB649" s="0" t="n">
        <f aca="false">1+COUNTIF($T649:$W649,"&gt;"&amp;$T649)+(COUNTIF($T649:$W649,$T649)-1)/2</f>
        <v>4</v>
      </c>
      <c r="AC649" s="0" t="n">
        <f aca="false">1+COUNTIF($T649:$W649,"&gt;"&amp;$U649)+(COUNTIF($T649:$W649,$U649)-1)/2</f>
        <v>1</v>
      </c>
      <c r="AD649" s="0" t="n">
        <f aca="false">1+COUNTIF($T649:$W649,"&gt;"&amp;$V649)+(COUNTIF($T649:$W649,$V649)-1)/2</f>
        <v>3</v>
      </c>
      <c r="AE649" s="0" t="n">
        <f aca="false">1+COUNTIF($T649:$W649,"&gt;"&amp;$W649)+(COUNTIF($T649:$W649,$W649)-1)/2</f>
        <v>2</v>
      </c>
      <c r="AF649" s="0" t="n">
        <f aca="false">IFERROR(CORREL($P649:$S649,$T649:$W649),"")</f>
        <v>0.879596572338478</v>
      </c>
      <c r="AG649" s="0" t="n">
        <f aca="false">IFERROR(CORREL($X649:$AA649,$AB649:$AE649),"")</f>
        <v>0.6</v>
      </c>
      <c r="AH649" s="0" t="n">
        <f aca="false">IFERROR((SIGN($P649-$Q649)*SIGN($T649-$U649)+SIGN($P649-$R649)*SIGN($T649-$V649)+SIGN($P649-$S649)*SIGN($T649-$W649)+SIGN($Q649-$R649)*SIGN($U649-$V649)+SIGN($Q649-$S649)*SIGN($U649-$W649)+SIGN($R649-$S649)*SIGN($V649-$W649))/SQRT((6-(($P649=$Q649)*1+($P649=$R649)*1+($P649=$S649)*1+($Q649=$R649)*1+($Q649=$S649)*1+($R649=$S649)*1))*(6-(($T649=$U649)*1+($T649=$V649)*1+($T649=$W649)*1+($U649=$V649)*1+($U649=$W649)*1+($V649=$W649)*1))),"")</f>
        <v>0.333333333333333</v>
      </c>
      <c r="AI649" s="0" t="n">
        <f aca="false">MATCH(MAX($K649:$O649),$K649:$O649,0)</f>
        <v>4</v>
      </c>
      <c r="AJ649" s="0" t="n">
        <f aca="false">IF(AI649&lt;&gt;$E649,1,0)</f>
        <v>0</v>
      </c>
      <c r="AK649" s="0" t="str">
        <f aca="false">IF(AJ649=1,INDEX($F649:$J649,AI649)/MAX($P649:$S649),"")</f>
        <v/>
      </c>
      <c r="AL649" s="0" t="str">
        <f aca="false">IF(AJ649=1,1+COUNTIF($P649:$S649,"&gt;"&amp;INDEX($F649:$J649,AI649)),"")</f>
        <v/>
      </c>
      <c r="AM649" s="0" t="n">
        <f aca="false">AVERAGE($P649:$S649)/MAX($P649:$S649)</f>
        <v>0.677556818181818</v>
      </c>
      <c r="AN649" s="0" t="n">
        <f aca="false">100-INDEX($F649:$J649,$E649)</f>
        <v>61.2</v>
      </c>
    </row>
    <row r="650" customFormat="false" ht="15" hidden="false" customHeight="false" outlineLevel="0" collapsed="false">
      <c r="A650" s="0" t="s">
        <v>61</v>
      </c>
      <c r="B650" s="0" t="n">
        <v>2018</v>
      </c>
      <c r="C650" s="0" t="s">
        <v>51</v>
      </c>
      <c r="D650" s="0" t="s">
        <v>42</v>
      </c>
      <c r="E650" s="0" t="n">
        <v>2</v>
      </c>
      <c r="F650" s="0" t="n">
        <v>10.4</v>
      </c>
      <c r="G650" s="0" t="n">
        <v>53.6</v>
      </c>
      <c r="H650" s="0" t="n">
        <v>4.5</v>
      </c>
      <c r="I650" s="0" t="n">
        <v>4.3</v>
      </c>
      <c r="J650" s="0" t="n">
        <v>11.8</v>
      </c>
      <c r="K650" s="0" t="n">
        <v>0.33174226233</v>
      </c>
      <c r="L650" s="0" t="n">
        <v>99.5834934075</v>
      </c>
      <c r="M650" s="0" t="n">
        <v>0.000885840587812</v>
      </c>
      <c r="N650" s="0" t="n">
        <v>0.00173245635284</v>
      </c>
      <c r="O650" s="0" t="n">
        <v>0.0821460332734</v>
      </c>
      <c r="P650" s="0" t="n">
        <f aca="false">INDEX($F650:$J650,IF(1&lt;$E650,1,1+1))</f>
        <v>10.4</v>
      </c>
      <c r="Q650" s="0" t="n">
        <f aca="false">INDEX($F650:$J650,IF(2&lt;$E650,2,2+1))</f>
        <v>4.5</v>
      </c>
      <c r="R650" s="0" t="n">
        <f aca="false">INDEX($F650:$J650,IF(3&lt;$E650,3,3+1))</f>
        <v>4.3</v>
      </c>
      <c r="S650" s="0" t="n">
        <f aca="false">INDEX($F650:$J650,IF(4&lt;$E650,4,4+1))</f>
        <v>11.8</v>
      </c>
      <c r="T650" s="0" t="n">
        <f aca="false">INDEX($K650:$O650,IF(1&lt;$E650,1,1+1))</f>
        <v>0.33174226233</v>
      </c>
      <c r="U650" s="0" t="n">
        <f aca="false">INDEX($K650:$O650,IF(2&lt;$E650,2,2+1))</f>
        <v>0.000885840587812</v>
      </c>
      <c r="V650" s="0" t="n">
        <f aca="false">INDEX($K650:$O650,IF(3&lt;$E650,3,3+1))</f>
        <v>0.00173245635284</v>
      </c>
      <c r="W650" s="0" t="n">
        <f aca="false">INDEX($K650:$O650,IF(4&lt;$E650,4,4+1))</f>
        <v>0.0821460332734</v>
      </c>
      <c r="X650" s="0" t="n">
        <f aca="false">1+COUNTIF($P650:$S650,"&gt;"&amp;$P650)+(COUNTIF($P650:$S650,$P650)-1)/2</f>
        <v>2</v>
      </c>
      <c r="Y650" s="0" t="n">
        <f aca="false">1+COUNTIF($P650:$S650,"&gt;"&amp;$Q650)+(COUNTIF($P650:$S650,$Q650)-1)/2</f>
        <v>3</v>
      </c>
      <c r="Z650" s="0" t="n">
        <f aca="false">1+COUNTIF($P650:$S650,"&gt;"&amp;$R650)+(COUNTIF($P650:$S650,$R650)-1)/2</f>
        <v>4</v>
      </c>
      <c r="AA650" s="0" t="n">
        <f aca="false">1+COUNTIF($P650:$S650,"&gt;"&amp;$S650)+(COUNTIF($P650:$S650,$S650)-1)/2</f>
        <v>1</v>
      </c>
      <c r="AB650" s="0" t="n">
        <f aca="false">1+COUNTIF($T650:$W650,"&gt;"&amp;$T650)+(COUNTIF($T650:$W650,$T650)-1)/2</f>
        <v>1</v>
      </c>
      <c r="AC650" s="0" t="n">
        <f aca="false">1+COUNTIF($T650:$W650,"&gt;"&amp;$U650)+(COUNTIF($T650:$W650,$U650)-1)/2</f>
        <v>4</v>
      </c>
      <c r="AD650" s="0" t="n">
        <f aca="false">1+COUNTIF($T650:$W650,"&gt;"&amp;$V650)+(COUNTIF($T650:$W650,$V650)-1)/2</f>
        <v>3</v>
      </c>
      <c r="AE650" s="0" t="n">
        <f aca="false">1+COUNTIF($T650:$W650,"&gt;"&amp;$W650)+(COUNTIF($T650:$W650,$W650)-1)/2</f>
        <v>2</v>
      </c>
      <c r="AF650" s="0" t="n">
        <f aca="false">IFERROR(CORREL($P650:$S650,$T650:$W650),"")</f>
        <v>0.655295448529222</v>
      </c>
      <c r="AG650" s="0" t="n">
        <f aca="false">IFERROR(CORREL($X650:$AA650,$AB650:$AE650),"")</f>
        <v>0.6</v>
      </c>
      <c r="AH650" s="0" t="n">
        <f aca="false">IFERROR((SIGN($P650-$Q650)*SIGN($T650-$U650)+SIGN($P650-$R650)*SIGN($T650-$V650)+SIGN($P650-$S650)*SIGN($T650-$W650)+SIGN($Q650-$R650)*SIGN($U650-$V650)+SIGN($Q650-$S650)*SIGN($U650-$W650)+SIGN($R650-$S650)*SIGN($V650-$W650))/SQRT((6-(($P650=$Q650)*1+($P650=$R650)*1+($P650=$S650)*1+($Q650=$R650)*1+($Q650=$S650)*1+($R650=$S650)*1))*(6-(($T650=$U650)*1+($T650=$V650)*1+($T650=$W650)*1+($U650=$V650)*1+($U650=$W650)*1+($V650=$W650)*1))),"")</f>
        <v>0.333333333333333</v>
      </c>
      <c r="AI650" s="0" t="n">
        <f aca="false">MATCH(MAX($K650:$O650),$K650:$O650,0)</f>
        <v>2</v>
      </c>
      <c r="AJ650" s="0" t="n">
        <f aca="false">IF(AI650&lt;&gt;$E650,1,0)</f>
        <v>0</v>
      </c>
      <c r="AK650" s="0" t="str">
        <f aca="false">IF(AJ650=1,INDEX($F650:$J650,AI650)/MAX($P650:$S650),"")</f>
        <v/>
      </c>
      <c r="AL650" s="0" t="str">
        <f aca="false">IF(AJ650=1,1+COUNTIF($P650:$S650,"&gt;"&amp;INDEX($F650:$J650,AI650)),"")</f>
        <v/>
      </c>
      <c r="AM650" s="0" t="n">
        <f aca="false">AVERAGE($P650:$S650)/MAX($P650:$S650)</f>
        <v>0.656779661016949</v>
      </c>
      <c r="AN650" s="0" t="n">
        <f aca="false">100-INDEX($F650:$J650,$E650)</f>
        <v>46.4</v>
      </c>
    </row>
    <row r="651" customFormat="false" ht="15" hidden="false" customHeight="false" outlineLevel="0" collapsed="false">
      <c r="A651" s="0" t="s">
        <v>61</v>
      </c>
      <c r="B651" s="0" t="n">
        <v>2018</v>
      </c>
      <c r="C651" s="0" t="s">
        <v>51</v>
      </c>
      <c r="D651" s="0" t="s">
        <v>43</v>
      </c>
      <c r="E651" s="0" t="n">
        <v>1</v>
      </c>
      <c r="F651" s="0" t="n">
        <v>37.3</v>
      </c>
      <c r="G651" s="0" t="n">
        <v>7.5</v>
      </c>
      <c r="H651" s="0" t="n">
        <v>5.9</v>
      </c>
      <c r="I651" s="0" t="n">
        <v>8.3</v>
      </c>
      <c r="J651" s="0" t="n">
        <v>25.2</v>
      </c>
      <c r="K651" s="0" t="n">
        <v>45.7960460802</v>
      </c>
      <c r="L651" s="0" t="n">
        <v>0.240974290644</v>
      </c>
      <c r="M651" s="0" t="n">
        <v>0.602382239554</v>
      </c>
      <c r="N651" s="0" t="n">
        <v>0.798492709089</v>
      </c>
      <c r="O651" s="0" t="n">
        <v>52.5621046805</v>
      </c>
      <c r="P651" s="0" t="n">
        <f aca="false">INDEX($F651:$J651,IF(1&lt;$E651,1,1+1))</f>
        <v>7.5</v>
      </c>
      <c r="Q651" s="0" t="n">
        <f aca="false">INDEX($F651:$J651,IF(2&lt;$E651,2,2+1))</f>
        <v>5.9</v>
      </c>
      <c r="R651" s="0" t="n">
        <f aca="false">INDEX($F651:$J651,IF(3&lt;$E651,3,3+1))</f>
        <v>8.3</v>
      </c>
      <c r="S651" s="0" t="n">
        <f aca="false">INDEX($F651:$J651,IF(4&lt;$E651,4,4+1))</f>
        <v>25.2</v>
      </c>
      <c r="T651" s="0" t="n">
        <f aca="false">INDEX($K651:$O651,IF(1&lt;$E651,1,1+1))</f>
        <v>0.240974290644</v>
      </c>
      <c r="U651" s="0" t="n">
        <f aca="false">INDEX($K651:$O651,IF(2&lt;$E651,2,2+1))</f>
        <v>0.602382239554</v>
      </c>
      <c r="V651" s="0" t="n">
        <f aca="false">INDEX($K651:$O651,IF(3&lt;$E651,3,3+1))</f>
        <v>0.798492709089</v>
      </c>
      <c r="W651" s="0" t="n">
        <f aca="false">INDEX($K651:$O651,IF(4&lt;$E651,4,4+1))</f>
        <v>52.5621046805</v>
      </c>
      <c r="X651" s="0" t="n">
        <f aca="false">1+COUNTIF($P651:$S651,"&gt;"&amp;$P651)+(COUNTIF($P651:$S651,$P651)-1)/2</f>
        <v>3</v>
      </c>
      <c r="Y651" s="0" t="n">
        <f aca="false">1+COUNTIF($P651:$S651,"&gt;"&amp;$Q651)+(COUNTIF($P651:$S651,$Q651)-1)/2</f>
        <v>4</v>
      </c>
      <c r="Z651" s="0" t="n">
        <f aca="false">1+COUNTIF($P651:$S651,"&gt;"&amp;$R651)+(COUNTIF($P651:$S651,$R651)-1)/2</f>
        <v>2</v>
      </c>
      <c r="AA651" s="0" t="n">
        <f aca="false">1+COUNTIF($P651:$S651,"&gt;"&amp;$S651)+(COUNTIF($P651:$S651,$S651)-1)/2</f>
        <v>1</v>
      </c>
      <c r="AB651" s="0" t="n">
        <f aca="false">1+COUNTIF($T651:$W651,"&gt;"&amp;$T651)+(COUNTIF($T651:$W651,$T651)-1)/2</f>
        <v>4</v>
      </c>
      <c r="AC651" s="0" t="n">
        <f aca="false">1+COUNTIF($T651:$W651,"&gt;"&amp;$U651)+(COUNTIF($T651:$W651,$U651)-1)/2</f>
        <v>3</v>
      </c>
      <c r="AD651" s="0" t="n">
        <f aca="false">1+COUNTIF($T651:$W651,"&gt;"&amp;$V651)+(COUNTIF($T651:$W651,$V651)-1)/2</f>
        <v>2</v>
      </c>
      <c r="AE651" s="0" t="n">
        <f aca="false">1+COUNTIF($T651:$W651,"&gt;"&amp;$W651)+(COUNTIF($T651:$W651,$W651)-1)/2</f>
        <v>1</v>
      </c>
      <c r="AF651" s="0" t="n">
        <f aca="false">IFERROR(CORREL($P651:$S651,$T651:$W651),"")</f>
        <v>0.994009046288228</v>
      </c>
      <c r="AG651" s="0" t="n">
        <f aca="false">IFERROR(CORREL($X651:$AA651,$AB651:$AE651),"")</f>
        <v>0.8</v>
      </c>
      <c r="AH651" s="0" t="n">
        <f aca="false">IFERROR((SIGN($P651-$Q651)*SIGN($T651-$U651)+SIGN($P651-$R651)*SIGN($T651-$V651)+SIGN($P651-$S651)*SIGN($T651-$W651)+SIGN($Q651-$R651)*SIGN($U651-$V651)+SIGN($Q651-$S651)*SIGN($U651-$W651)+SIGN($R651-$S651)*SIGN($V651-$W651))/SQRT((6-(($P651=$Q651)*1+($P651=$R651)*1+($P651=$S651)*1+($Q651=$R651)*1+($Q651=$S651)*1+($R651=$S651)*1))*(6-(($T651=$U651)*1+($T651=$V651)*1+($T651=$W651)*1+($U651=$V651)*1+($U651=$W651)*1+($V651=$W651)*1))),"")</f>
        <v>0.666666666666667</v>
      </c>
      <c r="AI651" s="0" t="n">
        <f aca="false">MATCH(MAX($K651:$O651),$K651:$O651,0)</f>
        <v>5</v>
      </c>
      <c r="AJ651" s="0" t="n">
        <f aca="false">IF(AI651&lt;&gt;$E651,1,0)</f>
        <v>1</v>
      </c>
      <c r="AK651" s="0" t="n">
        <f aca="false">IF(AJ651=1,INDEX($F651:$J651,AI651)/MAX($P651:$S651),"")</f>
        <v>1</v>
      </c>
      <c r="AL651" s="0" t="n">
        <f aca="false">IF(AJ651=1,1+COUNTIF($P651:$S651,"&gt;"&amp;INDEX($F651:$J651,AI651)),"")</f>
        <v>1</v>
      </c>
      <c r="AM651" s="0" t="n">
        <f aca="false">AVERAGE($P651:$S651)/MAX($P651:$S651)</f>
        <v>0.465277777777778</v>
      </c>
      <c r="AN651" s="0" t="n">
        <f aca="false">100-INDEX($F651:$J651,$E651)</f>
        <v>62.7</v>
      </c>
    </row>
    <row r="652" customFormat="false" ht="15" hidden="false" customHeight="false" outlineLevel="0" collapsed="false">
      <c r="A652" s="0" t="s">
        <v>61</v>
      </c>
      <c r="B652" s="0" t="n">
        <v>2018</v>
      </c>
      <c r="C652" s="0" t="s">
        <v>51</v>
      </c>
      <c r="D652" s="0" t="s">
        <v>44</v>
      </c>
      <c r="E652" s="0" t="n">
        <v>5</v>
      </c>
      <c r="F652" s="0" t="n">
        <v>9.7</v>
      </c>
      <c r="G652" s="0" t="n">
        <v>8.8</v>
      </c>
      <c r="H652" s="0" t="n">
        <v>17.2</v>
      </c>
      <c r="I652" s="0" t="n">
        <v>10.2</v>
      </c>
      <c r="J652" s="0" t="n">
        <v>37.8</v>
      </c>
      <c r="K652" s="0" t="n">
        <v>0.33803016826</v>
      </c>
      <c r="L652" s="0" t="n">
        <v>0.822007757356</v>
      </c>
      <c r="M652" s="0" t="n">
        <v>8.24331093523</v>
      </c>
      <c r="N652" s="0" t="n">
        <v>87.2161809753</v>
      </c>
      <c r="O652" s="0" t="n">
        <v>3.38047016382</v>
      </c>
      <c r="P652" s="0" t="n">
        <f aca="false">INDEX($F652:$J652,IF(1&lt;$E652,1,1+1))</f>
        <v>9.7</v>
      </c>
      <c r="Q652" s="0" t="n">
        <f aca="false">INDEX($F652:$J652,IF(2&lt;$E652,2,2+1))</f>
        <v>8.8</v>
      </c>
      <c r="R652" s="0" t="n">
        <f aca="false">INDEX($F652:$J652,IF(3&lt;$E652,3,3+1))</f>
        <v>17.2</v>
      </c>
      <c r="S652" s="0" t="n">
        <f aca="false">INDEX($F652:$J652,IF(4&lt;$E652,4,4+1))</f>
        <v>10.2</v>
      </c>
      <c r="T652" s="0" t="n">
        <f aca="false">INDEX($K652:$O652,IF(1&lt;$E652,1,1+1))</f>
        <v>0.33803016826</v>
      </c>
      <c r="U652" s="0" t="n">
        <f aca="false">INDEX($K652:$O652,IF(2&lt;$E652,2,2+1))</f>
        <v>0.822007757356</v>
      </c>
      <c r="V652" s="0" t="n">
        <f aca="false">INDEX($K652:$O652,IF(3&lt;$E652,3,3+1))</f>
        <v>8.24331093523</v>
      </c>
      <c r="W652" s="0" t="n">
        <f aca="false">INDEX($K652:$O652,IF(4&lt;$E652,4,4+1))</f>
        <v>87.2161809753</v>
      </c>
      <c r="X652" s="0" t="n">
        <f aca="false">1+COUNTIF($P652:$S652,"&gt;"&amp;$P652)+(COUNTIF($P652:$S652,$P652)-1)/2</f>
        <v>3</v>
      </c>
      <c r="Y652" s="0" t="n">
        <f aca="false">1+COUNTIF($P652:$S652,"&gt;"&amp;$Q652)+(COUNTIF($P652:$S652,$Q652)-1)/2</f>
        <v>4</v>
      </c>
      <c r="Z652" s="0" t="n">
        <f aca="false">1+COUNTIF($P652:$S652,"&gt;"&amp;$R652)+(COUNTIF($P652:$S652,$R652)-1)/2</f>
        <v>1</v>
      </c>
      <c r="AA652" s="0" t="n">
        <f aca="false">1+COUNTIF($P652:$S652,"&gt;"&amp;$S652)+(COUNTIF($P652:$S652,$S652)-1)/2</f>
        <v>2</v>
      </c>
      <c r="AB652" s="0" t="n">
        <f aca="false">1+COUNTIF($T652:$W652,"&gt;"&amp;$T652)+(COUNTIF($T652:$W652,$T652)-1)/2</f>
        <v>4</v>
      </c>
      <c r="AC652" s="0" t="n">
        <f aca="false">1+COUNTIF($T652:$W652,"&gt;"&amp;$U652)+(COUNTIF($T652:$W652,$U652)-1)/2</f>
        <v>3</v>
      </c>
      <c r="AD652" s="0" t="n">
        <f aca="false">1+COUNTIF($T652:$W652,"&gt;"&amp;$V652)+(COUNTIF($T652:$W652,$V652)-1)/2</f>
        <v>2</v>
      </c>
      <c r="AE652" s="0" t="n">
        <f aca="false">1+COUNTIF($T652:$W652,"&gt;"&amp;$W652)+(COUNTIF($T652:$W652,$W652)-1)/2</f>
        <v>1</v>
      </c>
      <c r="AF652" s="0" t="n">
        <f aca="false">IFERROR(CORREL($P652:$S652,$T652:$W652),"")</f>
        <v>-0.136708132293323</v>
      </c>
      <c r="AG652" s="0" t="n">
        <f aca="false">IFERROR(CORREL($X652:$AA652,$AB652:$AE652),"")</f>
        <v>0.6</v>
      </c>
      <c r="AH652" s="0" t="n">
        <f aca="false">IFERROR((SIGN($P652-$Q652)*SIGN($T652-$U652)+SIGN($P652-$R652)*SIGN($T652-$V652)+SIGN($P652-$S652)*SIGN($T652-$W652)+SIGN($Q652-$R652)*SIGN($U652-$V652)+SIGN($Q652-$S652)*SIGN($U652-$W652)+SIGN($R652-$S652)*SIGN($V652-$W652))/SQRT((6-(($P652=$Q652)*1+($P652=$R652)*1+($P652=$S652)*1+($Q652=$R652)*1+($Q652=$S652)*1+($R652=$S652)*1))*(6-(($T652=$U652)*1+($T652=$V652)*1+($T652=$W652)*1+($U652=$V652)*1+($U652=$W652)*1+($V652=$W652)*1))),"")</f>
        <v>0.333333333333333</v>
      </c>
      <c r="AI652" s="0" t="n">
        <f aca="false">MATCH(MAX($K652:$O652),$K652:$O652,0)</f>
        <v>4</v>
      </c>
      <c r="AJ652" s="0" t="n">
        <f aca="false">IF(AI652&lt;&gt;$E652,1,0)</f>
        <v>1</v>
      </c>
      <c r="AK652" s="0" t="n">
        <f aca="false">IF(AJ652=1,INDEX($F652:$J652,AI652)/MAX($P652:$S652),"")</f>
        <v>0.593023255813953</v>
      </c>
      <c r="AL652" s="0" t="n">
        <f aca="false">IF(AJ652=1,1+COUNTIF($P652:$S652,"&gt;"&amp;INDEX($F652:$J652,AI652)),"")</f>
        <v>2</v>
      </c>
      <c r="AM652" s="0" t="n">
        <f aca="false">AVERAGE($P652:$S652)/MAX($P652:$S652)</f>
        <v>0.667151162790698</v>
      </c>
      <c r="AN652" s="0" t="n">
        <f aca="false">100-INDEX($F652:$J652,$E652)</f>
        <v>62.2</v>
      </c>
    </row>
    <row r="653" customFormat="false" ht="15" hidden="false" customHeight="false" outlineLevel="0" collapsed="false">
      <c r="A653" s="0" t="s">
        <v>61</v>
      </c>
      <c r="B653" s="0" t="n">
        <v>2018</v>
      </c>
      <c r="C653" s="0" t="s">
        <v>51</v>
      </c>
      <c r="D653" s="0" t="s">
        <v>45</v>
      </c>
      <c r="E653" s="0" t="n">
        <v>2</v>
      </c>
      <c r="F653" s="0" t="n">
        <v>10.4</v>
      </c>
      <c r="G653" s="0" t="n">
        <v>31.9</v>
      </c>
      <c r="H653" s="0" t="n">
        <v>16.4</v>
      </c>
      <c r="I653" s="0" t="n">
        <v>17.8</v>
      </c>
      <c r="J653" s="0" t="n">
        <v>7.2</v>
      </c>
      <c r="K653" s="0" t="n">
        <v>0.34851125435</v>
      </c>
      <c r="L653" s="0" t="n">
        <v>54.7951823505</v>
      </c>
      <c r="M653" s="0" t="n">
        <v>6.18758805205</v>
      </c>
      <c r="N653" s="0" t="n">
        <v>16.7486992413</v>
      </c>
      <c r="O653" s="0" t="n">
        <v>21.9200191018</v>
      </c>
      <c r="P653" s="0" t="n">
        <f aca="false">INDEX($F653:$J653,IF(1&lt;$E653,1,1+1))</f>
        <v>10.4</v>
      </c>
      <c r="Q653" s="0" t="n">
        <f aca="false">INDEX($F653:$J653,IF(2&lt;$E653,2,2+1))</f>
        <v>16.4</v>
      </c>
      <c r="R653" s="0" t="n">
        <f aca="false">INDEX($F653:$J653,IF(3&lt;$E653,3,3+1))</f>
        <v>17.8</v>
      </c>
      <c r="S653" s="0" t="n">
        <f aca="false">INDEX($F653:$J653,IF(4&lt;$E653,4,4+1))</f>
        <v>7.2</v>
      </c>
      <c r="T653" s="0" t="n">
        <f aca="false">INDEX($K653:$O653,IF(1&lt;$E653,1,1+1))</f>
        <v>0.34851125435</v>
      </c>
      <c r="U653" s="0" t="n">
        <f aca="false">INDEX($K653:$O653,IF(2&lt;$E653,2,2+1))</f>
        <v>6.18758805205</v>
      </c>
      <c r="V653" s="0" t="n">
        <f aca="false">INDEX($K653:$O653,IF(3&lt;$E653,3,3+1))</f>
        <v>16.7486992413</v>
      </c>
      <c r="W653" s="0" t="n">
        <f aca="false">INDEX($K653:$O653,IF(4&lt;$E653,4,4+1))</f>
        <v>21.9200191018</v>
      </c>
      <c r="X653" s="0" t="n">
        <f aca="false">1+COUNTIF($P653:$S653,"&gt;"&amp;$P653)+(COUNTIF($P653:$S653,$P653)-1)/2</f>
        <v>3</v>
      </c>
      <c r="Y653" s="0" t="n">
        <f aca="false">1+COUNTIF($P653:$S653,"&gt;"&amp;$Q653)+(COUNTIF($P653:$S653,$Q653)-1)/2</f>
        <v>2</v>
      </c>
      <c r="Z653" s="0" t="n">
        <f aca="false">1+COUNTIF($P653:$S653,"&gt;"&amp;$R653)+(COUNTIF($P653:$S653,$R653)-1)/2</f>
        <v>1</v>
      </c>
      <c r="AA653" s="0" t="n">
        <f aca="false">1+COUNTIF($P653:$S653,"&gt;"&amp;$S653)+(COUNTIF($P653:$S653,$S653)-1)/2</f>
        <v>4</v>
      </c>
      <c r="AB653" s="0" t="n">
        <f aca="false">1+COUNTIF($T653:$W653,"&gt;"&amp;$T653)+(COUNTIF($T653:$W653,$T653)-1)/2</f>
        <v>4</v>
      </c>
      <c r="AC653" s="0" t="n">
        <f aca="false">1+COUNTIF($T653:$W653,"&gt;"&amp;$U653)+(COUNTIF($T653:$W653,$U653)-1)/2</f>
        <v>3</v>
      </c>
      <c r="AD653" s="0" t="n">
        <f aca="false">1+COUNTIF($T653:$W653,"&gt;"&amp;$V653)+(COUNTIF($T653:$W653,$V653)-1)/2</f>
        <v>2</v>
      </c>
      <c r="AE653" s="0" t="n">
        <f aca="false">1+COUNTIF($T653:$W653,"&gt;"&amp;$W653)+(COUNTIF($T653:$W653,$W653)-1)/2</f>
        <v>1</v>
      </c>
      <c r="AF653" s="0" t="n">
        <f aca="false">IFERROR(CORREL($P653:$S653,$T653:$W653),"")</f>
        <v>-0.165538277656337</v>
      </c>
      <c r="AG653" s="0" t="n">
        <f aca="false">IFERROR(CORREL($X653:$AA653,$AB653:$AE653),"")</f>
        <v>-0.2</v>
      </c>
      <c r="AH653" s="0" t="n">
        <f aca="false">IFERROR((SIGN($P653-$Q653)*SIGN($T653-$U653)+SIGN($P653-$R653)*SIGN($T653-$V653)+SIGN($P653-$S653)*SIGN($T653-$W653)+SIGN($Q653-$R653)*SIGN($U653-$V653)+SIGN($Q653-$S653)*SIGN($U653-$W653)+SIGN($R653-$S653)*SIGN($V653-$W653))/SQRT((6-(($P653=$Q653)*1+($P653=$R653)*1+($P653=$S653)*1+($Q653=$R653)*1+($Q653=$S653)*1+($R653=$S653)*1))*(6-(($T653=$U653)*1+($T653=$V653)*1+($T653=$W653)*1+($U653=$V653)*1+($U653=$W653)*1+($V653=$W653)*1))),"")</f>
        <v>0</v>
      </c>
      <c r="AI653" s="0" t="n">
        <f aca="false">MATCH(MAX($K653:$O653),$K653:$O653,0)</f>
        <v>2</v>
      </c>
      <c r="AJ653" s="0" t="n">
        <f aca="false">IF(AI653&lt;&gt;$E653,1,0)</f>
        <v>0</v>
      </c>
      <c r="AK653" s="0" t="str">
        <f aca="false">IF(AJ653=1,INDEX($F653:$J653,AI653)/MAX($P653:$S653),"")</f>
        <v/>
      </c>
      <c r="AL653" s="0" t="str">
        <f aca="false">IF(AJ653=1,1+COUNTIF($P653:$S653,"&gt;"&amp;INDEX($F653:$J653,AI653)),"")</f>
        <v/>
      </c>
      <c r="AM653" s="0" t="n">
        <f aca="false">AVERAGE($P653:$S653)/MAX($P653:$S653)</f>
        <v>0.72752808988764</v>
      </c>
      <c r="AN653" s="0" t="n">
        <f aca="false">100-INDEX($F653:$J653,$E653)</f>
        <v>68.1</v>
      </c>
    </row>
    <row r="654" customFormat="false" ht="15" hidden="false" customHeight="false" outlineLevel="0" collapsed="false">
      <c r="A654" s="0" t="s">
        <v>61</v>
      </c>
      <c r="B654" s="0" t="n">
        <v>2018</v>
      </c>
      <c r="C654" s="0" t="s">
        <v>46</v>
      </c>
      <c r="D654" s="0" t="s">
        <v>42</v>
      </c>
      <c r="E654" s="0" t="n">
        <v>3</v>
      </c>
      <c r="F654" s="0" t="n">
        <v>10.5</v>
      </c>
      <c r="G654" s="0" t="n">
        <v>30.8</v>
      </c>
      <c r="H654" s="0" t="n">
        <v>23.9</v>
      </c>
      <c r="I654" s="0" t="n">
        <v>5.2</v>
      </c>
      <c r="J654" s="0" t="n">
        <v>7.7</v>
      </c>
      <c r="K654" s="0" t="n">
        <v>0.0858806893675</v>
      </c>
      <c r="L654" s="0" t="n">
        <v>13.1973611474</v>
      </c>
      <c r="M654" s="0" t="n">
        <v>86.0902279308</v>
      </c>
      <c r="N654" s="0" t="n">
        <v>0.156450435761</v>
      </c>
      <c r="O654" s="0" t="n">
        <v>0.470079796652</v>
      </c>
      <c r="P654" s="0" t="n">
        <f aca="false">INDEX($F654:$J654,IF(1&lt;$E654,1,1+1))</f>
        <v>10.5</v>
      </c>
      <c r="Q654" s="0" t="n">
        <f aca="false">INDEX($F654:$J654,IF(2&lt;$E654,2,2+1))</f>
        <v>30.8</v>
      </c>
      <c r="R654" s="0" t="n">
        <f aca="false">INDEX($F654:$J654,IF(3&lt;$E654,3,3+1))</f>
        <v>5.2</v>
      </c>
      <c r="S654" s="0" t="n">
        <f aca="false">INDEX($F654:$J654,IF(4&lt;$E654,4,4+1))</f>
        <v>7.7</v>
      </c>
      <c r="T654" s="0" t="n">
        <f aca="false">INDEX($K654:$O654,IF(1&lt;$E654,1,1+1))</f>
        <v>0.0858806893675</v>
      </c>
      <c r="U654" s="0" t="n">
        <f aca="false">INDEX($K654:$O654,IF(2&lt;$E654,2,2+1))</f>
        <v>13.1973611474</v>
      </c>
      <c r="V654" s="0" t="n">
        <f aca="false">INDEX($K654:$O654,IF(3&lt;$E654,3,3+1))</f>
        <v>0.156450435761</v>
      </c>
      <c r="W654" s="0" t="n">
        <f aca="false">INDEX($K654:$O654,IF(4&lt;$E654,4,4+1))</f>
        <v>0.470079796652</v>
      </c>
      <c r="X654" s="0" t="n">
        <f aca="false">1+COUNTIF($P654:$S654,"&gt;"&amp;$P654)+(COUNTIF($P654:$S654,$P654)-1)/2</f>
        <v>2</v>
      </c>
      <c r="Y654" s="0" t="n">
        <f aca="false">1+COUNTIF($P654:$S654,"&gt;"&amp;$Q654)+(COUNTIF($P654:$S654,$Q654)-1)/2</f>
        <v>1</v>
      </c>
      <c r="Z654" s="0" t="n">
        <f aca="false">1+COUNTIF($P654:$S654,"&gt;"&amp;$R654)+(COUNTIF($P654:$S654,$R654)-1)/2</f>
        <v>4</v>
      </c>
      <c r="AA654" s="0" t="n">
        <f aca="false">1+COUNTIF($P654:$S654,"&gt;"&amp;$S654)+(COUNTIF($P654:$S654,$S654)-1)/2</f>
        <v>3</v>
      </c>
      <c r="AB654" s="0" t="n">
        <f aca="false">1+COUNTIF($T654:$W654,"&gt;"&amp;$T654)+(COUNTIF($T654:$W654,$T654)-1)/2</f>
        <v>4</v>
      </c>
      <c r="AC654" s="0" t="n">
        <f aca="false">1+COUNTIF($T654:$W654,"&gt;"&amp;$U654)+(COUNTIF($T654:$W654,$U654)-1)/2</f>
        <v>1</v>
      </c>
      <c r="AD654" s="0" t="n">
        <f aca="false">1+COUNTIF($T654:$W654,"&gt;"&amp;$V654)+(COUNTIF($T654:$W654,$V654)-1)/2</f>
        <v>3</v>
      </c>
      <c r="AE654" s="0" t="n">
        <f aca="false">1+COUNTIF($T654:$W654,"&gt;"&amp;$W654)+(COUNTIF($T654:$W654,$W654)-1)/2</f>
        <v>2</v>
      </c>
      <c r="AF654" s="0" t="n">
        <f aca="false">IFERROR(CORREL($P654:$S654,$T654:$W654),"")</f>
        <v>0.981437219557856</v>
      </c>
      <c r="AG654" s="0" t="n">
        <f aca="false">IFERROR(CORREL($X654:$AA654,$AB654:$AE654),"")</f>
        <v>0.4</v>
      </c>
      <c r="AH654" s="0" t="n">
        <f aca="false">IFERROR((SIGN($P654-$Q654)*SIGN($T654-$U654)+SIGN($P654-$R654)*SIGN($T654-$V654)+SIGN($P654-$S654)*SIGN($T654-$W654)+SIGN($Q654-$R654)*SIGN($U654-$V654)+SIGN($Q654-$S654)*SIGN($U654-$W654)+SIGN($R654-$S654)*SIGN($V654-$W654))/SQRT((6-(($P654=$Q654)*1+($P654=$R654)*1+($P654=$S654)*1+($Q654=$R654)*1+($Q654=$S654)*1+($R654=$S654)*1))*(6-(($T654=$U654)*1+($T654=$V654)*1+($T654=$W654)*1+($U654=$V654)*1+($U654=$W654)*1+($V654=$W654)*1))),"")</f>
        <v>0.333333333333333</v>
      </c>
      <c r="AI654" s="0" t="n">
        <f aca="false">MATCH(MAX($K654:$O654),$K654:$O654,0)</f>
        <v>3</v>
      </c>
      <c r="AJ654" s="0" t="n">
        <f aca="false">IF(AI654&lt;&gt;$E654,1,0)</f>
        <v>0</v>
      </c>
      <c r="AK654" s="0" t="str">
        <f aca="false">IF(AJ654=1,INDEX($F654:$J654,AI654)/MAX($P654:$S654),"")</f>
        <v/>
      </c>
      <c r="AL654" s="0" t="str">
        <f aca="false">IF(AJ654=1,1+COUNTIF($P654:$S654,"&gt;"&amp;INDEX($F654:$J654,AI654)),"")</f>
        <v/>
      </c>
      <c r="AM654" s="0" t="n">
        <f aca="false">AVERAGE($P654:$S654)/MAX($P654:$S654)</f>
        <v>0.439935064935065</v>
      </c>
      <c r="AN654" s="0" t="n">
        <f aca="false">100-INDEX($F654:$J654,$E654)</f>
        <v>76.1</v>
      </c>
    </row>
    <row r="655" customFormat="false" ht="15" hidden="false" customHeight="false" outlineLevel="0" collapsed="false">
      <c r="A655" s="0" t="s">
        <v>61</v>
      </c>
      <c r="B655" s="0" t="n">
        <v>2018</v>
      </c>
      <c r="C655" s="0" t="s">
        <v>46</v>
      </c>
      <c r="D655" s="0" t="s">
        <v>43</v>
      </c>
      <c r="E655" s="0" t="n">
        <v>3</v>
      </c>
      <c r="F655" s="0" t="n">
        <v>7</v>
      </c>
      <c r="G655" s="0" t="n">
        <v>12.3</v>
      </c>
      <c r="H655" s="0" t="n">
        <v>36.4</v>
      </c>
      <c r="I655" s="0" t="n">
        <v>12.5</v>
      </c>
      <c r="J655" s="0" t="n">
        <v>9.1</v>
      </c>
      <c r="K655" s="0" t="n">
        <v>22.1728601692</v>
      </c>
      <c r="L655" s="0" t="n">
        <v>10.7765462142</v>
      </c>
      <c r="M655" s="0" t="n">
        <v>23.323671062</v>
      </c>
      <c r="N655" s="0" t="n">
        <v>3.39855854691</v>
      </c>
      <c r="O655" s="0" t="n">
        <v>40.3283640077</v>
      </c>
      <c r="P655" s="0" t="n">
        <f aca="false">INDEX($F655:$J655,IF(1&lt;$E655,1,1+1))</f>
        <v>7</v>
      </c>
      <c r="Q655" s="0" t="n">
        <f aca="false">INDEX($F655:$J655,IF(2&lt;$E655,2,2+1))</f>
        <v>12.3</v>
      </c>
      <c r="R655" s="0" t="n">
        <f aca="false">INDEX($F655:$J655,IF(3&lt;$E655,3,3+1))</f>
        <v>12.5</v>
      </c>
      <c r="S655" s="0" t="n">
        <f aca="false">INDEX($F655:$J655,IF(4&lt;$E655,4,4+1))</f>
        <v>9.1</v>
      </c>
      <c r="T655" s="0" t="n">
        <f aca="false">INDEX($K655:$O655,IF(1&lt;$E655,1,1+1))</f>
        <v>22.1728601692</v>
      </c>
      <c r="U655" s="0" t="n">
        <f aca="false">INDEX($K655:$O655,IF(2&lt;$E655,2,2+1))</f>
        <v>10.7765462142</v>
      </c>
      <c r="V655" s="0" t="n">
        <f aca="false">INDEX($K655:$O655,IF(3&lt;$E655,3,3+1))</f>
        <v>3.39855854691</v>
      </c>
      <c r="W655" s="0" t="n">
        <f aca="false">INDEX($K655:$O655,IF(4&lt;$E655,4,4+1))</f>
        <v>40.3283640077</v>
      </c>
      <c r="X655" s="0" t="n">
        <f aca="false">1+COUNTIF($P655:$S655,"&gt;"&amp;$P655)+(COUNTIF($P655:$S655,$P655)-1)/2</f>
        <v>4</v>
      </c>
      <c r="Y655" s="0" t="n">
        <f aca="false">1+COUNTIF($P655:$S655,"&gt;"&amp;$Q655)+(COUNTIF($P655:$S655,$Q655)-1)/2</f>
        <v>2</v>
      </c>
      <c r="Z655" s="0" t="n">
        <f aca="false">1+COUNTIF($P655:$S655,"&gt;"&amp;$R655)+(COUNTIF($P655:$S655,$R655)-1)/2</f>
        <v>1</v>
      </c>
      <c r="AA655" s="0" t="n">
        <f aca="false">1+COUNTIF($P655:$S655,"&gt;"&amp;$S655)+(COUNTIF($P655:$S655,$S655)-1)/2</f>
        <v>3</v>
      </c>
      <c r="AB655" s="0" t="n">
        <f aca="false">1+COUNTIF($T655:$W655,"&gt;"&amp;$T655)+(COUNTIF($T655:$W655,$T655)-1)/2</f>
        <v>2</v>
      </c>
      <c r="AC655" s="0" t="n">
        <f aca="false">1+COUNTIF($T655:$W655,"&gt;"&amp;$U655)+(COUNTIF($T655:$W655,$U655)-1)/2</f>
        <v>3</v>
      </c>
      <c r="AD655" s="0" t="n">
        <f aca="false">1+COUNTIF($T655:$W655,"&gt;"&amp;$V655)+(COUNTIF($T655:$W655,$V655)-1)/2</f>
        <v>4</v>
      </c>
      <c r="AE655" s="0" t="n">
        <f aca="false">1+COUNTIF($T655:$W655,"&gt;"&amp;$W655)+(COUNTIF($T655:$W655,$W655)-1)/2</f>
        <v>1</v>
      </c>
      <c r="AF655" s="0" t="n">
        <f aca="false">IFERROR(CORREL($P655:$S655,$T655:$W655),"")</f>
        <v>-0.677503377657578</v>
      </c>
      <c r="AG655" s="0" t="n">
        <f aca="false">IFERROR(CORREL($X655:$AA655,$AB655:$AE655),"")</f>
        <v>-0.8</v>
      </c>
      <c r="AH655" s="0" t="n">
        <f aca="false">IFERROR((SIGN($P655-$Q655)*SIGN($T655-$U655)+SIGN($P655-$R655)*SIGN($T655-$V655)+SIGN($P655-$S655)*SIGN($T655-$W655)+SIGN($Q655-$R655)*SIGN($U655-$V655)+SIGN($Q655-$S655)*SIGN($U655-$W655)+SIGN($R655-$S655)*SIGN($V655-$W655))/SQRT((6-(($P655=$Q655)*1+($P655=$R655)*1+($P655=$S655)*1+($Q655=$R655)*1+($Q655=$S655)*1+($R655=$S655)*1))*(6-(($T655=$U655)*1+($T655=$V655)*1+($T655=$W655)*1+($U655=$V655)*1+($U655=$W655)*1+($V655=$W655)*1))),"")</f>
        <v>-0.666666666666667</v>
      </c>
      <c r="AI655" s="0" t="n">
        <f aca="false">MATCH(MAX($K655:$O655),$K655:$O655,0)</f>
        <v>5</v>
      </c>
      <c r="AJ655" s="0" t="n">
        <f aca="false">IF(AI655&lt;&gt;$E655,1,0)</f>
        <v>1</v>
      </c>
      <c r="AK655" s="0" t="n">
        <f aca="false">IF(AJ655=1,INDEX($F655:$J655,AI655)/MAX($P655:$S655),"")</f>
        <v>0.728</v>
      </c>
      <c r="AL655" s="0" t="n">
        <f aca="false">IF(AJ655=1,1+COUNTIF($P655:$S655,"&gt;"&amp;INDEX($F655:$J655,AI655)),"")</f>
        <v>3</v>
      </c>
      <c r="AM655" s="0" t="n">
        <f aca="false">AVERAGE($P655:$S655)/MAX($P655:$S655)</f>
        <v>0.818</v>
      </c>
      <c r="AN655" s="0" t="n">
        <f aca="false">100-INDEX($F655:$J655,$E655)</f>
        <v>63.6</v>
      </c>
    </row>
    <row r="656" customFormat="false" ht="15" hidden="false" customHeight="false" outlineLevel="0" collapsed="false">
      <c r="A656" s="0" t="s">
        <v>61</v>
      </c>
      <c r="B656" s="0" t="n">
        <v>2018</v>
      </c>
      <c r="C656" s="0" t="s">
        <v>46</v>
      </c>
      <c r="D656" s="0" t="s">
        <v>44</v>
      </c>
      <c r="E656" s="0" t="n">
        <v>4</v>
      </c>
      <c r="F656" s="0" t="n">
        <v>5.5</v>
      </c>
      <c r="G656" s="0" t="n">
        <v>21.5</v>
      </c>
      <c r="H656" s="0" t="n">
        <v>7.5</v>
      </c>
      <c r="I656" s="0" t="n">
        <v>37</v>
      </c>
      <c r="J656" s="0" t="n">
        <v>5.3</v>
      </c>
      <c r="K656" s="0" t="n">
        <v>1.21186859379</v>
      </c>
      <c r="L656" s="0" t="n">
        <v>10.7788642889</v>
      </c>
      <c r="M656" s="0" t="n">
        <v>58.7791777295</v>
      </c>
      <c r="N656" s="0" t="n">
        <v>18.6671952299</v>
      </c>
      <c r="O656" s="0" t="n">
        <v>10.562894158</v>
      </c>
      <c r="P656" s="0" t="n">
        <f aca="false">INDEX($F656:$J656,IF(1&lt;$E656,1,1+1))</f>
        <v>5.5</v>
      </c>
      <c r="Q656" s="0" t="n">
        <f aca="false">INDEX($F656:$J656,IF(2&lt;$E656,2,2+1))</f>
        <v>21.5</v>
      </c>
      <c r="R656" s="0" t="n">
        <f aca="false">INDEX($F656:$J656,IF(3&lt;$E656,3,3+1))</f>
        <v>7.5</v>
      </c>
      <c r="S656" s="0" t="n">
        <f aca="false">INDEX($F656:$J656,IF(4&lt;$E656,4,4+1))</f>
        <v>5.3</v>
      </c>
      <c r="T656" s="0" t="n">
        <f aca="false">INDEX($K656:$O656,IF(1&lt;$E656,1,1+1))</f>
        <v>1.21186859379</v>
      </c>
      <c r="U656" s="0" t="n">
        <f aca="false">INDEX($K656:$O656,IF(2&lt;$E656,2,2+1))</f>
        <v>10.7788642889</v>
      </c>
      <c r="V656" s="0" t="n">
        <f aca="false">INDEX($K656:$O656,IF(3&lt;$E656,3,3+1))</f>
        <v>58.7791777295</v>
      </c>
      <c r="W656" s="0" t="n">
        <f aca="false">INDEX($K656:$O656,IF(4&lt;$E656,4,4+1))</f>
        <v>10.562894158</v>
      </c>
      <c r="X656" s="0" t="n">
        <f aca="false">1+COUNTIF($P656:$S656,"&gt;"&amp;$P656)+(COUNTIF($P656:$S656,$P656)-1)/2</f>
        <v>3</v>
      </c>
      <c r="Y656" s="0" t="n">
        <f aca="false">1+COUNTIF($P656:$S656,"&gt;"&amp;$Q656)+(COUNTIF($P656:$S656,$Q656)-1)/2</f>
        <v>1</v>
      </c>
      <c r="Z656" s="0" t="n">
        <f aca="false">1+COUNTIF($P656:$S656,"&gt;"&amp;$R656)+(COUNTIF($P656:$S656,$R656)-1)/2</f>
        <v>2</v>
      </c>
      <c r="AA656" s="0" t="n">
        <f aca="false">1+COUNTIF($P656:$S656,"&gt;"&amp;$S656)+(COUNTIF($P656:$S656,$S656)-1)/2</f>
        <v>4</v>
      </c>
      <c r="AB656" s="0" t="n">
        <f aca="false">1+COUNTIF($T656:$W656,"&gt;"&amp;$T656)+(COUNTIF($T656:$W656,$T656)-1)/2</f>
        <v>4</v>
      </c>
      <c r="AC656" s="0" t="n">
        <f aca="false">1+COUNTIF($T656:$W656,"&gt;"&amp;$U656)+(COUNTIF($T656:$W656,$U656)-1)/2</f>
        <v>2</v>
      </c>
      <c r="AD656" s="0" t="n">
        <f aca="false">1+COUNTIF($T656:$W656,"&gt;"&amp;$V656)+(COUNTIF($T656:$W656,$V656)-1)/2</f>
        <v>1</v>
      </c>
      <c r="AE656" s="0" t="n">
        <f aca="false">1+COUNTIF($T656:$W656,"&gt;"&amp;$W656)+(COUNTIF($T656:$W656,$W656)-1)/2</f>
        <v>3</v>
      </c>
      <c r="AF656" s="0" t="n">
        <f aca="false">IFERROR(CORREL($P656:$S656,$T656:$W656),"")</f>
        <v>-0.12216200056555</v>
      </c>
      <c r="AG656" s="0" t="n">
        <f aca="false">IFERROR(CORREL($X656:$AA656,$AB656:$AE656),"")</f>
        <v>0.6</v>
      </c>
      <c r="AH656" s="0" t="n">
        <f aca="false">IFERROR((SIGN($P656-$Q656)*SIGN($T656-$U656)+SIGN($P656-$R656)*SIGN($T656-$V656)+SIGN($P656-$S656)*SIGN($T656-$W656)+SIGN($Q656-$R656)*SIGN($U656-$V656)+SIGN($Q656-$S656)*SIGN($U656-$W656)+SIGN($R656-$S656)*SIGN($V656-$W656))/SQRT((6-(($P656=$Q656)*1+($P656=$R656)*1+($P656=$S656)*1+($Q656=$R656)*1+($Q656=$S656)*1+($R656=$S656)*1))*(6-(($T656=$U656)*1+($T656=$V656)*1+($T656=$W656)*1+($U656=$V656)*1+($U656=$W656)*1+($V656=$W656)*1))),"")</f>
        <v>0.333333333333333</v>
      </c>
      <c r="AI656" s="0" t="n">
        <f aca="false">MATCH(MAX($K656:$O656),$K656:$O656,0)</f>
        <v>3</v>
      </c>
      <c r="AJ656" s="0" t="n">
        <f aca="false">IF(AI656&lt;&gt;$E656,1,0)</f>
        <v>1</v>
      </c>
      <c r="AK656" s="0" t="n">
        <f aca="false">IF(AJ656=1,INDEX($F656:$J656,AI656)/MAX($P656:$S656),"")</f>
        <v>0.348837209302326</v>
      </c>
      <c r="AL656" s="0" t="n">
        <f aca="false">IF(AJ656=1,1+COUNTIF($P656:$S656,"&gt;"&amp;INDEX($F656:$J656,AI656)),"")</f>
        <v>2</v>
      </c>
      <c r="AM656" s="0" t="n">
        <f aca="false">AVERAGE($P656:$S656)/MAX($P656:$S656)</f>
        <v>0.462790697674419</v>
      </c>
      <c r="AN656" s="0" t="n">
        <f aca="false">100-INDEX($F656:$J656,$E656)</f>
        <v>63</v>
      </c>
    </row>
    <row r="657" customFormat="false" ht="15" hidden="false" customHeight="false" outlineLevel="0" collapsed="false">
      <c r="A657" s="0" t="s">
        <v>61</v>
      </c>
      <c r="B657" s="0" t="n">
        <v>2018</v>
      </c>
      <c r="C657" s="0" t="s">
        <v>46</v>
      </c>
      <c r="D657" s="0" t="s">
        <v>45</v>
      </c>
      <c r="E657" s="0" t="n">
        <v>2</v>
      </c>
      <c r="F657" s="0" t="n">
        <v>5.7</v>
      </c>
      <c r="G657" s="0" t="n">
        <v>39.7</v>
      </c>
      <c r="H657" s="0" t="n">
        <v>14.7</v>
      </c>
      <c r="I657" s="0" t="n">
        <v>8.9</v>
      </c>
      <c r="J657" s="0" t="n">
        <v>7.5</v>
      </c>
      <c r="K657" s="0" t="n">
        <v>2.00142256805</v>
      </c>
      <c r="L657" s="0" t="n">
        <v>82.7808869483</v>
      </c>
      <c r="M657" s="0" t="n">
        <v>3.7774844097</v>
      </c>
      <c r="N657" s="0" t="n">
        <v>4.23606815447</v>
      </c>
      <c r="O657" s="0" t="n">
        <v>7.20413791951</v>
      </c>
      <c r="P657" s="0" t="n">
        <f aca="false">INDEX($F657:$J657,IF(1&lt;$E657,1,1+1))</f>
        <v>5.7</v>
      </c>
      <c r="Q657" s="0" t="n">
        <f aca="false">INDEX($F657:$J657,IF(2&lt;$E657,2,2+1))</f>
        <v>14.7</v>
      </c>
      <c r="R657" s="0" t="n">
        <f aca="false">INDEX($F657:$J657,IF(3&lt;$E657,3,3+1))</f>
        <v>8.9</v>
      </c>
      <c r="S657" s="0" t="n">
        <f aca="false">INDEX($F657:$J657,IF(4&lt;$E657,4,4+1))</f>
        <v>7.5</v>
      </c>
      <c r="T657" s="0" t="n">
        <f aca="false">INDEX($K657:$O657,IF(1&lt;$E657,1,1+1))</f>
        <v>2.00142256805</v>
      </c>
      <c r="U657" s="0" t="n">
        <f aca="false">INDEX($K657:$O657,IF(2&lt;$E657,2,2+1))</f>
        <v>3.7774844097</v>
      </c>
      <c r="V657" s="0" t="n">
        <f aca="false">INDEX($K657:$O657,IF(3&lt;$E657,3,3+1))</f>
        <v>4.23606815447</v>
      </c>
      <c r="W657" s="0" t="n">
        <f aca="false">INDEX($K657:$O657,IF(4&lt;$E657,4,4+1))</f>
        <v>7.20413791951</v>
      </c>
      <c r="X657" s="0" t="n">
        <f aca="false">1+COUNTIF($P657:$S657,"&gt;"&amp;$P657)+(COUNTIF($P657:$S657,$P657)-1)/2</f>
        <v>4</v>
      </c>
      <c r="Y657" s="0" t="n">
        <f aca="false">1+COUNTIF($P657:$S657,"&gt;"&amp;$Q657)+(COUNTIF($P657:$S657,$Q657)-1)/2</f>
        <v>1</v>
      </c>
      <c r="Z657" s="0" t="n">
        <f aca="false">1+COUNTIF($P657:$S657,"&gt;"&amp;$R657)+(COUNTIF($P657:$S657,$R657)-1)/2</f>
        <v>2</v>
      </c>
      <c r="AA657" s="0" t="n">
        <f aca="false">1+COUNTIF($P657:$S657,"&gt;"&amp;$S657)+(COUNTIF($P657:$S657,$S657)-1)/2</f>
        <v>3</v>
      </c>
      <c r="AB657" s="0" t="n">
        <f aca="false">1+COUNTIF($T657:$W657,"&gt;"&amp;$T657)+(COUNTIF($T657:$W657,$T657)-1)/2</f>
        <v>4</v>
      </c>
      <c r="AC657" s="0" t="n">
        <f aca="false">1+COUNTIF($T657:$W657,"&gt;"&amp;$U657)+(COUNTIF($T657:$W657,$U657)-1)/2</f>
        <v>3</v>
      </c>
      <c r="AD657" s="0" t="n">
        <f aca="false">1+COUNTIF($T657:$W657,"&gt;"&amp;$V657)+(COUNTIF($T657:$W657,$V657)-1)/2</f>
        <v>2</v>
      </c>
      <c r="AE657" s="0" t="n">
        <f aca="false">1+COUNTIF($T657:$W657,"&gt;"&amp;$W657)+(COUNTIF($T657:$W657,$W657)-1)/2</f>
        <v>1</v>
      </c>
      <c r="AF657" s="0" t="n">
        <f aca="false">IFERROR(CORREL($P657:$S657,$T657:$W657),"")</f>
        <v>0.0100414957413288</v>
      </c>
      <c r="AG657" s="0" t="n">
        <f aca="false">IFERROR(CORREL($X657:$AA657,$AB657:$AE657),"")</f>
        <v>0.2</v>
      </c>
      <c r="AH657" s="0" t="n">
        <f aca="false">IFERROR((SIGN($P657-$Q657)*SIGN($T657-$U657)+SIGN($P657-$R657)*SIGN($T657-$V657)+SIGN($P657-$S657)*SIGN($T657-$W657)+SIGN($Q657-$R657)*SIGN($U657-$V657)+SIGN($Q657-$S657)*SIGN($U657-$W657)+SIGN($R657-$S657)*SIGN($V657-$W657))/SQRT((6-(($P657=$Q657)*1+($P657=$R657)*1+($P657=$S657)*1+($Q657=$R657)*1+($Q657=$S657)*1+($R657=$S657)*1))*(6-(($T657=$U657)*1+($T657=$V657)*1+($T657=$W657)*1+($U657=$V657)*1+($U657=$W657)*1+($V657=$W657)*1))),"")</f>
        <v>0</v>
      </c>
      <c r="AI657" s="0" t="n">
        <f aca="false">MATCH(MAX($K657:$O657),$K657:$O657,0)</f>
        <v>2</v>
      </c>
      <c r="AJ657" s="0" t="n">
        <f aca="false">IF(AI657&lt;&gt;$E657,1,0)</f>
        <v>0</v>
      </c>
      <c r="AK657" s="0" t="str">
        <f aca="false">IF(AJ657=1,INDEX($F657:$J657,AI657)/MAX($P657:$S657),"")</f>
        <v/>
      </c>
      <c r="AL657" s="0" t="str">
        <f aca="false">IF(AJ657=1,1+COUNTIF($P657:$S657,"&gt;"&amp;INDEX($F657:$J657,AI657)),"")</f>
        <v/>
      </c>
      <c r="AM657" s="0" t="n">
        <f aca="false">AVERAGE($P657:$S657)/MAX($P657:$S657)</f>
        <v>0.625850340136055</v>
      </c>
      <c r="AN657" s="0" t="n">
        <f aca="false">100-INDEX($F657:$J657,$E657)</f>
        <v>60.3</v>
      </c>
    </row>
    <row r="658" customFormat="false" ht="15" hidden="false" customHeight="false" outlineLevel="0" collapsed="false">
      <c r="A658" s="0" t="s">
        <v>61</v>
      </c>
      <c r="B658" s="0" t="n">
        <v>2017</v>
      </c>
      <c r="C658" s="0" t="s">
        <v>58</v>
      </c>
      <c r="D658" s="0" t="s">
        <v>42</v>
      </c>
      <c r="E658" s="0" t="n">
        <v>1</v>
      </c>
      <c r="F658" s="0" t="n">
        <v>38.6</v>
      </c>
      <c r="G658" s="0" t="n">
        <v>9.2</v>
      </c>
      <c r="H658" s="0" t="n">
        <v>13.2</v>
      </c>
      <c r="I658" s="0" t="n">
        <v>12</v>
      </c>
      <c r="J658" s="0" t="n">
        <v>8.2</v>
      </c>
      <c r="K658" s="0" t="n">
        <v>35.5456625893</v>
      </c>
      <c r="L658" s="0" t="n">
        <v>8.19191997807</v>
      </c>
      <c r="M658" s="0" t="n">
        <v>35.4349626335</v>
      </c>
      <c r="N658" s="0" t="n">
        <v>5.42379113443</v>
      </c>
      <c r="O658" s="0" t="n">
        <v>15.4036636648</v>
      </c>
      <c r="P658" s="0" t="n">
        <f aca="false">INDEX($F658:$J658,IF(1&lt;$E658,1,1+1))</f>
        <v>9.2</v>
      </c>
      <c r="Q658" s="0" t="n">
        <f aca="false">INDEX($F658:$J658,IF(2&lt;$E658,2,2+1))</f>
        <v>13.2</v>
      </c>
      <c r="R658" s="0" t="n">
        <f aca="false">INDEX($F658:$J658,IF(3&lt;$E658,3,3+1))</f>
        <v>12</v>
      </c>
      <c r="S658" s="0" t="n">
        <f aca="false">INDEX($F658:$J658,IF(4&lt;$E658,4,4+1))</f>
        <v>8.2</v>
      </c>
      <c r="T658" s="0" t="n">
        <f aca="false">INDEX($K658:$O658,IF(1&lt;$E658,1,1+1))</f>
        <v>8.19191997807</v>
      </c>
      <c r="U658" s="0" t="n">
        <f aca="false">INDEX($K658:$O658,IF(2&lt;$E658,2,2+1))</f>
        <v>35.4349626335</v>
      </c>
      <c r="V658" s="0" t="n">
        <f aca="false">INDEX($K658:$O658,IF(3&lt;$E658,3,3+1))</f>
        <v>5.42379113443</v>
      </c>
      <c r="W658" s="0" t="n">
        <f aca="false">INDEX($K658:$O658,IF(4&lt;$E658,4,4+1))</f>
        <v>15.4036636648</v>
      </c>
      <c r="X658" s="0" t="n">
        <f aca="false">1+COUNTIF($P658:$S658,"&gt;"&amp;$P658)+(COUNTIF($P658:$S658,$P658)-1)/2</f>
        <v>3</v>
      </c>
      <c r="Y658" s="0" t="n">
        <f aca="false">1+COUNTIF($P658:$S658,"&gt;"&amp;$Q658)+(COUNTIF($P658:$S658,$Q658)-1)/2</f>
        <v>1</v>
      </c>
      <c r="Z658" s="0" t="n">
        <f aca="false">1+COUNTIF($P658:$S658,"&gt;"&amp;$R658)+(COUNTIF($P658:$S658,$R658)-1)/2</f>
        <v>2</v>
      </c>
      <c r="AA658" s="0" t="n">
        <f aca="false">1+COUNTIF($P658:$S658,"&gt;"&amp;$S658)+(COUNTIF($P658:$S658,$S658)-1)/2</f>
        <v>4</v>
      </c>
      <c r="AB658" s="0" t="n">
        <f aca="false">1+COUNTIF($T658:$W658,"&gt;"&amp;$T658)+(COUNTIF($T658:$W658,$T658)-1)/2</f>
        <v>3</v>
      </c>
      <c r="AC658" s="0" t="n">
        <f aca="false">1+COUNTIF($T658:$W658,"&gt;"&amp;$U658)+(COUNTIF($T658:$W658,$U658)-1)/2</f>
        <v>1</v>
      </c>
      <c r="AD658" s="0" t="n">
        <f aca="false">1+COUNTIF($T658:$W658,"&gt;"&amp;$V658)+(COUNTIF($T658:$W658,$V658)-1)/2</f>
        <v>4</v>
      </c>
      <c r="AE658" s="0" t="n">
        <f aca="false">1+COUNTIF($T658:$W658,"&gt;"&amp;$W658)+(COUNTIF($T658:$W658,$W658)-1)/2</f>
        <v>2</v>
      </c>
      <c r="AF658" s="0" t="n">
        <f aca="false">IFERROR(CORREL($P658:$S658,$T658:$W658),"")</f>
        <v>0.505227401823065</v>
      </c>
      <c r="AG658" s="0" t="n">
        <f aca="false">IFERROR(CORREL($X658:$AA658,$AB658:$AE658),"")</f>
        <v>0.2</v>
      </c>
      <c r="AH658" s="0" t="n">
        <f aca="false">IFERROR((SIGN($P658-$Q658)*SIGN($T658-$U658)+SIGN($P658-$R658)*SIGN($T658-$V658)+SIGN($P658-$S658)*SIGN($T658-$W658)+SIGN($Q658-$R658)*SIGN($U658-$V658)+SIGN($Q658-$S658)*SIGN($U658-$W658)+SIGN($R658-$S658)*SIGN($V658-$W658))/SQRT((6-(($P658=$Q658)*1+($P658=$R658)*1+($P658=$S658)*1+($Q658=$R658)*1+($Q658=$S658)*1+($R658=$S658)*1))*(6-(($T658=$U658)*1+($T658=$V658)*1+($T658=$W658)*1+($U658=$V658)*1+($U658=$W658)*1+($V658=$W658)*1))),"")</f>
        <v>0</v>
      </c>
      <c r="AI658" s="0" t="n">
        <f aca="false">MATCH(MAX($K658:$O658),$K658:$O658,0)</f>
        <v>1</v>
      </c>
      <c r="AJ658" s="0" t="n">
        <f aca="false">IF(AI658&lt;&gt;$E658,1,0)</f>
        <v>0</v>
      </c>
      <c r="AK658" s="0" t="str">
        <f aca="false">IF(AJ658=1,INDEX($F658:$J658,AI658)/MAX($P658:$S658),"")</f>
        <v/>
      </c>
      <c r="AL658" s="0" t="str">
        <f aca="false">IF(AJ658=1,1+COUNTIF($P658:$S658,"&gt;"&amp;INDEX($F658:$J658,AI658)),"")</f>
        <v/>
      </c>
      <c r="AM658" s="0" t="n">
        <f aca="false">AVERAGE($P658:$S658)/MAX($P658:$S658)</f>
        <v>0.806818181818182</v>
      </c>
      <c r="AN658" s="0" t="n">
        <f aca="false">100-INDEX($F658:$J658,$E658)</f>
        <v>61.4</v>
      </c>
    </row>
    <row r="659" customFormat="false" ht="15" hidden="false" customHeight="false" outlineLevel="0" collapsed="false">
      <c r="A659" s="0" t="s">
        <v>61</v>
      </c>
      <c r="B659" s="0" t="n">
        <v>2017</v>
      </c>
      <c r="C659" s="0" t="s">
        <v>58</v>
      </c>
      <c r="D659" s="0" t="s">
        <v>43</v>
      </c>
      <c r="E659" s="0" t="n">
        <v>3</v>
      </c>
      <c r="F659" s="0" t="n">
        <v>10.8</v>
      </c>
      <c r="G659" s="0" t="n">
        <v>9.8</v>
      </c>
      <c r="H659" s="0" t="n">
        <v>47.8</v>
      </c>
      <c r="I659" s="0" t="n">
        <v>8.4</v>
      </c>
      <c r="J659" s="0" t="n">
        <v>4.1</v>
      </c>
      <c r="K659" s="0" t="n">
        <v>21.4660406065</v>
      </c>
      <c r="L659" s="0" t="n">
        <v>7.69266885753</v>
      </c>
      <c r="M659" s="0" t="n">
        <v>55.722350358</v>
      </c>
      <c r="N659" s="0" t="n">
        <v>10.5830547279</v>
      </c>
      <c r="O659" s="0" t="n">
        <v>4.53588545009</v>
      </c>
      <c r="P659" s="0" t="n">
        <f aca="false">INDEX($F659:$J659,IF(1&lt;$E659,1,1+1))</f>
        <v>10.8</v>
      </c>
      <c r="Q659" s="0" t="n">
        <f aca="false">INDEX($F659:$J659,IF(2&lt;$E659,2,2+1))</f>
        <v>9.8</v>
      </c>
      <c r="R659" s="0" t="n">
        <f aca="false">INDEX($F659:$J659,IF(3&lt;$E659,3,3+1))</f>
        <v>8.4</v>
      </c>
      <c r="S659" s="0" t="n">
        <f aca="false">INDEX($F659:$J659,IF(4&lt;$E659,4,4+1))</f>
        <v>4.1</v>
      </c>
      <c r="T659" s="0" t="n">
        <f aca="false">INDEX($K659:$O659,IF(1&lt;$E659,1,1+1))</f>
        <v>21.4660406065</v>
      </c>
      <c r="U659" s="0" t="n">
        <f aca="false">INDEX($K659:$O659,IF(2&lt;$E659,2,2+1))</f>
        <v>7.69266885753</v>
      </c>
      <c r="V659" s="0" t="n">
        <f aca="false">INDEX($K659:$O659,IF(3&lt;$E659,3,3+1))</f>
        <v>10.5830547279</v>
      </c>
      <c r="W659" s="0" t="n">
        <f aca="false">INDEX($K659:$O659,IF(4&lt;$E659,4,4+1))</f>
        <v>4.53588545009</v>
      </c>
      <c r="X659" s="0" t="n">
        <f aca="false">1+COUNTIF($P659:$S659,"&gt;"&amp;$P659)+(COUNTIF($P659:$S659,$P659)-1)/2</f>
        <v>1</v>
      </c>
      <c r="Y659" s="0" t="n">
        <f aca="false">1+COUNTIF($P659:$S659,"&gt;"&amp;$Q659)+(COUNTIF($P659:$S659,$Q659)-1)/2</f>
        <v>2</v>
      </c>
      <c r="Z659" s="0" t="n">
        <f aca="false">1+COUNTIF($P659:$S659,"&gt;"&amp;$R659)+(COUNTIF($P659:$S659,$R659)-1)/2</f>
        <v>3</v>
      </c>
      <c r="AA659" s="0" t="n">
        <f aca="false">1+COUNTIF($P659:$S659,"&gt;"&amp;$S659)+(COUNTIF($P659:$S659,$S659)-1)/2</f>
        <v>4</v>
      </c>
      <c r="AB659" s="0" t="n">
        <f aca="false">1+COUNTIF($T659:$W659,"&gt;"&amp;$T659)+(COUNTIF($T659:$W659,$T659)-1)/2</f>
        <v>1</v>
      </c>
      <c r="AC659" s="0" t="n">
        <f aca="false">1+COUNTIF($T659:$W659,"&gt;"&amp;$U659)+(COUNTIF($T659:$W659,$U659)-1)/2</f>
        <v>3</v>
      </c>
      <c r="AD659" s="0" t="n">
        <f aca="false">1+COUNTIF($T659:$W659,"&gt;"&amp;$V659)+(COUNTIF($T659:$W659,$V659)-1)/2</f>
        <v>2</v>
      </c>
      <c r="AE659" s="0" t="n">
        <f aca="false">1+COUNTIF($T659:$W659,"&gt;"&amp;$W659)+(COUNTIF($T659:$W659,$W659)-1)/2</f>
        <v>4</v>
      </c>
      <c r="AF659" s="0" t="n">
        <f aca="false">IFERROR(CORREL($P659:$S659,$T659:$W659),"")</f>
        <v>0.741456063423658</v>
      </c>
      <c r="AG659" s="0" t="n">
        <f aca="false">IFERROR(CORREL($X659:$AA659,$AB659:$AE659),"")</f>
        <v>0.8</v>
      </c>
      <c r="AH659" s="0" t="n">
        <f aca="false">IFERROR((SIGN($P659-$Q659)*SIGN($T659-$U659)+SIGN($P659-$R659)*SIGN($T659-$V659)+SIGN($P659-$S659)*SIGN($T659-$W659)+SIGN($Q659-$R659)*SIGN($U659-$V659)+SIGN($Q659-$S659)*SIGN($U659-$W659)+SIGN($R659-$S659)*SIGN($V659-$W659))/SQRT((6-(($P659=$Q659)*1+($P659=$R659)*1+($P659=$S659)*1+($Q659=$R659)*1+($Q659=$S659)*1+($R659=$S659)*1))*(6-(($T659=$U659)*1+($T659=$V659)*1+($T659=$W659)*1+($U659=$V659)*1+($U659=$W659)*1+($V659=$W659)*1))),"")</f>
        <v>0.666666666666667</v>
      </c>
      <c r="AI659" s="0" t="n">
        <f aca="false">MATCH(MAX($K659:$O659),$K659:$O659,0)</f>
        <v>3</v>
      </c>
      <c r="AJ659" s="0" t="n">
        <f aca="false">IF(AI659&lt;&gt;$E659,1,0)</f>
        <v>0</v>
      </c>
      <c r="AK659" s="0" t="str">
        <f aca="false">IF(AJ659=1,INDEX($F659:$J659,AI659)/MAX($P659:$S659),"")</f>
        <v/>
      </c>
      <c r="AL659" s="0" t="str">
        <f aca="false">IF(AJ659=1,1+COUNTIF($P659:$S659,"&gt;"&amp;INDEX($F659:$J659,AI659)),"")</f>
        <v/>
      </c>
      <c r="AM659" s="0" t="n">
        <f aca="false">AVERAGE($P659:$S659)/MAX($P659:$S659)</f>
        <v>0.766203703703704</v>
      </c>
      <c r="AN659" s="0" t="n">
        <f aca="false">100-INDEX($F659:$J659,$E659)</f>
        <v>52.2</v>
      </c>
    </row>
    <row r="660" customFormat="false" ht="15" hidden="false" customHeight="false" outlineLevel="0" collapsed="false">
      <c r="A660" s="0" t="s">
        <v>61</v>
      </c>
      <c r="B660" s="0" t="n">
        <v>2017</v>
      </c>
      <c r="C660" s="0" t="s">
        <v>58</v>
      </c>
      <c r="D660" s="0" t="s">
        <v>44</v>
      </c>
      <c r="E660" s="0" t="n">
        <v>5</v>
      </c>
      <c r="F660" s="0" t="n">
        <v>20.6</v>
      </c>
      <c r="G660" s="0" t="n">
        <v>11.5</v>
      </c>
      <c r="H660" s="0" t="n">
        <v>14.9</v>
      </c>
      <c r="I660" s="0" t="n">
        <v>8.7</v>
      </c>
      <c r="J660" s="0" t="n">
        <v>24.7</v>
      </c>
      <c r="K660" s="0" t="n">
        <v>45.0598056438</v>
      </c>
      <c r="L660" s="0" t="n">
        <v>26.1922698541</v>
      </c>
      <c r="M660" s="0" t="n">
        <v>6.58037218861</v>
      </c>
      <c r="N660" s="0" t="n">
        <v>15.0268341106</v>
      </c>
      <c r="O660" s="0" t="n">
        <v>7.14071820298</v>
      </c>
      <c r="P660" s="0" t="n">
        <f aca="false">INDEX($F660:$J660,IF(1&lt;$E660,1,1+1))</f>
        <v>20.6</v>
      </c>
      <c r="Q660" s="0" t="n">
        <f aca="false">INDEX($F660:$J660,IF(2&lt;$E660,2,2+1))</f>
        <v>11.5</v>
      </c>
      <c r="R660" s="0" t="n">
        <f aca="false">INDEX($F660:$J660,IF(3&lt;$E660,3,3+1))</f>
        <v>14.9</v>
      </c>
      <c r="S660" s="0" t="n">
        <f aca="false">INDEX($F660:$J660,IF(4&lt;$E660,4,4+1))</f>
        <v>8.7</v>
      </c>
      <c r="T660" s="0" t="n">
        <f aca="false">INDEX($K660:$O660,IF(1&lt;$E660,1,1+1))</f>
        <v>45.0598056438</v>
      </c>
      <c r="U660" s="0" t="n">
        <f aca="false">INDEX($K660:$O660,IF(2&lt;$E660,2,2+1))</f>
        <v>26.1922698541</v>
      </c>
      <c r="V660" s="0" t="n">
        <f aca="false">INDEX($K660:$O660,IF(3&lt;$E660,3,3+1))</f>
        <v>6.58037218861</v>
      </c>
      <c r="W660" s="0" t="n">
        <f aca="false">INDEX($K660:$O660,IF(4&lt;$E660,4,4+1))</f>
        <v>15.0268341106</v>
      </c>
      <c r="X660" s="0" t="n">
        <f aca="false">1+COUNTIF($P660:$S660,"&gt;"&amp;$P660)+(COUNTIF($P660:$S660,$P660)-1)/2</f>
        <v>1</v>
      </c>
      <c r="Y660" s="0" t="n">
        <f aca="false">1+COUNTIF($P660:$S660,"&gt;"&amp;$Q660)+(COUNTIF($P660:$S660,$Q660)-1)/2</f>
        <v>3</v>
      </c>
      <c r="Z660" s="0" t="n">
        <f aca="false">1+COUNTIF($P660:$S660,"&gt;"&amp;$R660)+(COUNTIF($P660:$S660,$R660)-1)/2</f>
        <v>2</v>
      </c>
      <c r="AA660" s="0" t="n">
        <f aca="false">1+COUNTIF($P660:$S660,"&gt;"&amp;$S660)+(COUNTIF($P660:$S660,$S660)-1)/2</f>
        <v>4</v>
      </c>
      <c r="AB660" s="0" t="n">
        <f aca="false">1+COUNTIF($T660:$W660,"&gt;"&amp;$T660)+(COUNTIF($T660:$W660,$T660)-1)/2</f>
        <v>1</v>
      </c>
      <c r="AC660" s="0" t="n">
        <f aca="false">1+COUNTIF($T660:$W660,"&gt;"&amp;$U660)+(COUNTIF($T660:$W660,$U660)-1)/2</f>
        <v>2</v>
      </c>
      <c r="AD660" s="0" t="n">
        <f aca="false">1+COUNTIF($T660:$W660,"&gt;"&amp;$V660)+(COUNTIF($T660:$W660,$V660)-1)/2</f>
        <v>4</v>
      </c>
      <c r="AE660" s="0" t="n">
        <f aca="false">1+COUNTIF($T660:$W660,"&gt;"&amp;$W660)+(COUNTIF($T660:$W660,$W660)-1)/2</f>
        <v>3</v>
      </c>
      <c r="AF660" s="0" t="n">
        <f aca="false">IFERROR(CORREL($P660:$S660,$T660:$W660),"")</f>
        <v>0.64633440561885</v>
      </c>
      <c r="AG660" s="0" t="n">
        <f aca="false">IFERROR(CORREL($X660:$AA660,$AB660:$AE660),"")</f>
        <v>0.4</v>
      </c>
      <c r="AH660" s="0" t="n">
        <f aca="false">IFERROR((SIGN($P660-$Q660)*SIGN($T660-$U660)+SIGN($P660-$R660)*SIGN($T660-$V660)+SIGN($P660-$S660)*SIGN($T660-$W660)+SIGN($Q660-$R660)*SIGN($U660-$V660)+SIGN($Q660-$S660)*SIGN($U660-$W660)+SIGN($R660-$S660)*SIGN($V660-$W660))/SQRT((6-(($P660=$Q660)*1+($P660=$R660)*1+($P660=$S660)*1+($Q660=$R660)*1+($Q660=$S660)*1+($R660=$S660)*1))*(6-(($T660=$U660)*1+($T660=$V660)*1+($T660=$W660)*1+($U660=$V660)*1+($U660=$W660)*1+($V660=$W660)*1))),"")</f>
        <v>0.333333333333333</v>
      </c>
      <c r="AI660" s="0" t="n">
        <f aca="false">MATCH(MAX($K660:$O660),$K660:$O660,0)</f>
        <v>1</v>
      </c>
      <c r="AJ660" s="0" t="n">
        <f aca="false">IF(AI660&lt;&gt;$E660,1,0)</f>
        <v>1</v>
      </c>
      <c r="AK660" s="0" t="n">
        <f aca="false">IF(AJ660=1,INDEX($F660:$J660,AI660)/MAX($P660:$S660),"")</f>
        <v>1</v>
      </c>
      <c r="AL660" s="0" t="n">
        <f aca="false">IF(AJ660=1,1+COUNTIF($P660:$S660,"&gt;"&amp;INDEX($F660:$J660,AI660)),"")</f>
        <v>1</v>
      </c>
      <c r="AM660" s="0" t="n">
        <f aca="false">AVERAGE($P660:$S660)/MAX($P660:$S660)</f>
        <v>0.675970873786408</v>
      </c>
      <c r="AN660" s="0" t="n">
        <f aca="false">100-INDEX($F660:$J660,$E660)</f>
        <v>75.3</v>
      </c>
    </row>
    <row r="661" customFormat="false" ht="15" hidden="false" customHeight="false" outlineLevel="0" collapsed="false">
      <c r="A661" s="0" t="s">
        <v>61</v>
      </c>
      <c r="B661" s="0" t="n">
        <v>2017</v>
      </c>
      <c r="C661" s="0" t="s">
        <v>58</v>
      </c>
      <c r="D661" s="0" t="s">
        <v>45</v>
      </c>
      <c r="E661" s="0" t="n">
        <v>1</v>
      </c>
      <c r="F661" s="0" t="n">
        <v>19.2</v>
      </c>
      <c r="G661" s="0" t="n">
        <v>21.8</v>
      </c>
      <c r="H661" s="0" t="n">
        <v>12.4</v>
      </c>
      <c r="I661" s="0" t="n">
        <v>12.7</v>
      </c>
      <c r="J661" s="0" t="n">
        <v>12.6</v>
      </c>
      <c r="K661" s="0" t="n">
        <v>15.5964538067</v>
      </c>
      <c r="L661" s="0" t="n">
        <v>9.81063237687</v>
      </c>
      <c r="M661" s="0" t="n">
        <v>61.5994742776</v>
      </c>
      <c r="N661" s="0" t="n">
        <v>4.61985039389</v>
      </c>
      <c r="O661" s="0" t="n">
        <v>8.37358914495</v>
      </c>
      <c r="P661" s="0" t="n">
        <f aca="false">INDEX($F661:$J661,IF(1&lt;$E661,1,1+1))</f>
        <v>21.8</v>
      </c>
      <c r="Q661" s="0" t="n">
        <f aca="false">INDEX($F661:$J661,IF(2&lt;$E661,2,2+1))</f>
        <v>12.4</v>
      </c>
      <c r="R661" s="0" t="n">
        <f aca="false">INDEX($F661:$J661,IF(3&lt;$E661,3,3+1))</f>
        <v>12.7</v>
      </c>
      <c r="S661" s="0" t="n">
        <f aca="false">INDEX($F661:$J661,IF(4&lt;$E661,4,4+1))</f>
        <v>12.6</v>
      </c>
      <c r="T661" s="0" t="n">
        <f aca="false">INDEX($K661:$O661,IF(1&lt;$E661,1,1+1))</f>
        <v>9.81063237687</v>
      </c>
      <c r="U661" s="0" t="n">
        <f aca="false">INDEX($K661:$O661,IF(2&lt;$E661,2,2+1))</f>
        <v>61.5994742776</v>
      </c>
      <c r="V661" s="0" t="n">
        <f aca="false">INDEX($K661:$O661,IF(3&lt;$E661,3,3+1))</f>
        <v>4.61985039389</v>
      </c>
      <c r="W661" s="0" t="n">
        <f aca="false">INDEX($K661:$O661,IF(4&lt;$E661,4,4+1))</f>
        <v>8.37358914495</v>
      </c>
      <c r="X661" s="0" t="n">
        <f aca="false">1+COUNTIF($P661:$S661,"&gt;"&amp;$P661)+(COUNTIF($P661:$S661,$P661)-1)/2</f>
        <v>1</v>
      </c>
      <c r="Y661" s="0" t="n">
        <f aca="false">1+COUNTIF($P661:$S661,"&gt;"&amp;$Q661)+(COUNTIF($P661:$S661,$Q661)-1)/2</f>
        <v>4</v>
      </c>
      <c r="Z661" s="0" t="n">
        <f aca="false">1+COUNTIF($P661:$S661,"&gt;"&amp;$R661)+(COUNTIF($P661:$S661,$R661)-1)/2</f>
        <v>2</v>
      </c>
      <c r="AA661" s="0" t="n">
        <f aca="false">1+COUNTIF($P661:$S661,"&gt;"&amp;$S661)+(COUNTIF($P661:$S661,$S661)-1)/2</f>
        <v>3</v>
      </c>
      <c r="AB661" s="0" t="n">
        <f aca="false">1+COUNTIF($T661:$W661,"&gt;"&amp;$T661)+(COUNTIF($T661:$W661,$T661)-1)/2</f>
        <v>2</v>
      </c>
      <c r="AC661" s="0" t="n">
        <f aca="false">1+COUNTIF($T661:$W661,"&gt;"&amp;$U661)+(COUNTIF($T661:$W661,$U661)-1)/2</f>
        <v>1</v>
      </c>
      <c r="AD661" s="0" t="n">
        <f aca="false">1+COUNTIF($T661:$W661,"&gt;"&amp;$V661)+(COUNTIF($T661:$W661,$V661)-1)/2</f>
        <v>4</v>
      </c>
      <c r="AE661" s="0" t="n">
        <f aca="false">1+COUNTIF($T661:$W661,"&gt;"&amp;$W661)+(COUNTIF($T661:$W661,$W661)-1)/2</f>
        <v>3</v>
      </c>
      <c r="AF661" s="0" t="n">
        <f aca="false">IFERROR(CORREL($P661:$S661,$T661:$W661),"")</f>
        <v>-0.302739462683422</v>
      </c>
      <c r="AG661" s="0" t="n">
        <f aca="false">IFERROR(CORREL($X661:$AA661,$AB661:$AE661),"")</f>
        <v>-0.4</v>
      </c>
      <c r="AH661" s="0" t="n">
        <f aca="false">IFERROR((SIGN($P661-$Q661)*SIGN($T661-$U661)+SIGN($P661-$R661)*SIGN($T661-$V661)+SIGN($P661-$S661)*SIGN($T661-$W661)+SIGN($Q661-$R661)*SIGN($U661-$V661)+SIGN($Q661-$S661)*SIGN($U661-$W661)+SIGN($R661-$S661)*SIGN($V661-$W661))/SQRT((6-(($P661=$Q661)*1+($P661=$R661)*1+($P661=$S661)*1+($Q661=$R661)*1+($Q661=$S661)*1+($R661=$S661)*1))*(6-(($T661=$U661)*1+($T661=$V661)*1+($T661=$W661)*1+($U661=$V661)*1+($U661=$W661)*1+($V661=$W661)*1))),"")</f>
        <v>-0.333333333333333</v>
      </c>
      <c r="AI661" s="0" t="n">
        <f aca="false">MATCH(MAX($K661:$O661),$K661:$O661,0)</f>
        <v>3</v>
      </c>
      <c r="AJ661" s="0" t="n">
        <f aca="false">IF(AI661&lt;&gt;$E661,1,0)</f>
        <v>1</v>
      </c>
      <c r="AK661" s="0" t="n">
        <f aca="false">IF(AJ661=1,INDEX($F661:$J661,AI661)/MAX($P661:$S661),"")</f>
        <v>0.568807339449541</v>
      </c>
      <c r="AL661" s="0" t="n">
        <f aca="false">IF(AJ661=1,1+COUNTIF($P661:$S661,"&gt;"&amp;INDEX($F661:$J661,AI661)),"")</f>
        <v>4</v>
      </c>
      <c r="AM661" s="0" t="n">
        <f aca="false">AVERAGE($P661:$S661)/MAX($P661:$S661)</f>
        <v>0.682339449541284</v>
      </c>
      <c r="AN661" s="0" t="n">
        <f aca="false">100-INDEX($F661:$J661,$E661)</f>
        <v>80.8</v>
      </c>
    </row>
    <row r="662" customFormat="false" ht="15" hidden="false" customHeight="false" outlineLevel="0" collapsed="false">
      <c r="A662" s="0" t="s">
        <v>61</v>
      </c>
      <c r="B662" s="0" t="n">
        <v>2017</v>
      </c>
      <c r="C662" s="0" t="s">
        <v>49</v>
      </c>
      <c r="D662" s="0" t="s">
        <v>42</v>
      </c>
      <c r="E662" s="0" t="n">
        <v>1</v>
      </c>
      <c r="F662" s="0" t="n">
        <v>36.4</v>
      </c>
      <c r="G662" s="0" t="n">
        <v>9.5</v>
      </c>
      <c r="H662" s="0" t="n">
        <v>6.4</v>
      </c>
      <c r="I662" s="0" t="n">
        <v>15.7</v>
      </c>
      <c r="J662" s="0" t="n">
        <v>11.5</v>
      </c>
      <c r="K662" s="0" t="n">
        <v>98.6642473338</v>
      </c>
      <c r="L662" s="0" t="n">
        <v>1.06951409016</v>
      </c>
      <c r="M662" s="0" t="n">
        <v>0.00970776896261</v>
      </c>
      <c r="N662" s="0" t="n">
        <v>0.00460767759739</v>
      </c>
      <c r="O662" s="0" t="n">
        <v>0.251923129431</v>
      </c>
      <c r="P662" s="0" t="n">
        <f aca="false">INDEX($F662:$J662,IF(1&lt;$E662,1,1+1))</f>
        <v>9.5</v>
      </c>
      <c r="Q662" s="0" t="n">
        <f aca="false">INDEX($F662:$J662,IF(2&lt;$E662,2,2+1))</f>
        <v>6.4</v>
      </c>
      <c r="R662" s="0" t="n">
        <f aca="false">INDEX($F662:$J662,IF(3&lt;$E662,3,3+1))</f>
        <v>15.7</v>
      </c>
      <c r="S662" s="0" t="n">
        <f aca="false">INDEX($F662:$J662,IF(4&lt;$E662,4,4+1))</f>
        <v>11.5</v>
      </c>
      <c r="T662" s="0" t="n">
        <f aca="false">INDEX($K662:$O662,IF(1&lt;$E662,1,1+1))</f>
        <v>1.06951409016</v>
      </c>
      <c r="U662" s="0" t="n">
        <f aca="false">INDEX($K662:$O662,IF(2&lt;$E662,2,2+1))</f>
        <v>0.00970776896261</v>
      </c>
      <c r="V662" s="0" t="n">
        <f aca="false">INDEX($K662:$O662,IF(3&lt;$E662,3,3+1))</f>
        <v>0.00460767759739</v>
      </c>
      <c r="W662" s="0" t="n">
        <f aca="false">INDEX($K662:$O662,IF(4&lt;$E662,4,4+1))</f>
        <v>0.251923129431</v>
      </c>
      <c r="X662" s="0" t="n">
        <f aca="false">1+COUNTIF($P662:$S662,"&gt;"&amp;$P662)+(COUNTIF($P662:$S662,$P662)-1)/2</f>
        <v>3</v>
      </c>
      <c r="Y662" s="0" t="n">
        <f aca="false">1+COUNTIF($P662:$S662,"&gt;"&amp;$Q662)+(COUNTIF($P662:$S662,$Q662)-1)/2</f>
        <v>4</v>
      </c>
      <c r="Z662" s="0" t="n">
        <f aca="false">1+COUNTIF($P662:$S662,"&gt;"&amp;$R662)+(COUNTIF($P662:$S662,$R662)-1)/2</f>
        <v>1</v>
      </c>
      <c r="AA662" s="0" t="n">
        <f aca="false">1+COUNTIF($P662:$S662,"&gt;"&amp;$S662)+(COUNTIF($P662:$S662,$S662)-1)/2</f>
        <v>2</v>
      </c>
      <c r="AB662" s="0" t="n">
        <f aca="false">1+COUNTIF($T662:$W662,"&gt;"&amp;$T662)+(COUNTIF($T662:$W662,$T662)-1)/2</f>
        <v>1</v>
      </c>
      <c r="AC662" s="0" t="n">
        <f aca="false">1+COUNTIF($T662:$W662,"&gt;"&amp;$U662)+(COUNTIF($T662:$W662,$U662)-1)/2</f>
        <v>3</v>
      </c>
      <c r="AD662" s="0" t="n">
        <f aca="false">1+COUNTIF($T662:$W662,"&gt;"&amp;$V662)+(COUNTIF($T662:$W662,$V662)-1)/2</f>
        <v>4</v>
      </c>
      <c r="AE662" s="0" t="n">
        <f aca="false">1+COUNTIF($T662:$W662,"&gt;"&amp;$W662)+(COUNTIF($T662:$W662,$W662)-1)/2</f>
        <v>2</v>
      </c>
      <c r="AF662" s="0" t="n">
        <f aca="false">IFERROR(CORREL($P662:$S662,$T662:$W662),"")</f>
        <v>-0.20390332435435</v>
      </c>
      <c r="AG662" s="0" t="n">
        <f aca="false">IFERROR(CORREL($X662:$AA662,$AB662:$AE662),"")</f>
        <v>-0.4</v>
      </c>
      <c r="AH662" s="0" t="n">
        <f aca="false">IFERROR((SIGN($P662-$Q662)*SIGN($T662-$U662)+SIGN($P662-$R662)*SIGN($T662-$V662)+SIGN($P662-$S662)*SIGN($T662-$W662)+SIGN($Q662-$R662)*SIGN($U662-$V662)+SIGN($Q662-$S662)*SIGN($U662-$W662)+SIGN($R662-$S662)*SIGN($V662-$W662))/SQRT((6-(($P662=$Q662)*1+($P662=$R662)*1+($P662=$S662)*1+($Q662=$R662)*1+($Q662=$S662)*1+($R662=$S662)*1))*(6-(($T662=$U662)*1+($T662=$V662)*1+($T662=$W662)*1+($U662=$V662)*1+($U662=$W662)*1+($V662=$W662)*1))),"")</f>
        <v>-0.333333333333333</v>
      </c>
      <c r="AI662" s="0" t="n">
        <f aca="false">MATCH(MAX($K662:$O662),$K662:$O662,0)</f>
        <v>1</v>
      </c>
      <c r="AJ662" s="0" t="n">
        <f aca="false">IF(AI662&lt;&gt;$E662,1,0)</f>
        <v>0</v>
      </c>
      <c r="AK662" s="0" t="str">
        <f aca="false">IF(AJ662=1,INDEX($F662:$J662,AI662)/MAX($P662:$S662),"")</f>
        <v/>
      </c>
      <c r="AL662" s="0" t="str">
        <f aca="false">IF(AJ662=1,1+COUNTIF($P662:$S662,"&gt;"&amp;INDEX($F662:$J662,AI662)),"")</f>
        <v/>
      </c>
      <c r="AM662" s="0" t="n">
        <f aca="false">AVERAGE($P662:$S662)/MAX($P662:$S662)</f>
        <v>0.686305732484076</v>
      </c>
      <c r="AN662" s="0" t="n">
        <f aca="false">100-INDEX($F662:$J662,$E662)</f>
        <v>63.6</v>
      </c>
    </row>
    <row r="663" customFormat="false" ht="15" hidden="false" customHeight="false" outlineLevel="0" collapsed="false">
      <c r="A663" s="0" t="s">
        <v>61</v>
      </c>
      <c r="B663" s="0" t="n">
        <v>2017</v>
      </c>
      <c r="C663" s="0" t="s">
        <v>49</v>
      </c>
      <c r="D663" s="0" t="s">
        <v>44</v>
      </c>
      <c r="E663" s="0" t="n">
        <v>2</v>
      </c>
      <c r="F663" s="0" t="n">
        <v>11.2</v>
      </c>
      <c r="G663" s="0" t="n">
        <v>45.8</v>
      </c>
      <c r="H663" s="0" t="n">
        <v>7.4</v>
      </c>
      <c r="I663" s="0" t="n">
        <v>7.6</v>
      </c>
      <c r="J663" s="0" t="n">
        <v>6.5</v>
      </c>
      <c r="K663" s="0" t="n">
        <v>25.3020010181</v>
      </c>
      <c r="L663" s="0" t="n">
        <v>19.6394085858</v>
      </c>
      <c r="M663" s="0" t="n">
        <v>0.736919829578</v>
      </c>
      <c r="N663" s="0" t="n">
        <v>43.3836514738</v>
      </c>
      <c r="O663" s="0" t="n">
        <v>10.9380190928</v>
      </c>
      <c r="P663" s="0" t="n">
        <f aca="false">INDEX($F663:$J663,IF(1&lt;$E663,1,1+1))</f>
        <v>11.2</v>
      </c>
      <c r="Q663" s="0" t="n">
        <f aca="false">INDEX($F663:$J663,IF(2&lt;$E663,2,2+1))</f>
        <v>7.4</v>
      </c>
      <c r="R663" s="0" t="n">
        <f aca="false">INDEX($F663:$J663,IF(3&lt;$E663,3,3+1))</f>
        <v>7.6</v>
      </c>
      <c r="S663" s="0" t="n">
        <f aca="false">INDEX($F663:$J663,IF(4&lt;$E663,4,4+1))</f>
        <v>6.5</v>
      </c>
      <c r="T663" s="0" t="n">
        <f aca="false">INDEX($K663:$O663,IF(1&lt;$E663,1,1+1))</f>
        <v>25.3020010181</v>
      </c>
      <c r="U663" s="0" t="n">
        <f aca="false">INDEX($K663:$O663,IF(2&lt;$E663,2,2+1))</f>
        <v>0.736919829578</v>
      </c>
      <c r="V663" s="0" t="n">
        <f aca="false">INDEX($K663:$O663,IF(3&lt;$E663,3,3+1))</f>
        <v>43.3836514738</v>
      </c>
      <c r="W663" s="0" t="n">
        <f aca="false">INDEX($K663:$O663,IF(4&lt;$E663,4,4+1))</f>
        <v>10.9380190928</v>
      </c>
      <c r="X663" s="0" t="n">
        <f aca="false">1+COUNTIF($P663:$S663,"&gt;"&amp;$P663)+(COUNTIF($P663:$S663,$P663)-1)/2</f>
        <v>1</v>
      </c>
      <c r="Y663" s="0" t="n">
        <f aca="false">1+COUNTIF($P663:$S663,"&gt;"&amp;$Q663)+(COUNTIF($P663:$S663,$Q663)-1)/2</f>
        <v>3</v>
      </c>
      <c r="Z663" s="0" t="n">
        <f aca="false">1+COUNTIF($P663:$S663,"&gt;"&amp;$R663)+(COUNTIF($P663:$S663,$R663)-1)/2</f>
        <v>2</v>
      </c>
      <c r="AA663" s="0" t="n">
        <f aca="false">1+COUNTIF($P663:$S663,"&gt;"&amp;$S663)+(COUNTIF($P663:$S663,$S663)-1)/2</f>
        <v>4</v>
      </c>
      <c r="AB663" s="0" t="n">
        <f aca="false">1+COUNTIF($T663:$W663,"&gt;"&amp;$T663)+(COUNTIF($T663:$W663,$T663)-1)/2</f>
        <v>2</v>
      </c>
      <c r="AC663" s="0" t="n">
        <f aca="false">1+COUNTIF($T663:$W663,"&gt;"&amp;$U663)+(COUNTIF($T663:$W663,$U663)-1)/2</f>
        <v>4</v>
      </c>
      <c r="AD663" s="0" t="n">
        <f aca="false">1+COUNTIF($T663:$W663,"&gt;"&amp;$V663)+(COUNTIF($T663:$W663,$V663)-1)/2</f>
        <v>1</v>
      </c>
      <c r="AE663" s="0" t="n">
        <f aca="false">1+COUNTIF($T663:$W663,"&gt;"&amp;$W663)+(COUNTIF($T663:$W663,$W663)-1)/2</f>
        <v>3</v>
      </c>
      <c r="AF663" s="0" t="n">
        <f aca="false">IFERROR(CORREL($P663:$S663,$T663:$W663),"")</f>
        <v>0.284094620499266</v>
      </c>
      <c r="AG663" s="0" t="n">
        <f aca="false">IFERROR(CORREL($X663:$AA663,$AB663:$AE663),"")</f>
        <v>0.6</v>
      </c>
      <c r="AH663" s="0" t="n">
        <f aca="false">IFERROR((SIGN($P663-$Q663)*SIGN($T663-$U663)+SIGN($P663-$R663)*SIGN($T663-$V663)+SIGN($P663-$S663)*SIGN($T663-$W663)+SIGN($Q663-$R663)*SIGN($U663-$V663)+SIGN($Q663-$S663)*SIGN($U663-$W663)+SIGN($R663-$S663)*SIGN($V663-$W663))/SQRT((6-(($P663=$Q663)*1+($P663=$R663)*1+($P663=$S663)*1+($Q663=$R663)*1+($Q663=$S663)*1+($R663=$S663)*1))*(6-(($T663=$U663)*1+($T663=$V663)*1+($T663=$W663)*1+($U663=$V663)*1+($U663=$W663)*1+($V663=$W663)*1))),"")</f>
        <v>0.333333333333333</v>
      </c>
      <c r="AI663" s="0" t="n">
        <f aca="false">MATCH(MAX($K663:$O663),$K663:$O663,0)</f>
        <v>4</v>
      </c>
      <c r="AJ663" s="0" t="n">
        <f aca="false">IF(AI663&lt;&gt;$E663,1,0)</f>
        <v>1</v>
      </c>
      <c r="AK663" s="0" t="n">
        <f aca="false">IF(AJ663=1,INDEX($F663:$J663,AI663)/MAX($P663:$S663),"")</f>
        <v>0.678571428571429</v>
      </c>
      <c r="AL663" s="0" t="n">
        <f aca="false">IF(AJ663=1,1+COUNTIF($P663:$S663,"&gt;"&amp;INDEX($F663:$J663,AI663)),"")</f>
        <v>2</v>
      </c>
      <c r="AM663" s="0" t="n">
        <f aca="false">AVERAGE($P663:$S663)/MAX($P663:$S663)</f>
        <v>0.729910714285714</v>
      </c>
      <c r="AN663" s="0" t="n">
        <f aca="false">100-INDEX($F663:$J663,$E663)</f>
        <v>54.2</v>
      </c>
    </row>
    <row r="664" customFormat="false" ht="15" hidden="false" customHeight="false" outlineLevel="0" collapsed="false">
      <c r="A664" s="0" t="s">
        <v>61</v>
      </c>
      <c r="B664" s="0" t="n">
        <v>2017</v>
      </c>
      <c r="C664" s="0" t="s">
        <v>49</v>
      </c>
      <c r="D664" s="0" t="s">
        <v>45</v>
      </c>
      <c r="E664" s="0" t="n">
        <v>3</v>
      </c>
      <c r="F664" s="0" t="n">
        <v>15.9</v>
      </c>
      <c r="G664" s="0" t="n">
        <v>12.1</v>
      </c>
      <c r="H664" s="0" t="n">
        <v>35.7</v>
      </c>
      <c r="I664" s="0" t="n">
        <v>9</v>
      </c>
      <c r="J664" s="0" t="n">
        <v>5.6</v>
      </c>
      <c r="K664" s="0" t="n">
        <v>14.6431851697</v>
      </c>
      <c r="L664" s="0" t="n">
        <v>28.416510427</v>
      </c>
      <c r="M664" s="0" t="n">
        <v>25.865505755</v>
      </c>
      <c r="N664" s="0" t="n">
        <v>13.1788949111</v>
      </c>
      <c r="O664" s="0" t="n">
        <v>17.8959037372</v>
      </c>
      <c r="P664" s="0" t="n">
        <f aca="false">INDEX($F664:$J664,IF(1&lt;$E664,1,1+1))</f>
        <v>15.9</v>
      </c>
      <c r="Q664" s="0" t="n">
        <f aca="false">INDEX($F664:$J664,IF(2&lt;$E664,2,2+1))</f>
        <v>12.1</v>
      </c>
      <c r="R664" s="0" t="n">
        <f aca="false">INDEX($F664:$J664,IF(3&lt;$E664,3,3+1))</f>
        <v>9</v>
      </c>
      <c r="S664" s="0" t="n">
        <f aca="false">INDEX($F664:$J664,IF(4&lt;$E664,4,4+1))</f>
        <v>5.6</v>
      </c>
      <c r="T664" s="0" t="n">
        <f aca="false">INDEX($K664:$O664,IF(1&lt;$E664,1,1+1))</f>
        <v>14.6431851697</v>
      </c>
      <c r="U664" s="0" t="n">
        <f aca="false">INDEX($K664:$O664,IF(2&lt;$E664,2,2+1))</f>
        <v>28.416510427</v>
      </c>
      <c r="V664" s="0" t="n">
        <f aca="false">INDEX($K664:$O664,IF(3&lt;$E664,3,3+1))</f>
        <v>13.1788949111</v>
      </c>
      <c r="W664" s="0" t="n">
        <f aca="false">INDEX($K664:$O664,IF(4&lt;$E664,4,4+1))</f>
        <v>17.8959037372</v>
      </c>
      <c r="X664" s="0" t="n">
        <f aca="false">1+COUNTIF($P664:$S664,"&gt;"&amp;$P664)+(COUNTIF($P664:$S664,$P664)-1)/2</f>
        <v>1</v>
      </c>
      <c r="Y664" s="0" t="n">
        <f aca="false">1+COUNTIF($P664:$S664,"&gt;"&amp;$Q664)+(COUNTIF($P664:$S664,$Q664)-1)/2</f>
        <v>2</v>
      </c>
      <c r="Z664" s="0" t="n">
        <f aca="false">1+COUNTIF($P664:$S664,"&gt;"&amp;$R664)+(COUNTIF($P664:$S664,$R664)-1)/2</f>
        <v>3</v>
      </c>
      <c r="AA664" s="0" t="n">
        <f aca="false">1+COUNTIF($P664:$S664,"&gt;"&amp;$S664)+(COUNTIF($P664:$S664,$S664)-1)/2</f>
        <v>4</v>
      </c>
      <c r="AB664" s="0" t="n">
        <f aca="false">1+COUNTIF($T664:$W664,"&gt;"&amp;$T664)+(COUNTIF($T664:$W664,$T664)-1)/2</f>
        <v>3</v>
      </c>
      <c r="AC664" s="0" t="n">
        <f aca="false">1+COUNTIF($T664:$W664,"&gt;"&amp;$U664)+(COUNTIF($T664:$W664,$U664)-1)/2</f>
        <v>1</v>
      </c>
      <c r="AD664" s="0" t="n">
        <f aca="false">1+COUNTIF($T664:$W664,"&gt;"&amp;$V664)+(COUNTIF($T664:$W664,$V664)-1)/2</f>
        <v>4</v>
      </c>
      <c r="AE664" s="0" t="n">
        <f aca="false">1+COUNTIF($T664:$W664,"&gt;"&amp;$W664)+(COUNTIF($T664:$W664,$W664)-1)/2</f>
        <v>2</v>
      </c>
      <c r="AF664" s="0" t="n">
        <f aca="false">IFERROR(CORREL($P664:$S664,$T664:$W664),"")</f>
        <v>0.0657747055358272</v>
      </c>
      <c r="AG664" s="0" t="n">
        <f aca="false">IFERROR(CORREL($X664:$AA664,$AB664:$AE664),"")</f>
        <v>0</v>
      </c>
      <c r="AH664" s="0" t="n">
        <f aca="false">IFERROR((SIGN($P664-$Q664)*SIGN($T664-$U664)+SIGN($P664-$R664)*SIGN($T664-$V664)+SIGN($P664-$S664)*SIGN($T664-$W664)+SIGN($Q664-$R664)*SIGN($U664-$V664)+SIGN($Q664-$S664)*SIGN($U664-$W664)+SIGN($R664-$S664)*SIGN($V664-$W664))/SQRT((6-(($P664=$Q664)*1+($P664=$R664)*1+($P664=$S664)*1+($Q664=$R664)*1+($Q664=$S664)*1+($R664=$S664)*1))*(6-(($T664=$U664)*1+($T664=$V664)*1+($T664=$W664)*1+($U664=$V664)*1+($U664=$W664)*1+($V664=$W664)*1))),"")</f>
        <v>0</v>
      </c>
      <c r="AI664" s="0" t="n">
        <f aca="false">MATCH(MAX($K664:$O664),$K664:$O664,0)</f>
        <v>2</v>
      </c>
      <c r="AJ664" s="0" t="n">
        <f aca="false">IF(AI664&lt;&gt;$E664,1,0)</f>
        <v>1</v>
      </c>
      <c r="AK664" s="0" t="n">
        <f aca="false">IF(AJ664=1,INDEX($F664:$J664,AI664)/MAX($P664:$S664),"")</f>
        <v>0.761006289308176</v>
      </c>
      <c r="AL664" s="0" t="n">
        <f aca="false">IF(AJ664=1,1+COUNTIF($P664:$S664,"&gt;"&amp;INDEX($F664:$J664,AI664)),"")</f>
        <v>2</v>
      </c>
      <c r="AM664" s="0" t="n">
        <f aca="false">AVERAGE($P664:$S664)/MAX($P664:$S664)</f>
        <v>0.669811320754717</v>
      </c>
      <c r="AN664" s="0" t="n">
        <f aca="false">100-INDEX($F664:$J664,$E664)</f>
        <v>64.3</v>
      </c>
    </row>
    <row r="665" customFormat="false" ht="15" hidden="false" customHeight="false" outlineLevel="0" collapsed="false">
      <c r="A665" s="0" t="s">
        <v>61</v>
      </c>
      <c r="B665" s="0" t="n">
        <v>2017</v>
      </c>
      <c r="C665" s="0" t="s">
        <v>51</v>
      </c>
      <c r="D665" s="0" t="s">
        <v>44</v>
      </c>
      <c r="E665" s="0" t="n">
        <v>2</v>
      </c>
      <c r="F665" s="0" t="n">
        <v>10.8</v>
      </c>
      <c r="G665" s="0" t="n">
        <v>36.8</v>
      </c>
      <c r="H665" s="0" t="n">
        <v>10.9</v>
      </c>
      <c r="I665" s="0" t="n">
        <v>10</v>
      </c>
      <c r="J665" s="0" t="n">
        <v>14</v>
      </c>
      <c r="K665" s="0" t="n">
        <v>40.5822707016</v>
      </c>
      <c r="L665" s="0" t="n">
        <v>14.3539678107</v>
      </c>
      <c r="M665" s="0" t="n">
        <v>14.383847103</v>
      </c>
      <c r="N665" s="0" t="n">
        <v>3.681969524</v>
      </c>
      <c r="O665" s="0" t="n">
        <v>26.9979448607</v>
      </c>
      <c r="P665" s="0" t="n">
        <f aca="false">INDEX($F665:$J665,IF(1&lt;$E665,1,1+1))</f>
        <v>10.8</v>
      </c>
      <c r="Q665" s="0" t="n">
        <f aca="false">INDEX($F665:$J665,IF(2&lt;$E665,2,2+1))</f>
        <v>10.9</v>
      </c>
      <c r="R665" s="0" t="n">
        <f aca="false">INDEX($F665:$J665,IF(3&lt;$E665,3,3+1))</f>
        <v>10</v>
      </c>
      <c r="S665" s="0" t="n">
        <f aca="false">INDEX($F665:$J665,IF(4&lt;$E665,4,4+1))</f>
        <v>14</v>
      </c>
      <c r="T665" s="0" t="n">
        <f aca="false">INDEX($K665:$O665,IF(1&lt;$E665,1,1+1))</f>
        <v>40.5822707016</v>
      </c>
      <c r="U665" s="0" t="n">
        <f aca="false">INDEX($K665:$O665,IF(2&lt;$E665,2,2+1))</f>
        <v>14.383847103</v>
      </c>
      <c r="V665" s="0" t="n">
        <f aca="false">INDEX($K665:$O665,IF(3&lt;$E665,3,3+1))</f>
        <v>3.681969524</v>
      </c>
      <c r="W665" s="0" t="n">
        <f aca="false">INDEX($K665:$O665,IF(4&lt;$E665,4,4+1))</f>
        <v>26.9979448607</v>
      </c>
      <c r="X665" s="0" t="n">
        <f aca="false">1+COUNTIF($P665:$S665,"&gt;"&amp;$P665)+(COUNTIF($P665:$S665,$P665)-1)/2</f>
        <v>3</v>
      </c>
      <c r="Y665" s="0" t="n">
        <f aca="false">1+COUNTIF($P665:$S665,"&gt;"&amp;$Q665)+(COUNTIF($P665:$S665,$Q665)-1)/2</f>
        <v>2</v>
      </c>
      <c r="Z665" s="0" t="n">
        <f aca="false">1+COUNTIF($P665:$S665,"&gt;"&amp;$R665)+(COUNTIF($P665:$S665,$R665)-1)/2</f>
        <v>4</v>
      </c>
      <c r="AA665" s="0" t="n">
        <f aca="false">1+COUNTIF($P665:$S665,"&gt;"&amp;$S665)+(COUNTIF($P665:$S665,$S665)-1)/2</f>
        <v>1</v>
      </c>
      <c r="AB665" s="0" t="n">
        <f aca="false">1+COUNTIF($T665:$W665,"&gt;"&amp;$T665)+(COUNTIF($T665:$W665,$T665)-1)/2</f>
        <v>1</v>
      </c>
      <c r="AC665" s="0" t="n">
        <f aca="false">1+COUNTIF($T665:$W665,"&gt;"&amp;$U665)+(COUNTIF($T665:$W665,$U665)-1)/2</f>
        <v>3</v>
      </c>
      <c r="AD665" s="0" t="n">
        <f aca="false">1+COUNTIF($T665:$W665,"&gt;"&amp;$V665)+(COUNTIF($T665:$W665,$V665)-1)/2</f>
        <v>4</v>
      </c>
      <c r="AE665" s="0" t="n">
        <f aca="false">1+COUNTIF($T665:$W665,"&gt;"&amp;$W665)+(COUNTIF($T665:$W665,$W665)-1)/2</f>
        <v>2</v>
      </c>
      <c r="AF665" s="0" t="n">
        <f aca="false">IFERROR(CORREL($P665:$S665,$T665:$W665),"")</f>
        <v>0.371836759855179</v>
      </c>
      <c r="AG665" s="0" t="n">
        <f aca="false">IFERROR(CORREL($X665:$AA665,$AB665:$AE665),"")</f>
        <v>0.4</v>
      </c>
      <c r="AH665" s="0" t="n">
        <f aca="false">IFERROR((SIGN($P665-$Q665)*SIGN($T665-$U665)+SIGN($P665-$R665)*SIGN($T665-$V665)+SIGN($P665-$S665)*SIGN($T665-$W665)+SIGN($Q665-$R665)*SIGN($U665-$V665)+SIGN($Q665-$S665)*SIGN($U665-$W665)+SIGN($R665-$S665)*SIGN($V665-$W665))/SQRT((6-(($P665=$Q665)*1+($P665=$R665)*1+($P665=$S665)*1+($Q665=$R665)*1+($Q665=$S665)*1+($R665=$S665)*1))*(6-(($T665=$U665)*1+($T665=$V665)*1+($T665=$W665)*1+($U665=$V665)*1+($U665=$W665)*1+($V665=$W665)*1))),"")</f>
        <v>0.333333333333333</v>
      </c>
      <c r="AI665" s="0" t="n">
        <f aca="false">MATCH(MAX($K665:$O665),$K665:$O665,0)</f>
        <v>1</v>
      </c>
      <c r="AJ665" s="0" t="n">
        <f aca="false">IF(AI665&lt;&gt;$E665,1,0)</f>
        <v>1</v>
      </c>
      <c r="AK665" s="0" t="n">
        <f aca="false">IF(AJ665=1,INDEX($F665:$J665,AI665)/MAX($P665:$S665),"")</f>
        <v>0.771428571428572</v>
      </c>
      <c r="AL665" s="0" t="n">
        <f aca="false">IF(AJ665=1,1+COUNTIF($P665:$S665,"&gt;"&amp;INDEX($F665:$J665,AI665)),"")</f>
        <v>3</v>
      </c>
      <c r="AM665" s="0" t="n">
        <f aca="false">AVERAGE($P665:$S665)/MAX($P665:$S665)</f>
        <v>0.816071428571429</v>
      </c>
      <c r="AN665" s="0" t="n">
        <f aca="false">100-INDEX($F665:$J665,$E665)</f>
        <v>63.2</v>
      </c>
    </row>
    <row r="666" customFormat="false" ht="15" hidden="false" customHeight="false" outlineLevel="0" collapsed="false">
      <c r="A666" s="0" t="s">
        <v>61</v>
      </c>
      <c r="B666" s="0" t="n">
        <v>2017</v>
      </c>
      <c r="C666" s="0" t="s">
        <v>51</v>
      </c>
      <c r="D666" s="0" t="s">
        <v>45</v>
      </c>
      <c r="E666" s="0" t="n">
        <v>5</v>
      </c>
      <c r="F666" s="0" t="n">
        <v>10.5</v>
      </c>
      <c r="G666" s="0" t="n">
        <v>15.8</v>
      </c>
      <c r="H666" s="0" t="n">
        <v>9.1</v>
      </c>
      <c r="I666" s="0" t="n">
        <v>8.9</v>
      </c>
      <c r="J666" s="0" t="n">
        <v>37.9</v>
      </c>
      <c r="K666" s="0" t="n">
        <v>6.81901459571</v>
      </c>
      <c r="L666" s="0" t="n">
        <v>34.587126943</v>
      </c>
      <c r="M666" s="0" t="n">
        <v>45.2474088873</v>
      </c>
      <c r="N666" s="0" t="n">
        <v>10.499605902</v>
      </c>
      <c r="O666" s="0" t="n">
        <v>2.84684367195</v>
      </c>
      <c r="P666" s="0" t="n">
        <f aca="false">INDEX($F666:$J666,IF(1&lt;$E666,1,1+1))</f>
        <v>10.5</v>
      </c>
      <c r="Q666" s="0" t="n">
        <f aca="false">INDEX($F666:$J666,IF(2&lt;$E666,2,2+1))</f>
        <v>15.8</v>
      </c>
      <c r="R666" s="0" t="n">
        <f aca="false">INDEX($F666:$J666,IF(3&lt;$E666,3,3+1))</f>
        <v>9.1</v>
      </c>
      <c r="S666" s="0" t="n">
        <f aca="false">INDEX($F666:$J666,IF(4&lt;$E666,4,4+1))</f>
        <v>8.9</v>
      </c>
      <c r="T666" s="0" t="n">
        <f aca="false">INDEX($K666:$O666,IF(1&lt;$E666,1,1+1))</f>
        <v>6.81901459571</v>
      </c>
      <c r="U666" s="0" t="n">
        <f aca="false">INDEX($K666:$O666,IF(2&lt;$E666,2,2+1))</f>
        <v>34.587126943</v>
      </c>
      <c r="V666" s="0" t="n">
        <f aca="false">INDEX($K666:$O666,IF(3&lt;$E666,3,3+1))</f>
        <v>45.2474088873</v>
      </c>
      <c r="W666" s="0" t="n">
        <f aca="false">INDEX($K666:$O666,IF(4&lt;$E666,4,4+1))</f>
        <v>10.499605902</v>
      </c>
      <c r="X666" s="0" t="n">
        <f aca="false">1+COUNTIF($P666:$S666,"&gt;"&amp;$P666)+(COUNTIF($P666:$S666,$P666)-1)/2</f>
        <v>2</v>
      </c>
      <c r="Y666" s="0" t="n">
        <f aca="false">1+COUNTIF($P666:$S666,"&gt;"&amp;$Q666)+(COUNTIF($P666:$S666,$Q666)-1)/2</f>
        <v>1</v>
      </c>
      <c r="Z666" s="0" t="n">
        <f aca="false">1+COUNTIF($P666:$S666,"&gt;"&amp;$R666)+(COUNTIF($P666:$S666,$R666)-1)/2</f>
        <v>3</v>
      </c>
      <c r="AA666" s="0" t="n">
        <f aca="false">1+COUNTIF($P666:$S666,"&gt;"&amp;$S666)+(COUNTIF($P666:$S666,$S666)-1)/2</f>
        <v>4</v>
      </c>
      <c r="AB666" s="0" t="n">
        <f aca="false">1+COUNTIF($T666:$W666,"&gt;"&amp;$T666)+(COUNTIF($T666:$W666,$T666)-1)/2</f>
        <v>4</v>
      </c>
      <c r="AC666" s="0" t="n">
        <f aca="false">1+COUNTIF($T666:$W666,"&gt;"&amp;$U666)+(COUNTIF($T666:$W666,$U666)-1)/2</f>
        <v>2</v>
      </c>
      <c r="AD666" s="0" t="n">
        <f aca="false">1+COUNTIF($T666:$W666,"&gt;"&amp;$V666)+(COUNTIF($T666:$W666,$V666)-1)/2</f>
        <v>1</v>
      </c>
      <c r="AE666" s="0" t="n">
        <f aca="false">1+COUNTIF($T666:$W666,"&gt;"&amp;$W666)+(COUNTIF($T666:$W666,$W666)-1)/2</f>
        <v>3</v>
      </c>
      <c r="AF666" s="0" t="n">
        <f aca="false">IFERROR(CORREL($P666:$S666,$T666:$W666),"")</f>
        <v>0.262149927583234</v>
      </c>
      <c r="AG666" s="0" t="n">
        <f aca="false">IFERROR(CORREL($X666:$AA666,$AB666:$AE666),"")</f>
        <v>0</v>
      </c>
      <c r="AH666" s="0" t="n">
        <f aca="false">IFERROR((SIGN($P666-$Q666)*SIGN($T666-$U666)+SIGN($P666-$R666)*SIGN($T666-$V666)+SIGN($P666-$S666)*SIGN($T666-$W666)+SIGN($Q666-$R666)*SIGN($U666-$V666)+SIGN($Q666-$S666)*SIGN($U666-$W666)+SIGN($R666-$S666)*SIGN($V666-$W666))/SQRT((6-(($P666=$Q666)*1+($P666=$R666)*1+($P666=$S666)*1+($Q666=$R666)*1+($Q666=$S666)*1+($R666=$S666)*1))*(6-(($T666=$U666)*1+($T666=$V666)*1+($T666=$W666)*1+($U666=$V666)*1+($U666=$W666)*1+($V666=$W666)*1))),"")</f>
        <v>0</v>
      </c>
      <c r="AI666" s="0" t="n">
        <f aca="false">MATCH(MAX($K666:$O666),$K666:$O666,0)</f>
        <v>3</v>
      </c>
      <c r="AJ666" s="0" t="n">
        <f aca="false">IF(AI666&lt;&gt;$E666,1,0)</f>
        <v>1</v>
      </c>
      <c r="AK666" s="0" t="n">
        <f aca="false">IF(AJ666=1,INDEX($F666:$J666,AI666)/MAX($P666:$S666),"")</f>
        <v>0.575949367088608</v>
      </c>
      <c r="AL666" s="0" t="n">
        <f aca="false">IF(AJ666=1,1+COUNTIF($P666:$S666,"&gt;"&amp;INDEX($F666:$J666,AI666)),"")</f>
        <v>3</v>
      </c>
      <c r="AM666" s="0" t="n">
        <f aca="false">AVERAGE($P666:$S666)/MAX($P666:$S666)</f>
        <v>0.700949367088608</v>
      </c>
      <c r="AN666" s="0" t="n">
        <f aca="false">100-INDEX($F666:$J666,$E666)</f>
        <v>62.1</v>
      </c>
    </row>
    <row r="667" customFormat="false" ht="15" hidden="false" customHeight="false" outlineLevel="0" collapsed="false">
      <c r="A667" s="0" t="s">
        <v>61</v>
      </c>
      <c r="B667" s="0" t="n">
        <v>2017</v>
      </c>
      <c r="C667" s="0" t="s">
        <v>46</v>
      </c>
      <c r="D667" s="0" t="s">
        <v>42</v>
      </c>
      <c r="E667" s="0" t="n">
        <v>1</v>
      </c>
      <c r="F667" s="0" t="n">
        <v>36.5</v>
      </c>
      <c r="G667" s="0" t="n">
        <v>6.5</v>
      </c>
      <c r="H667" s="0" t="n">
        <v>14.9</v>
      </c>
      <c r="I667" s="0" t="n">
        <v>10.1</v>
      </c>
      <c r="J667" s="0" t="n">
        <v>7.6</v>
      </c>
      <c r="K667" s="0" t="n">
        <v>64.2834983501</v>
      </c>
      <c r="L667" s="0" t="n">
        <v>0.0750073892755</v>
      </c>
      <c r="M667" s="0" t="n">
        <v>1.62944034898</v>
      </c>
      <c r="N667" s="0" t="n">
        <v>2.80767615028</v>
      </c>
      <c r="O667" s="0" t="n">
        <v>31.2043777613</v>
      </c>
      <c r="P667" s="0" t="n">
        <f aca="false">INDEX($F667:$J667,IF(1&lt;$E667,1,1+1))</f>
        <v>6.5</v>
      </c>
      <c r="Q667" s="0" t="n">
        <f aca="false">INDEX($F667:$J667,IF(2&lt;$E667,2,2+1))</f>
        <v>14.9</v>
      </c>
      <c r="R667" s="0" t="n">
        <f aca="false">INDEX($F667:$J667,IF(3&lt;$E667,3,3+1))</f>
        <v>10.1</v>
      </c>
      <c r="S667" s="0" t="n">
        <f aca="false">INDEX($F667:$J667,IF(4&lt;$E667,4,4+1))</f>
        <v>7.6</v>
      </c>
      <c r="T667" s="0" t="n">
        <f aca="false">INDEX($K667:$O667,IF(1&lt;$E667,1,1+1))</f>
        <v>0.0750073892755</v>
      </c>
      <c r="U667" s="0" t="n">
        <f aca="false">INDEX($K667:$O667,IF(2&lt;$E667,2,2+1))</f>
        <v>1.62944034898</v>
      </c>
      <c r="V667" s="0" t="n">
        <f aca="false">INDEX($K667:$O667,IF(3&lt;$E667,3,3+1))</f>
        <v>2.80767615028</v>
      </c>
      <c r="W667" s="0" t="n">
        <f aca="false">INDEX($K667:$O667,IF(4&lt;$E667,4,4+1))</f>
        <v>31.2043777613</v>
      </c>
      <c r="X667" s="0" t="n">
        <f aca="false">1+COUNTIF($P667:$S667,"&gt;"&amp;$P667)+(COUNTIF($P667:$S667,$P667)-1)/2</f>
        <v>4</v>
      </c>
      <c r="Y667" s="0" t="n">
        <f aca="false">1+COUNTIF($P667:$S667,"&gt;"&amp;$Q667)+(COUNTIF($P667:$S667,$Q667)-1)/2</f>
        <v>1</v>
      </c>
      <c r="Z667" s="0" t="n">
        <f aca="false">1+COUNTIF($P667:$S667,"&gt;"&amp;$R667)+(COUNTIF($P667:$S667,$R667)-1)/2</f>
        <v>2</v>
      </c>
      <c r="AA667" s="0" t="n">
        <f aca="false">1+COUNTIF($P667:$S667,"&gt;"&amp;$S667)+(COUNTIF($P667:$S667,$S667)-1)/2</f>
        <v>3</v>
      </c>
      <c r="AB667" s="0" t="n">
        <f aca="false">1+COUNTIF($T667:$W667,"&gt;"&amp;$T667)+(COUNTIF($T667:$W667,$T667)-1)/2</f>
        <v>4</v>
      </c>
      <c r="AC667" s="0" t="n">
        <f aca="false">1+COUNTIF($T667:$W667,"&gt;"&amp;$U667)+(COUNTIF($T667:$W667,$U667)-1)/2</f>
        <v>3</v>
      </c>
      <c r="AD667" s="0" t="n">
        <f aca="false">1+COUNTIF($T667:$W667,"&gt;"&amp;$V667)+(COUNTIF($T667:$W667,$V667)-1)/2</f>
        <v>2</v>
      </c>
      <c r="AE667" s="0" t="n">
        <f aca="false">1+COUNTIF($T667:$W667,"&gt;"&amp;$W667)+(COUNTIF($T667:$W667,$W667)-1)/2</f>
        <v>1</v>
      </c>
      <c r="AF667" s="0" t="n">
        <f aca="false">IFERROR(CORREL($P667:$S667,$T667:$W667),"")</f>
        <v>-0.352782470635992</v>
      </c>
      <c r="AG667" s="0" t="n">
        <f aca="false">IFERROR(CORREL($X667:$AA667,$AB667:$AE667),"")</f>
        <v>0.2</v>
      </c>
      <c r="AH667" s="0" t="n">
        <f aca="false">IFERROR((SIGN($P667-$Q667)*SIGN($T667-$U667)+SIGN($P667-$R667)*SIGN($T667-$V667)+SIGN($P667-$S667)*SIGN($T667-$W667)+SIGN($Q667-$R667)*SIGN($U667-$V667)+SIGN($Q667-$S667)*SIGN($U667-$W667)+SIGN($R667-$S667)*SIGN($V667-$W667))/SQRT((6-(($P667=$Q667)*1+($P667=$R667)*1+($P667=$S667)*1+($Q667=$R667)*1+($Q667=$S667)*1+($R667=$S667)*1))*(6-(($T667=$U667)*1+($T667=$V667)*1+($T667=$W667)*1+($U667=$V667)*1+($U667=$W667)*1+($V667=$W667)*1))),"")</f>
        <v>0</v>
      </c>
      <c r="AI667" s="0" t="n">
        <f aca="false">MATCH(MAX($K667:$O667),$K667:$O667,0)</f>
        <v>1</v>
      </c>
      <c r="AJ667" s="0" t="n">
        <f aca="false">IF(AI667&lt;&gt;$E667,1,0)</f>
        <v>0</v>
      </c>
      <c r="AK667" s="0" t="str">
        <f aca="false">IF(AJ667=1,INDEX($F667:$J667,AI667)/MAX($P667:$S667),"")</f>
        <v/>
      </c>
      <c r="AL667" s="0" t="str">
        <f aca="false">IF(AJ667=1,1+COUNTIF($P667:$S667,"&gt;"&amp;INDEX($F667:$J667,AI667)),"")</f>
        <v/>
      </c>
      <c r="AM667" s="0" t="n">
        <f aca="false">AVERAGE($P667:$S667)/MAX($P667:$S667)</f>
        <v>0.656040268456376</v>
      </c>
      <c r="AN667" s="0" t="n">
        <f aca="false">100-INDEX($F667:$J667,$E667)</f>
        <v>63.5</v>
      </c>
    </row>
    <row r="668" customFormat="false" ht="15" hidden="false" customHeight="false" outlineLevel="0" collapsed="false">
      <c r="A668" s="0" t="s">
        <v>61</v>
      </c>
      <c r="B668" s="0" t="n">
        <v>2017</v>
      </c>
      <c r="C668" s="0" t="s">
        <v>46</v>
      </c>
      <c r="D668" s="0" t="s">
        <v>43</v>
      </c>
      <c r="E668" s="0" t="n">
        <v>1</v>
      </c>
      <c r="F668" s="0" t="n">
        <v>50.8</v>
      </c>
      <c r="G668" s="0" t="n">
        <v>5.4</v>
      </c>
      <c r="H668" s="0" t="n">
        <v>8.4</v>
      </c>
      <c r="I668" s="0" t="n">
        <v>6.3</v>
      </c>
      <c r="J668" s="0" t="n">
        <v>3.9</v>
      </c>
      <c r="K668" s="0" t="n">
        <v>88.1371477848</v>
      </c>
      <c r="L668" s="0" t="n">
        <v>1.1403512773</v>
      </c>
      <c r="M668" s="0" t="n">
        <v>4.11296360316</v>
      </c>
      <c r="N668" s="0" t="n">
        <v>1.84353947043</v>
      </c>
      <c r="O668" s="0" t="n">
        <v>4.76599786436</v>
      </c>
      <c r="P668" s="0" t="n">
        <f aca="false">INDEX($F668:$J668,IF(1&lt;$E668,1,1+1))</f>
        <v>5.4</v>
      </c>
      <c r="Q668" s="0" t="n">
        <f aca="false">INDEX($F668:$J668,IF(2&lt;$E668,2,2+1))</f>
        <v>8.4</v>
      </c>
      <c r="R668" s="0" t="n">
        <f aca="false">INDEX($F668:$J668,IF(3&lt;$E668,3,3+1))</f>
        <v>6.3</v>
      </c>
      <c r="S668" s="0" t="n">
        <f aca="false">INDEX($F668:$J668,IF(4&lt;$E668,4,4+1))</f>
        <v>3.9</v>
      </c>
      <c r="T668" s="0" t="n">
        <f aca="false">INDEX($K668:$O668,IF(1&lt;$E668,1,1+1))</f>
        <v>1.1403512773</v>
      </c>
      <c r="U668" s="0" t="n">
        <f aca="false">INDEX($K668:$O668,IF(2&lt;$E668,2,2+1))</f>
        <v>4.11296360316</v>
      </c>
      <c r="V668" s="0" t="n">
        <f aca="false">INDEX($K668:$O668,IF(3&lt;$E668,3,3+1))</f>
        <v>1.84353947043</v>
      </c>
      <c r="W668" s="0" t="n">
        <f aca="false">INDEX($K668:$O668,IF(4&lt;$E668,4,4+1))</f>
        <v>4.76599786436</v>
      </c>
      <c r="X668" s="0" t="n">
        <f aca="false">1+COUNTIF($P668:$S668,"&gt;"&amp;$P668)+(COUNTIF($P668:$S668,$P668)-1)/2</f>
        <v>3</v>
      </c>
      <c r="Y668" s="0" t="n">
        <f aca="false">1+COUNTIF($P668:$S668,"&gt;"&amp;$Q668)+(COUNTIF($P668:$S668,$Q668)-1)/2</f>
        <v>1</v>
      </c>
      <c r="Z668" s="0" t="n">
        <f aca="false">1+COUNTIF($P668:$S668,"&gt;"&amp;$R668)+(COUNTIF($P668:$S668,$R668)-1)/2</f>
        <v>2</v>
      </c>
      <c r="AA668" s="0" t="n">
        <f aca="false">1+COUNTIF($P668:$S668,"&gt;"&amp;$S668)+(COUNTIF($P668:$S668,$S668)-1)/2</f>
        <v>4</v>
      </c>
      <c r="AB668" s="0" t="n">
        <f aca="false">1+COUNTIF($T668:$W668,"&gt;"&amp;$T668)+(COUNTIF($T668:$W668,$T668)-1)/2</f>
        <v>4</v>
      </c>
      <c r="AC668" s="0" t="n">
        <f aca="false">1+COUNTIF($T668:$W668,"&gt;"&amp;$U668)+(COUNTIF($T668:$W668,$U668)-1)/2</f>
        <v>2</v>
      </c>
      <c r="AD668" s="0" t="n">
        <f aca="false">1+COUNTIF($T668:$W668,"&gt;"&amp;$V668)+(COUNTIF($T668:$W668,$V668)-1)/2</f>
        <v>3</v>
      </c>
      <c r="AE668" s="0" t="n">
        <f aca="false">1+COUNTIF($T668:$W668,"&gt;"&amp;$W668)+(COUNTIF($T668:$W668,$W668)-1)/2</f>
        <v>1</v>
      </c>
      <c r="AF668" s="0" t="n">
        <f aca="false">IFERROR(CORREL($P668:$S668,$T668:$W668),"")</f>
        <v>-0.0272534762631438</v>
      </c>
      <c r="AG668" s="0" t="n">
        <f aca="false">IFERROR(CORREL($X668:$AA668,$AB668:$AE668),"")</f>
        <v>-0.2</v>
      </c>
      <c r="AH668" s="0" t="n">
        <f aca="false">IFERROR((SIGN($P668-$Q668)*SIGN($T668-$U668)+SIGN($P668-$R668)*SIGN($T668-$V668)+SIGN($P668-$S668)*SIGN($T668-$W668)+SIGN($Q668-$R668)*SIGN($U668-$V668)+SIGN($Q668-$S668)*SIGN($U668-$W668)+SIGN($R668-$S668)*SIGN($V668-$W668))/SQRT((6-(($P668=$Q668)*1+($P668=$R668)*1+($P668=$S668)*1+($Q668=$R668)*1+($Q668=$S668)*1+($R668=$S668)*1))*(6-(($T668=$U668)*1+($T668=$V668)*1+($T668=$W668)*1+($U668=$V668)*1+($U668=$W668)*1+($V668=$W668)*1))),"")</f>
        <v>0</v>
      </c>
      <c r="AI668" s="0" t="n">
        <f aca="false">MATCH(MAX($K668:$O668),$K668:$O668,0)</f>
        <v>1</v>
      </c>
      <c r="AJ668" s="0" t="n">
        <f aca="false">IF(AI668&lt;&gt;$E668,1,0)</f>
        <v>0</v>
      </c>
      <c r="AK668" s="0" t="str">
        <f aca="false">IF(AJ668=1,INDEX($F668:$J668,AI668)/MAX($P668:$S668),"")</f>
        <v/>
      </c>
      <c r="AL668" s="0" t="str">
        <f aca="false">IF(AJ668=1,1+COUNTIF($P668:$S668,"&gt;"&amp;INDEX($F668:$J668,AI668)),"")</f>
        <v/>
      </c>
      <c r="AM668" s="0" t="n">
        <f aca="false">AVERAGE($P668:$S668)/MAX($P668:$S668)</f>
        <v>0.714285714285714</v>
      </c>
      <c r="AN668" s="0" t="n">
        <f aca="false">100-INDEX($F668:$J668,$E668)</f>
        <v>49.2</v>
      </c>
    </row>
    <row r="669" customFormat="false" ht="15" hidden="false" customHeight="false" outlineLevel="0" collapsed="false">
      <c r="A669" s="0" t="s">
        <v>61</v>
      </c>
      <c r="B669" s="0" t="n">
        <v>2017</v>
      </c>
      <c r="C669" s="0" t="s">
        <v>46</v>
      </c>
      <c r="D669" s="0" t="s">
        <v>44</v>
      </c>
      <c r="E669" s="0" t="n">
        <v>2</v>
      </c>
      <c r="F669" s="0" t="n">
        <v>16.8</v>
      </c>
      <c r="G669" s="0" t="n">
        <v>29</v>
      </c>
      <c r="H669" s="0" t="n">
        <v>6.8</v>
      </c>
      <c r="I669" s="0" t="n">
        <v>13.4</v>
      </c>
      <c r="J669" s="0" t="n">
        <v>8</v>
      </c>
      <c r="K669" s="0" t="n">
        <v>51.7086710017</v>
      </c>
      <c r="L669" s="0" t="n">
        <v>8.56963834134</v>
      </c>
      <c r="M669" s="0" t="n">
        <v>6.25423886542</v>
      </c>
      <c r="N669" s="0" t="n">
        <v>12.3431123991</v>
      </c>
      <c r="O669" s="0" t="n">
        <v>21.1243393925</v>
      </c>
      <c r="P669" s="0" t="n">
        <f aca="false">INDEX($F669:$J669,IF(1&lt;$E669,1,1+1))</f>
        <v>16.8</v>
      </c>
      <c r="Q669" s="0" t="n">
        <f aca="false">INDEX($F669:$J669,IF(2&lt;$E669,2,2+1))</f>
        <v>6.8</v>
      </c>
      <c r="R669" s="0" t="n">
        <f aca="false">INDEX($F669:$J669,IF(3&lt;$E669,3,3+1))</f>
        <v>13.4</v>
      </c>
      <c r="S669" s="0" t="n">
        <f aca="false">INDEX($F669:$J669,IF(4&lt;$E669,4,4+1))</f>
        <v>8</v>
      </c>
      <c r="T669" s="0" t="n">
        <f aca="false">INDEX($K669:$O669,IF(1&lt;$E669,1,1+1))</f>
        <v>51.7086710017</v>
      </c>
      <c r="U669" s="0" t="n">
        <f aca="false">INDEX($K669:$O669,IF(2&lt;$E669,2,2+1))</f>
        <v>6.25423886542</v>
      </c>
      <c r="V669" s="0" t="n">
        <f aca="false">INDEX($K669:$O669,IF(3&lt;$E669,3,3+1))</f>
        <v>12.3431123991</v>
      </c>
      <c r="W669" s="0" t="n">
        <f aca="false">INDEX($K669:$O669,IF(4&lt;$E669,4,4+1))</f>
        <v>21.1243393925</v>
      </c>
      <c r="X669" s="0" t="n">
        <f aca="false">1+COUNTIF($P669:$S669,"&gt;"&amp;$P669)+(COUNTIF($P669:$S669,$P669)-1)/2</f>
        <v>1</v>
      </c>
      <c r="Y669" s="0" t="n">
        <f aca="false">1+COUNTIF($P669:$S669,"&gt;"&amp;$Q669)+(COUNTIF($P669:$S669,$Q669)-1)/2</f>
        <v>4</v>
      </c>
      <c r="Z669" s="0" t="n">
        <f aca="false">1+COUNTIF($P669:$S669,"&gt;"&amp;$R669)+(COUNTIF($P669:$S669,$R669)-1)/2</f>
        <v>2</v>
      </c>
      <c r="AA669" s="0" t="n">
        <f aca="false">1+COUNTIF($P669:$S669,"&gt;"&amp;$S669)+(COUNTIF($P669:$S669,$S669)-1)/2</f>
        <v>3</v>
      </c>
      <c r="AB669" s="0" t="n">
        <f aca="false">1+COUNTIF($T669:$W669,"&gt;"&amp;$T669)+(COUNTIF($T669:$W669,$T669)-1)/2</f>
        <v>1</v>
      </c>
      <c r="AC669" s="0" t="n">
        <f aca="false">1+COUNTIF($T669:$W669,"&gt;"&amp;$U669)+(COUNTIF($T669:$W669,$U669)-1)/2</f>
        <v>4</v>
      </c>
      <c r="AD669" s="0" t="n">
        <f aca="false">1+COUNTIF($T669:$W669,"&gt;"&amp;$V669)+(COUNTIF($T669:$W669,$V669)-1)/2</f>
        <v>3</v>
      </c>
      <c r="AE669" s="0" t="n">
        <f aca="false">1+COUNTIF($T669:$W669,"&gt;"&amp;$W669)+(COUNTIF($T669:$W669,$W669)-1)/2</f>
        <v>2</v>
      </c>
      <c r="AF669" s="0" t="n">
        <f aca="false">IFERROR(CORREL($P669:$S669,$T669:$W669),"")</f>
        <v>0.765567406929329</v>
      </c>
      <c r="AG669" s="0" t="n">
        <f aca="false">IFERROR(CORREL($X669:$AA669,$AB669:$AE669),"")</f>
        <v>0.8</v>
      </c>
      <c r="AH669" s="0" t="n">
        <f aca="false">IFERROR((SIGN($P669-$Q669)*SIGN($T669-$U669)+SIGN($P669-$R669)*SIGN($T669-$V669)+SIGN($P669-$S669)*SIGN($T669-$W669)+SIGN($Q669-$R669)*SIGN($U669-$V669)+SIGN($Q669-$S669)*SIGN($U669-$W669)+SIGN($R669-$S669)*SIGN($V669-$W669))/SQRT((6-(($P669=$Q669)*1+($P669=$R669)*1+($P669=$S669)*1+($Q669=$R669)*1+($Q669=$S669)*1+($R669=$S669)*1))*(6-(($T669=$U669)*1+($T669=$V669)*1+($T669=$W669)*1+($U669=$V669)*1+($U669=$W669)*1+($V669=$W669)*1))),"")</f>
        <v>0.666666666666667</v>
      </c>
      <c r="AI669" s="0" t="n">
        <f aca="false">MATCH(MAX($K669:$O669),$K669:$O669,0)</f>
        <v>1</v>
      </c>
      <c r="AJ669" s="0" t="n">
        <f aca="false">IF(AI669&lt;&gt;$E669,1,0)</f>
        <v>1</v>
      </c>
      <c r="AK669" s="0" t="n">
        <f aca="false">IF(AJ669=1,INDEX($F669:$J669,AI669)/MAX($P669:$S669),"")</f>
        <v>1</v>
      </c>
      <c r="AL669" s="0" t="n">
        <f aca="false">IF(AJ669=1,1+COUNTIF($P669:$S669,"&gt;"&amp;INDEX($F669:$J669,AI669)),"")</f>
        <v>1</v>
      </c>
      <c r="AM669" s="0" t="n">
        <f aca="false">AVERAGE($P669:$S669)/MAX($P669:$S669)</f>
        <v>0.669642857142857</v>
      </c>
      <c r="AN669" s="0" t="n">
        <f aca="false">100-INDEX($F669:$J669,$E669)</f>
        <v>71</v>
      </c>
    </row>
    <row r="670" customFormat="false" ht="15" hidden="false" customHeight="false" outlineLevel="0" collapsed="false">
      <c r="A670" s="0" t="s">
        <v>61</v>
      </c>
      <c r="B670" s="0" t="n">
        <v>2017</v>
      </c>
      <c r="C670" s="0" t="s">
        <v>46</v>
      </c>
      <c r="D670" s="0" t="s">
        <v>45</v>
      </c>
      <c r="E670" s="0" t="n">
        <v>5</v>
      </c>
      <c r="F670" s="0" t="n">
        <v>10.6</v>
      </c>
      <c r="G670" s="0" t="n">
        <v>3.5</v>
      </c>
      <c r="H670" s="0" t="n">
        <v>6.3</v>
      </c>
      <c r="I670" s="0" t="n">
        <v>3.5</v>
      </c>
      <c r="J670" s="0" t="n">
        <v>49.9</v>
      </c>
      <c r="K670" s="0" t="n">
        <v>9.74837469291</v>
      </c>
      <c r="L670" s="0" t="n">
        <v>1.38267463166</v>
      </c>
      <c r="M670" s="0" t="n">
        <v>27.2892663477</v>
      </c>
      <c r="N670" s="0" t="n">
        <v>15.2629476542</v>
      </c>
      <c r="O670" s="0" t="n">
        <v>46.3167366736</v>
      </c>
      <c r="P670" s="0" t="n">
        <f aca="false">INDEX($F670:$J670,IF(1&lt;$E670,1,1+1))</f>
        <v>10.6</v>
      </c>
      <c r="Q670" s="0" t="n">
        <f aca="false">INDEX($F670:$J670,IF(2&lt;$E670,2,2+1))</f>
        <v>3.5</v>
      </c>
      <c r="R670" s="0" t="n">
        <f aca="false">INDEX($F670:$J670,IF(3&lt;$E670,3,3+1))</f>
        <v>6.3</v>
      </c>
      <c r="S670" s="0" t="n">
        <f aca="false">INDEX($F670:$J670,IF(4&lt;$E670,4,4+1))</f>
        <v>3.5</v>
      </c>
      <c r="T670" s="0" t="n">
        <f aca="false">INDEX($K670:$O670,IF(1&lt;$E670,1,1+1))</f>
        <v>9.74837469291</v>
      </c>
      <c r="U670" s="0" t="n">
        <f aca="false">INDEX($K670:$O670,IF(2&lt;$E670,2,2+1))</f>
        <v>1.38267463166</v>
      </c>
      <c r="V670" s="0" t="n">
        <f aca="false">INDEX($K670:$O670,IF(3&lt;$E670,3,3+1))</f>
        <v>27.2892663477</v>
      </c>
      <c r="W670" s="0" t="n">
        <f aca="false">INDEX($K670:$O670,IF(4&lt;$E670,4,4+1))</f>
        <v>15.2629476542</v>
      </c>
      <c r="X670" s="0" t="n">
        <f aca="false">1+COUNTIF($P670:$S670,"&gt;"&amp;$P670)+(COUNTIF($P670:$S670,$P670)-1)/2</f>
        <v>1</v>
      </c>
      <c r="Y670" s="0" t="n">
        <f aca="false">1+COUNTIF($P670:$S670,"&gt;"&amp;$Q670)+(COUNTIF($P670:$S670,$Q670)-1)/2</f>
        <v>3.5</v>
      </c>
      <c r="Z670" s="0" t="n">
        <f aca="false">1+COUNTIF($P670:$S670,"&gt;"&amp;$R670)+(COUNTIF($P670:$S670,$R670)-1)/2</f>
        <v>2</v>
      </c>
      <c r="AA670" s="0" t="n">
        <f aca="false">1+COUNTIF($P670:$S670,"&gt;"&amp;$S670)+(COUNTIF($P670:$S670,$S670)-1)/2</f>
        <v>3.5</v>
      </c>
      <c r="AB670" s="0" t="n">
        <f aca="false">1+COUNTIF($T670:$W670,"&gt;"&amp;$T670)+(COUNTIF($T670:$W670,$T670)-1)/2</f>
        <v>3</v>
      </c>
      <c r="AC670" s="0" t="n">
        <f aca="false">1+COUNTIF($T670:$W670,"&gt;"&amp;$U670)+(COUNTIF($T670:$W670,$U670)-1)/2</f>
        <v>4</v>
      </c>
      <c r="AD670" s="0" t="n">
        <f aca="false">1+COUNTIF($T670:$W670,"&gt;"&amp;$V670)+(COUNTIF($T670:$W670,$V670)-1)/2</f>
        <v>1</v>
      </c>
      <c r="AE670" s="0" t="n">
        <f aca="false">1+COUNTIF($T670:$W670,"&gt;"&amp;$W670)+(COUNTIF($T670:$W670,$W670)-1)/2</f>
        <v>2</v>
      </c>
      <c r="AF670" s="0" t="n">
        <f aca="false">IFERROR(CORREL($P670:$S670,$T670:$W670),"")</f>
        <v>0.116696268584499</v>
      </c>
      <c r="AG670" s="0" t="n">
        <f aca="false">IFERROR(CORREL($X670:$AA670,$AB670:$AE670),"")</f>
        <v>0.210818510677892</v>
      </c>
      <c r="AH670" s="0" t="n">
        <f aca="false">IFERROR((SIGN($P670-$Q670)*SIGN($T670-$U670)+SIGN($P670-$R670)*SIGN($T670-$V670)+SIGN($P670-$S670)*SIGN($T670-$W670)+SIGN($Q670-$R670)*SIGN($U670-$V670)+SIGN($Q670-$S670)*SIGN($U670-$W670)+SIGN($R670-$S670)*SIGN($V670-$W670))/SQRT((6-(($P670=$Q670)*1+($P670=$R670)*1+($P670=$S670)*1+($Q670=$R670)*1+($Q670=$S670)*1+($R670=$S670)*1))*(6-(($T670=$U670)*1+($T670=$V670)*1+($T670=$W670)*1+($U670=$V670)*1+($U670=$W670)*1+($V670=$W670)*1))),"")</f>
        <v>0.182574185835055</v>
      </c>
      <c r="AI670" s="0" t="n">
        <f aca="false">MATCH(MAX($K670:$O670),$K670:$O670,0)</f>
        <v>5</v>
      </c>
      <c r="AJ670" s="0" t="n">
        <f aca="false">IF(AI670&lt;&gt;$E670,1,0)</f>
        <v>0</v>
      </c>
      <c r="AK670" s="0" t="str">
        <f aca="false">IF(AJ670=1,INDEX($F670:$J670,AI670)/MAX($P670:$S670),"")</f>
        <v/>
      </c>
      <c r="AL670" s="0" t="str">
        <f aca="false">IF(AJ670=1,1+COUNTIF($P670:$S670,"&gt;"&amp;INDEX($F670:$J670,AI670)),"")</f>
        <v/>
      </c>
      <c r="AM670" s="0" t="n">
        <f aca="false">AVERAGE($P670:$S670)/MAX($P670:$S670)</f>
        <v>0.563679245283019</v>
      </c>
      <c r="AN670" s="0" t="n">
        <f aca="false">100-INDEX($F670:$J670,$E670)</f>
        <v>50.1</v>
      </c>
    </row>
    <row r="671" customFormat="false" ht="15" hidden="false" customHeight="false" outlineLevel="0" collapsed="false">
      <c r="A671" s="0" t="s">
        <v>61</v>
      </c>
      <c r="B671" s="0" t="n">
        <v>2016</v>
      </c>
      <c r="C671" s="0" t="s">
        <v>58</v>
      </c>
      <c r="D671" s="0" t="s">
        <v>42</v>
      </c>
      <c r="E671" s="0" t="n">
        <v>5</v>
      </c>
      <c r="F671" s="0" t="n">
        <v>7.9</v>
      </c>
      <c r="G671" s="0" t="n">
        <v>13</v>
      </c>
      <c r="H671" s="0" t="n">
        <v>14.9</v>
      </c>
      <c r="I671" s="0" t="n">
        <v>9.5</v>
      </c>
      <c r="J671" s="0" t="n">
        <v>34.6</v>
      </c>
      <c r="K671" s="0" t="n">
        <v>0.589485347746</v>
      </c>
      <c r="L671" s="0" t="n">
        <v>0.0346795228502</v>
      </c>
      <c r="M671" s="0" t="n">
        <v>1.57541056857</v>
      </c>
      <c r="N671" s="0" t="n">
        <v>58.4985053601</v>
      </c>
      <c r="O671" s="0" t="n">
        <v>39.3019192007</v>
      </c>
      <c r="P671" s="0" t="n">
        <f aca="false">INDEX($F671:$J671,IF(1&lt;$E671,1,1+1))</f>
        <v>7.9</v>
      </c>
      <c r="Q671" s="0" t="n">
        <f aca="false">INDEX($F671:$J671,IF(2&lt;$E671,2,2+1))</f>
        <v>13</v>
      </c>
      <c r="R671" s="0" t="n">
        <f aca="false">INDEX($F671:$J671,IF(3&lt;$E671,3,3+1))</f>
        <v>14.9</v>
      </c>
      <c r="S671" s="0" t="n">
        <f aca="false">INDEX($F671:$J671,IF(4&lt;$E671,4,4+1))</f>
        <v>9.5</v>
      </c>
      <c r="T671" s="0" t="n">
        <f aca="false">INDEX($K671:$O671,IF(1&lt;$E671,1,1+1))</f>
        <v>0.589485347746</v>
      </c>
      <c r="U671" s="0" t="n">
        <f aca="false">INDEX($K671:$O671,IF(2&lt;$E671,2,2+1))</f>
        <v>0.0346795228502</v>
      </c>
      <c r="V671" s="0" t="n">
        <f aca="false">INDEX($K671:$O671,IF(3&lt;$E671,3,3+1))</f>
        <v>1.57541056857</v>
      </c>
      <c r="W671" s="0" t="n">
        <f aca="false">INDEX($K671:$O671,IF(4&lt;$E671,4,4+1))</f>
        <v>58.4985053601</v>
      </c>
      <c r="X671" s="0" t="n">
        <f aca="false">1+COUNTIF($P671:$S671,"&gt;"&amp;$P671)+(COUNTIF($P671:$S671,$P671)-1)/2</f>
        <v>4</v>
      </c>
      <c r="Y671" s="0" t="n">
        <f aca="false">1+COUNTIF($P671:$S671,"&gt;"&amp;$Q671)+(COUNTIF($P671:$S671,$Q671)-1)/2</f>
        <v>2</v>
      </c>
      <c r="Z671" s="0" t="n">
        <f aca="false">1+COUNTIF($P671:$S671,"&gt;"&amp;$R671)+(COUNTIF($P671:$S671,$R671)-1)/2</f>
        <v>1</v>
      </c>
      <c r="AA671" s="0" t="n">
        <f aca="false">1+COUNTIF($P671:$S671,"&gt;"&amp;$S671)+(COUNTIF($P671:$S671,$S671)-1)/2</f>
        <v>3</v>
      </c>
      <c r="AB671" s="0" t="n">
        <f aca="false">1+COUNTIF($T671:$W671,"&gt;"&amp;$T671)+(COUNTIF($T671:$W671,$T671)-1)/2</f>
        <v>3</v>
      </c>
      <c r="AC671" s="0" t="n">
        <f aca="false">1+COUNTIF($T671:$W671,"&gt;"&amp;$U671)+(COUNTIF($T671:$W671,$U671)-1)/2</f>
        <v>4</v>
      </c>
      <c r="AD671" s="0" t="n">
        <f aca="false">1+COUNTIF($T671:$W671,"&gt;"&amp;$V671)+(COUNTIF($T671:$W671,$V671)-1)/2</f>
        <v>2</v>
      </c>
      <c r="AE671" s="0" t="n">
        <f aca="false">1+COUNTIF($T671:$W671,"&gt;"&amp;$W671)+(COUNTIF($T671:$W671,$W671)-1)/2</f>
        <v>1</v>
      </c>
      <c r="AF671" s="0" t="n">
        <f aca="false">IFERROR(CORREL($P671:$S671,$T671:$W671),"")</f>
        <v>-0.372142789692921</v>
      </c>
      <c r="AG671" s="0" t="n">
        <f aca="false">IFERROR(CORREL($X671:$AA671,$AB671:$AE671),"")</f>
        <v>0</v>
      </c>
      <c r="AH671" s="0" t="n">
        <f aca="false">IFERROR((SIGN($P671-$Q671)*SIGN($T671-$U671)+SIGN($P671-$R671)*SIGN($T671-$V671)+SIGN($P671-$S671)*SIGN($T671-$W671)+SIGN($Q671-$R671)*SIGN($U671-$V671)+SIGN($Q671-$S671)*SIGN($U671-$W671)+SIGN($R671-$S671)*SIGN($V671-$W671))/SQRT((6-(($P671=$Q671)*1+($P671=$R671)*1+($P671=$S671)*1+($Q671=$R671)*1+($Q671=$S671)*1+($R671=$S671)*1))*(6-(($T671=$U671)*1+($T671=$V671)*1+($T671=$W671)*1+($U671=$V671)*1+($U671=$W671)*1+($V671=$W671)*1))),"")</f>
        <v>0</v>
      </c>
      <c r="AI671" s="0" t="n">
        <f aca="false">MATCH(MAX($K671:$O671),$K671:$O671,0)</f>
        <v>4</v>
      </c>
      <c r="AJ671" s="0" t="n">
        <f aca="false">IF(AI671&lt;&gt;$E671,1,0)</f>
        <v>1</v>
      </c>
      <c r="AK671" s="0" t="n">
        <f aca="false">IF(AJ671=1,INDEX($F671:$J671,AI671)/MAX($P671:$S671),"")</f>
        <v>0.63758389261745</v>
      </c>
      <c r="AL671" s="0" t="n">
        <f aca="false">IF(AJ671=1,1+COUNTIF($P671:$S671,"&gt;"&amp;INDEX($F671:$J671,AI671)),"")</f>
        <v>3</v>
      </c>
      <c r="AM671" s="0" t="n">
        <f aca="false">AVERAGE($P671:$S671)/MAX($P671:$S671)</f>
        <v>0.76006711409396</v>
      </c>
      <c r="AN671" s="0" t="n">
        <f aca="false">100-INDEX($F671:$J671,$E671)</f>
        <v>65.4</v>
      </c>
    </row>
    <row r="672" customFormat="false" ht="15" hidden="false" customHeight="false" outlineLevel="0" collapsed="false">
      <c r="A672" s="0" t="s">
        <v>61</v>
      </c>
      <c r="B672" s="0" t="n">
        <v>2016</v>
      </c>
      <c r="C672" s="0" t="s">
        <v>58</v>
      </c>
      <c r="D672" s="0" t="s">
        <v>44</v>
      </c>
      <c r="E672" s="0" t="n">
        <v>1</v>
      </c>
      <c r="F672" s="0" t="n">
        <v>33.1</v>
      </c>
      <c r="G672" s="0" t="n">
        <v>11.8</v>
      </c>
      <c r="H672" s="0" t="n">
        <v>10.5</v>
      </c>
      <c r="I672" s="0" t="n">
        <v>11.5</v>
      </c>
      <c r="J672" s="0" t="n">
        <v>12.1</v>
      </c>
      <c r="K672" s="0" t="n">
        <v>18.6177552517</v>
      </c>
      <c r="L672" s="0" t="n">
        <v>3.18591379809</v>
      </c>
      <c r="M672" s="0" t="n">
        <v>14.4751584167</v>
      </c>
      <c r="N672" s="0" t="n">
        <v>11.9596828909</v>
      </c>
      <c r="O672" s="0" t="n">
        <v>51.7614896426</v>
      </c>
      <c r="P672" s="0" t="n">
        <f aca="false">INDEX($F672:$J672,IF(1&lt;$E672,1,1+1))</f>
        <v>11.8</v>
      </c>
      <c r="Q672" s="0" t="n">
        <f aca="false">INDEX($F672:$J672,IF(2&lt;$E672,2,2+1))</f>
        <v>10.5</v>
      </c>
      <c r="R672" s="0" t="n">
        <f aca="false">INDEX($F672:$J672,IF(3&lt;$E672,3,3+1))</f>
        <v>11.5</v>
      </c>
      <c r="S672" s="0" t="n">
        <f aca="false">INDEX($F672:$J672,IF(4&lt;$E672,4,4+1))</f>
        <v>12.1</v>
      </c>
      <c r="T672" s="0" t="n">
        <f aca="false">INDEX($K672:$O672,IF(1&lt;$E672,1,1+1))</f>
        <v>3.18591379809</v>
      </c>
      <c r="U672" s="0" t="n">
        <f aca="false">INDEX($K672:$O672,IF(2&lt;$E672,2,2+1))</f>
        <v>14.4751584167</v>
      </c>
      <c r="V672" s="0" t="n">
        <f aca="false">INDEX($K672:$O672,IF(3&lt;$E672,3,3+1))</f>
        <v>11.9596828909</v>
      </c>
      <c r="W672" s="0" t="n">
        <f aca="false">INDEX($K672:$O672,IF(4&lt;$E672,4,4+1))</f>
        <v>51.7614896426</v>
      </c>
      <c r="X672" s="0" t="n">
        <f aca="false">1+COUNTIF($P672:$S672,"&gt;"&amp;$P672)+(COUNTIF($P672:$S672,$P672)-1)/2</f>
        <v>2</v>
      </c>
      <c r="Y672" s="0" t="n">
        <f aca="false">1+COUNTIF($P672:$S672,"&gt;"&amp;$Q672)+(COUNTIF($P672:$S672,$Q672)-1)/2</f>
        <v>4</v>
      </c>
      <c r="Z672" s="0" t="n">
        <f aca="false">1+COUNTIF($P672:$S672,"&gt;"&amp;$R672)+(COUNTIF($P672:$S672,$R672)-1)/2</f>
        <v>3</v>
      </c>
      <c r="AA672" s="0" t="n">
        <f aca="false">1+COUNTIF($P672:$S672,"&gt;"&amp;$S672)+(COUNTIF($P672:$S672,$S672)-1)/2</f>
        <v>1</v>
      </c>
      <c r="AB672" s="0" t="n">
        <f aca="false">1+COUNTIF($T672:$W672,"&gt;"&amp;$T672)+(COUNTIF($T672:$W672,$T672)-1)/2</f>
        <v>4</v>
      </c>
      <c r="AC672" s="0" t="n">
        <f aca="false">1+COUNTIF($T672:$W672,"&gt;"&amp;$U672)+(COUNTIF($T672:$W672,$U672)-1)/2</f>
        <v>2</v>
      </c>
      <c r="AD672" s="0" t="n">
        <f aca="false">1+COUNTIF($T672:$W672,"&gt;"&amp;$V672)+(COUNTIF($T672:$W672,$V672)-1)/2</f>
        <v>3</v>
      </c>
      <c r="AE672" s="0" t="n">
        <f aca="false">1+COUNTIF($T672:$W672,"&gt;"&amp;$W672)+(COUNTIF($T672:$W672,$W672)-1)/2</f>
        <v>1</v>
      </c>
      <c r="AF672" s="0" t="n">
        <f aca="false">IFERROR(CORREL($P672:$S672,$T672:$W672),"")</f>
        <v>0.436932794571632</v>
      </c>
      <c r="AG672" s="0" t="n">
        <f aca="false">IFERROR(CORREL($X672:$AA672,$AB672:$AE672),"")</f>
        <v>0.2</v>
      </c>
      <c r="AH672" s="0" t="n">
        <f aca="false">IFERROR((SIGN($P672-$Q672)*SIGN($T672-$U672)+SIGN($P672-$R672)*SIGN($T672-$V672)+SIGN($P672-$S672)*SIGN($T672-$W672)+SIGN($Q672-$R672)*SIGN($U672-$V672)+SIGN($Q672-$S672)*SIGN($U672-$W672)+SIGN($R672-$S672)*SIGN($V672-$W672))/SQRT((6-(($P672=$Q672)*1+($P672=$R672)*1+($P672=$S672)*1+($Q672=$R672)*1+($Q672=$S672)*1+($R672=$S672)*1))*(6-(($T672=$U672)*1+($T672=$V672)*1+($T672=$W672)*1+($U672=$V672)*1+($U672=$W672)*1+($V672=$W672)*1))),"")</f>
        <v>0</v>
      </c>
      <c r="AI672" s="0" t="n">
        <f aca="false">MATCH(MAX($K672:$O672),$K672:$O672,0)</f>
        <v>5</v>
      </c>
      <c r="AJ672" s="0" t="n">
        <f aca="false">IF(AI672&lt;&gt;$E672,1,0)</f>
        <v>1</v>
      </c>
      <c r="AK672" s="0" t="n">
        <f aca="false">IF(AJ672=1,INDEX($F672:$J672,AI672)/MAX($P672:$S672),"")</f>
        <v>1</v>
      </c>
      <c r="AL672" s="0" t="n">
        <f aca="false">IF(AJ672=1,1+COUNTIF($P672:$S672,"&gt;"&amp;INDEX($F672:$J672,AI672)),"")</f>
        <v>1</v>
      </c>
      <c r="AM672" s="0" t="n">
        <f aca="false">AVERAGE($P672:$S672)/MAX($P672:$S672)</f>
        <v>0.948347107438017</v>
      </c>
      <c r="AN672" s="0" t="n">
        <f aca="false">100-INDEX($F672:$J672,$E672)</f>
        <v>66.9</v>
      </c>
    </row>
    <row r="673" customFormat="false" ht="15" hidden="false" customHeight="false" outlineLevel="0" collapsed="false">
      <c r="A673" s="0" t="s">
        <v>61</v>
      </c>
      <c r="B673" s="0" t="n">
        <v>2016</v>
      </c>
      <c r="C673" s="0" t="s">
        <v>49</v>
      </c>
      <c r="D673" s="0" t="s">
        <v>42</v>
      </c>
      <c r="E673" s="0" t="n">
        <v>1</v>
      </c>
      <c r="F673" s="0" t="n">
        <v>39.4</v>
      </c>
      <c r="G673" s="0" t="n">
        <v>14</v>
      </c>
      <c r="H673" s="0" t="n">
        <v>6.8</v>
      </c>
      <c r="I673" s="0" t="n">
        <v>10.9</v>
      </c>
      <c r="J673" s="0" t="n">
        <v>10</v>
      </c>
      <c r="K673" s="0" t="n">
        <v>94.7137605404</v>
      </c>
      <c r="L673" s="0" t="n">
        <v>0.777170011723</v>
      </c>
      <c r="M673" s="0" t="n">
        <v>4.28323887614</v>
      </c>
      <c r="N673" s="0" t="n">
        <v>0.00986067510502</v>
      </c>
      <c r="O673" s="0" t="n">
        <v>0.215969896599</v>
      </c>
      <c r="P673" s="0" t="n">
        <f aca="false">INDEX($F673:$J673,IF(1&lt;$E673,1,1+1))</f>
        <v>14</v>
      </c>
      <c r="Q673" s="0" t="n">
        <f aca="false">INDEX($F673:$J673,IF(2&lt;$E673,2,2+1))</f>
        <v>6.8</v>
      </c>
      <c r="R673" s="0" t="n">
        <f aca="false">INDEX($F673:$J673,IF(3&lt;$E673,3,3+1))</f>
        <v>10.9</v>
      </c>
      <c r="S673" s="0" t="n">
        <f aca="false">INDEX($F673:$J673,IF(4&lt;$E673,4,4+1))</f>
        <v>10</v>
      </c>
      <c r="T673" s="0" t="n">
        <f aca="false">INDEX($K673:$O673,IF(1&lt;$E673,1,1+1))</f>
        <v>0.777170011723</v>
      </c>
      <c r="U673" s="0" t="n">
        <f aca="false">INDEX($K673:$O673,IF(2&lt;$E673,2,2+1))</f>
        <v>4.28323887614</v>
      </c>
      <c r="V673" s="0" t="n">
        <f aca="false">INDEX($K673:$O673,IF(3&lt;$E673,3,3+1))</f>
        <v>0.00986067510502</v>
      </c>
      <c r="W673" s="0" t="n">
        <f aca="false">INDEX($K673:$O673,IF(4&lt;$E673,4,4+1))</f>
        <v>0.215969896599</v>
      </c>
      <c r="X673" s="0" t="n">
        <f aca="false">1+COUNTIF($P673:$S673,"&gt;"&amp;$P673)+(COUNTIF($P673:$S673,$P673)-1)/2</f>
        <v>1</v>
      </c>
      <c r="Y673" s="0" t="n">
        <f aca="false">1+COUNTIF($P673:$S673,"&gt;"&amp;$Q673)+(COUNTIF($P673:$S673,$Q673)-1)/2</f>
        <v>4</v>
      </c>
      <c r="Z673" s="0" t="n">
        <f aca="false">1+COUNTIF($P673:$S673,"&gt;"&amp;$R673)+(COUNTIF($P673:$S673,$R673)-1)/2</f>
        <v>2</v>
      </c>
      <c r="AA673" s="0" t="n">
        <f aca="false">1+COUNTIF($P673:$S673,"&gt;"&amp;$S673)+(COUNTIF($P673:$S673,$S673)-1)/2</f>
        <v>3</v>
      </c>
      <c r="AB673" s="0" t="n">
        <f aca="false">1+COUNTIF($T673:$W673,"&gt;"&amp;$T673)+(COUNTIF($T673:$W673,$T673)-1)/2</f>
        <v>2</v>
      </c>
      <c r="AC673" s="0" t="n">
        <f aca="false">1+COUNTIF($T673:$W673,"&gt;"&amp;$U673)+(COUNTIF($T673:$W673,$U673)-1)/2</f>
        <v>1</v>
      </c>
      <c r="AD673" s="0" t="n">
        <f aca="false">1+COUNTIF($T673:$W673,"&gt;"&amp;$V673)+(COUNTIF($T673:$W673,$V673)-1)/2</f>
        <v>4</v>
      </c>
      <c r="AE673" s="0" t="n">
        <f aca="false">1+COUNTIF($T673:$W673,"&gt;"&amp;$W673)+(COUNTIF($T673:$W673,$W673)-1)/2</f>
        <v>3</v>
      </c>
      <c r="AF673" s="0" t="n">
        <f aca="false">IFERROR(CORREL($P673:$S673,$T673:$W673),"")</f>
        <v>-0.721806766432207</v>
      </c>
      <c r="AG673" s="0" t="n">
        <f aca="false">IFERROR(CORREL($X673:$AA673,$AB673:$AE673),"")</f>
        <v>-0.4</v>
      </c>
      <c r="AH673" s="0" t="n">
        <f aca="false">IFERROR((SIGN($P673-$Q673)*SIGN($T673-$U673)+SIGN($P673-$R673)*SIGN($T673-$V673)+SIGN($P673-$S673)*SIGN($T673-$W673)+SIGN($Q673-$R673)*SIGN($U673-$V673)+SIGN($Q673-$S673)*SIGN($U673-$W673)+SIGN($R673-$S673)*SIGN($V673-$W673))/SQRT((6-(($P673=$Q673)*1+($P673=$R673)*1+($P673=$S673)*1+($Q673=$R673)*1+($Q673=$S673)*1+($R673=$S673)*1))*(6-(($T673=$U673)*1+($T673=$V673)*1+($T673=$W673)*1+($U673=$V673)*1+($U673=$W673)*1+($V673=$W673)*1))),"")</f>
        <v>-0.333333333333333</v>
      </c>
      <c r="AI673" s="0" t="n">
        <f aca="false">MATCH(MAX($K673:$O673),$K673:$O673,0)</f>
        <v>1</v>
      </c>
      <c r="AJ673" s="0" t="n">
        <f aca="false">IF(AI673&lt;&gt;$E673,1,0)</f>
        <v>0</v>
      </c>
      <c r="AK673" s="0" t="str">
        <f aca="false">IF(AJ673=1,INDEX($F673:$J673,AI673)/MAX($P673:$S673),"")</f>
        <v/>
      </c>
      <c r="AL673" s="0" t="str">
        <f aca="false">IF(AJ673=1,1+COUNTIF($P673:$S673,"&gt;"&amp;INDEX($F673:$J673,AI673)),"")</f>
        <v/>
      </c>
      <c r="AM673" s="0" t="n">
        <f aca="false">AVERAGE($P673:$S673)/MAX($P673:$S673)</f>
        <v>0.744642857142857</v>
      </c>
      <c r="AN673" s="0" t="n">
        <f aca="false">100-INDEX($F673:$J673,$E673)</f>
        <v>60.6</v>
      </c>
    </row>
    <row r="674" customFormat="false" ht="15" hidden="false" customHeight="false" outlineLevel="0" collapsed="false">
      <c r="A674" s="0" t="s">
        <v>61</v>
      </c>
      <c r="B674" s="0" t="n">
        <v>2016</v>
      </c>
      <c r="C674" s="0" t="s">
        <v>49</v>
      </c>
      <c r="D674" s="0" t="s">
        <v>43</v>
      </c>
      <c r="E674" s="0" t="n">
        <v>1</v>
      </c>
      <c r="F674" s="0" t="n">
        <v>34.6</v>
      </c>
      <c r="G674" s="0" t="n">
        <v>6.8</v>
      </c>
      <c r="H674" s="0" t="n">
        <v>9</v>
      </c>
      <c r="I674" s="0" t="n">
        <v>20.2</v>
      </c>
      <c r="J674" s="0" t="n">
        <v>10</v>
      </c>
      <c r="K674" s="0" t="n">
        <v>17.7497517694</v>
      </c>
      <c r="L674" s="0" t="n">
        <v>26.014191111</v>
      </c>
      <c r="M674" s="0" t="n">
        <v>8.86442433188</v>
      </c>
      <c r="N674" s="0" t="n">
        <v>27.207395335</v>
      </c>
      <c r="O674" s="0" t="n">
        <v>20.1642374528</v>
      </c>
      <c r="P674" s="0" t="n">
        <f aca="false">INDEX($F674:$J674,IF(1&lt;$E674,1,1+1))</f>
        <v>6.8</v>
      </c>
      <c r="Q674" s="0" t="n">
        <f aca="false">INDEX($F674:$J674,IF(2&lt;$E674,2,2+1))</f>
        <v>9</v>
      </c>
      <c r="R674" s="0" t="n">
        <f aca="false">INDEX($F674:$J674,IF(3&lt;$E674,3,3+1))</f>
        <v>20.2</v>
      </c>
      <c r="S674" s="0" t="n">
        <f aca="false">INDEX($F674:$J674,IF(4&lt;$E674,4,4+1))</f>
        <v>10</v>
      </c>
      <c r="T674" s="0" t="n">
        <f aca="false">INDEX($K674:$O674,IF(1&lt;$E674,1,1+1))</f>
        <v>26.014191111</v>
      </c>
      <c r="U674" s="0" t="n">
        <f aca="false">INDEX($K674:$O674,IF(2&lt;$E674,2,2+1))</f>
        <v>8.86442433188</v>
      </c>
      <c r="V674" s="0" t="n">
        <f aca="false">INDEX($K674:$O674,IF(3&lt;$E674,3,3+1))</f>
        <v>27.207395335</v>
      </c>
      <c r="W674" s="0" t="n">
        <f aca="false">INDEX($K674:$O674,IF(4&lt;$E674,4,4+1))</f>
        <v>20.1642374528</v>
      </c>
      <c r="X674" s="0" t="n">
        <f aca="false">1+COUNTIF($P674:$S674,"&gt;"&amp;$P674)+(COUNTIF($P674:$S674,$P674)-1)/2</f>
        <v>4</v>
      </c>
      <c r="Y674" s="0" t="n">
        <f aca="false">1+COUNTIF($P674:$S674,"&gt;"&amp;$Q674)+(COUNTIF($P674:$S674,$Q674)-1)/2</f>
        <v>3</v>
      </c>
      <c r="Z674" s="0" t="n">
        <f aca="false">1+COUNTIF($P674:$S674,"&gt;"&amp;$R674)+(COUNTIF($P674:$S674,$R674)-1)/2</f>
        <v>1</v>
      </c>
      <c r="AA674" s="0" t="n">
        <f aca="false">1+COUNTIF($P674:$S674,"&gt;"&amp;$S674)+(COUNTIF($P674:$S674,$S674)-1)/2</f>
        <v>2</v>
      </c>
      <c r="AB674" s="0" t="n">
        <f aca="false">1+COUNTIF($T674:$W674,"&gt;"&amp;$T674)+(COUNTIF($T674:$W674,$T674)-1)/2</f>
        <v>2</v>
      </c>
      <c r="AC674" s="0" t="n">
        <f aca="false">1+COUNTIF($T674:$W674,"&gt;"&amp;$U674)+(COUNTIF($T674:$W674,$U674)-1)/2</f>
        <v>4</v>
      </c>
      <c r="AD674" s="0" t="n">
        <f aca="false">1+COUNTIF($T674:$W674,"&gt;"&amp;$V674)+(COUNTIF($T674:$W674,$V674)-1)/2</f>
        <v>1</v>
      </c>
      <c r="AE674" s="0" t="n">
        <f aca="false">1+COUNTIF($T674:$W674,"&gt;"&amp;$W674)+(COUNTIF($T674:$W674,$W674)-1)/2</f>
        <v>3</v>
      </c>
      <c r="AF674" s="0" t="n">
        <f aca="false">IFERROR(CORREL($P674:$S674,$T674:$W674),"")</f>
        <v>0.414343708805295</v>
      </c>
      <c r="AG674" s="0" t="n">
        <f aca="false">IFERROR(CORREL($X674:$AA674,$AB674:$AE674),"")</f>
        <v>0.4</v>
      </c>
      <c r="AH674" s="0" t="n">
        <f aca="false">IFERROR((SIGN($P674-$Q674)*SIGN($T674-$U674)+SIGN($P674-$R674)*SIGN($T674-$V674)+SIGN($P674-$S674)*SIGN($T674-$W674)+SIGN($Q674-$R674)*SIGN($U674-$V674)+SIGN($Q674-$S674)*SIGN($U674-$W674)+SIGN($R674-$S674)*SIGN($V674-$W674))/SQRT((6-(($P674=$Q674)*1+($P674=$R674)*1+($P674=$S674)*1+($Q674=$R674)*1+($Q674=$S674)*1+($R674=$S674)*1))*(6-(($T674=$U674)*1+($T674=$V674)*1+($T674=$W674)*1+($U674=$V674)*1+($U674=$W674)*1+($V674=$W674)*1))),"")</f>
        <v>0.333333333333333</v>
      </c>
      <c r="AI674" s="0" t="n">
        <f aca="false">MATCH(MAX($K674:$O674),$K674:$O674,0)</f>
        <v>4</v>
      </c>
      <c r="AJ674" s="0" t="n">
        <f aca="false">IF(AI674&lt;&gt;$E674,1,0)</f>
        <v>1</v>
      </c>
      <c r="AK674" s="0" t="n">
        <f aca="false">IF(AJ674=1,INDEX($F674:$J674,AI674)/MAX($P674:$S674),"")</f>
        <v>1</v>
      </c>
      <c r="AL674" s="0" t="n">
        <f aca="false">IF(AJ674=1,1+COUNTIF($P674:$S674,"&gt;"&amp;INDEX($F674:$J674,AI674)),"")</f>
        <v>1</v>
      </c>
      <c r="AM674" s="0" t="n">
        <f aca="false">AVERAGE($P674:$S674)/MAX($P674:$S674)</f>
        <v>0.569306930693069</v>
      </c>
      <c r="AN674" s="0" t="n">
        <f aca="false">100-INDEX($F674:$J674,$E674)</f>
        <v>65.4</v>
      </c>
    </row>
    <row r="675" customFormat="false" ht="15" hidden="false" customHeight="false" outlineLevel="0" collapsed="false">
      <c r="A675" s="0" t="s">
        <v>61</v>
      </c>
      <c r="B675" s="0" t="n">
        <v>2016</v>
      </c>
      <c r="C675" s="0" t="s">
        <v>49</v>
      </c>
      <c r="D675" s="0" t="s">
        <v>44</v>
      </c>
      <c r="E675" s="0" t="n">
        <v>3</v>
      </c>
      <c r="F675" s="0" t="n">
        <v>9.4</v>
      </c>
      <c r="G675" s="0" t="n">
        <v>13.9</v>
      </c>
      <c r="H675" s="0" t="n">
        <v>38.7</v>
      </c>
      <c r="I675" s="0" t="n">
        <v>9.6</v>
      </c>
      <c r="J675" s="0" t="n">
        <v>8.5</v>
      </c>
      <c r="K675" s="0" t="n">
        <v>4.41790844587</v>
      </c>
      <c r="L675" s="0" t="n">
        <v>13.179863479</v>
      </c>
      <c r="M675" s="0" t="n">
        <v>39.5406181839</v>
      </c>
      <c r="N675" s="0" t="n">
        <v>32.6851524579</v>
      </c>
      <c r="O675" s="0" t="n">
        <v>10.1764574333</v>
      </c>
      <c r="P675" s="0" t="n">
        <f aca="false">INDEX($F675:$J675,IF(1&lt;$E675,1,1+1))</f>
        <v>9.4</v>
      </c>
      <c r="Q675" s="0" t="n">
        <f aca="false">INDEX($F675:$J675,IF(2&lt;$E675,2,2+1))</f>
        <v>13.9</v>
      </c>
      <c r="R675" s="0" t="n">
        <f aca="false">INDEX($F675:$J675,IF(3&lt;$E675,3,3+1))</f>
        <v>9.6</v>
      </c>
      <c r="S675" s="0" t="n">
        <f aca="false">INDEX($F675:$J675,IF(4&lt;$E675,4,4+1))</f>
        <v>8.5</v>
      </c>
      <c r="T675" s="0" t="n">
        <f aca="false">INDEX($K675:$O675,IF(1&lt;$E675,1,1+1))</f>
        <v>4.41790844587</v>
      </c>
      <c r="U675" s="0" t="n">
        <f aca="false">INDEX($K675:$O675,IF(2&lt;$E675,2,2+1))</f>
        <v>13.179863479</v>
      </c>
      <c r="V675" s="0" t="n">
        <f aca="false">INDEX($K675:$O675,IF(3&lt;$E675,3,3+1))</f>
        <v>32.6851524579</v>
      </c>
      <c r="W675" s="0" t="n">
        <f aca="false">INDEX($K675:$O675,IF(4&lt;$E675,4,4+1))</f>
        <v>10.1764574333</v>
      </c>
      <c r="X675" s="0" t="n">
        <f aca="false">1+COUNTIF($P675:$S675,"&gt;"&amp;$P675)+(COUNTIF($P675:$S675,$P675)-1)/2</f>
        <v>3</v>
      </c>
      <c r="Y675" s="0" t="n">
        <f aca="false">1+COUNTIF($P675:$S675,"&gt;"&amp;$Q675)+(COUNTIF($P675:$S675,$Q675)-1)/2</f>
        <v>1</v>
      </c>
      <c r="Z675" s="0" t="n">
        <f aca="false">1+COUNTIF($P675:$S675,"&gt;"&amp;$R675)+(COUNTIF($P675:$S675,$R675)-1)/2</f>
        <v>2</v>
      </c>
      <c r="AA675" s="0" t="n">
        <f aca="false">1+COUNTIF($P675:$S675,"&gt;"&amp;$S675)+(COUNTIF($P675:$S675,$S675)-1)/2</f>
        <v>4</v>
      </c>
      <c r="AB675" s="0" t="n">
        <f aca="false">1+COUNTIF($T675:$W675,"&gt;"&amp;$T675)+(COUNTIF($T675:$W675,$T675)-1)/2</f>
        <v>4</v>
      </c>
      <c r="AC675" s="0" t="n">
        <f aca="false">1+COUNTIF($T675:$W675,"&gt;"&amp;$U675)+(COUNTIF($T675:$W675,$U675)-1)/2</f>
        <v>2</v>
      </c>
      <c r="AD675" s="0" t="n">
        <f aca="false">1+COUNTIF($T675:$W675,"&gt;"&amp;$V675)+(COUNTIF($T675:$W675,$V675)-1)/2</f>
        <v>1</v>
      </c>
      <c r="AE675" s="0" t="n">
        <f aca="false">1+COUNTIF($T675:$W675,"&gt;"&amp;$W675)+(COUNTIF($T675:$W675,$W675)-1)/2</f>
        <v>3</v>
      </c>
      <c r="AF675" s="0" t="n">
        <f aca="false">IFERROR(CORREL($P675:$S675,$T675:$W675),"")</f>
        <v>-0.00842862130600276</v>
      </c>
      <c r="AG675" s="0" t="n">
        <f aca="false">IFERROR(CORREL($X675:$AA675,$AB675:$AE675),"")</f>
        <v>0.6</v>
      </c>
      <c r="AH675" s="0" t="n">
        <f aca="false">IFERROR((SIGN($P675-$Q675)*SIGN($T675-$U675)+SIGN($P675-$R675)*SIGN($T675-$V675)+SIGN($P675-$S675)*SIGN($T675-$W675)+SIGN($Q675-$R675)*SIGN($U675-$V675)+SIGN($Q675-$S675)*SIGN($U675-$W675)+SIGN($R675-$S675)*SIGN($V675-$W675))/SQRT((6-(($P675=$Q675)*1+($P675=$R675)*1+($P675=$S675)*1+($Q675=$R675)*1+($Q675=$S675)*1+($R675=$S675)*1))*(6-(($T675=$U675)*1+($T675=$V675)*1+($T675=$W675)*1+($U675=$V675)*1+($U675=$W675)*1+($V675=$W675)*1))),"")</f>
        <v>0.333333333333333</v>
      </c>
      <c r="AI675" s="0" t="n">
        <f aca="false">MATCH(MAX($K675:$O675),$K675:$O675,0)</f>
        <v>3</v>
      </c>
      <c r="AJ675" s="0" t="n">
        <f aca="false">IF(AI675&lt;&gt;$E675,1,0)</f>
        <v>0</v>
      </c>
      <c r="AK675" s="0" t="str">
        <f aca="false">IF(AJ675=1,INDEX($F675:$J675,AI675)/MAX($P675:$S675),"")</f>
        <v/>
      </c>
      <c r="AL675" s="0" t="str">
        <f aca="false">IF(AJ675=1,1+COUNTIF($P675:$S675,"&gt;"&amp;INDEX($F675:$J675,AI675)),"")</f>
        <v/>
      </c>
      <c r="AM675" s="0" t="n">
        <f aca="false">AVERAGE($P675:$S675)/MAX($P675:$S675)</f>
        <v>0.744604316546763</v>
      </c>
      <c r="AN675" s="0" t="n">
        <f aca="false">100-INDEX($F675:$J675,$E675)</f>
        <v>61.3</v>
      </c>
    </row>
    <row r="676" customFormat="false" ht="15" hidden="false" customHeight="false" outlineLevel="0" collapsed="false">
      <c r="A676" s="0" t="s">
        <v>61</v>
      </c>
      <c r="B676" s="0" t="n">
        <v>2016</v>
      </c>
      <c r="C676" s="0" t="s">
        <v>49</v>
      </c>
      <c r="D676" s="0" t="s">
        <v>45</v>
      </c>
      <c r="E676" s="0" t="n">
        <v>2</v>
      </c>
      <c r="F676" s="0" t="n">
        <v>7.8</v>
      </c>
      <c r="G676" s="0" t="n">
        <v>32.9</v>
      </c>
      <c r="H676" s="0" t="n">
        <v>7.6</v>
      </c>
      <c r="I676" s="0" t="n">
        <v>7.8</v>
      </c>
      <c r="J676" s="0" t="n">
        <v>23.6</v>
      </c>
      <c r="K676" s="0" t="n">
        <v>7.64780222356</v>
      </c>
      <c r="L676" s="0" t="n">
        <v>29.2962725902</v>
      </c>
      <c r="M676" s="0" t="n">
        <v>17.3341503118</v>
      </c>
      <c r="N676" s="0" t="n">
        <v>21.1684717756</v>
      </c>
      <c r="O676" s="0" t="n">
        <v>24.5533030989</v>
      </c>
      <c r="P676" s="0" t="n">
        <f aca="false">INDEX($F676:$J676,IF(1&lt;$E676,1,1+1))</f>
        <v>7.8</v>
      </c>
      <c r="Q676" s="0" t="n">
        <f aca="false">INDEX($F676:$J676,IF(2&lt;$E676,2,2+1))</f>
        <v>7.6</v>
      </c>
      <c r="R676" s="0" t="n">
        <f aca="false">INDEX($F676:$J676,IF(3&lt;$E676,3,3+1))</f>
        <v>7.8</v>
      </c>
      <c r="S676" s="0" t="n">
        <f aca="false">INDEX($F676:$J676,IF(4&lt;$E676,4,4+1))</f>
        <v>23.6</v>
      </c>
      <c r="T676" s="0" t="n">
        <f aca="false">INDEX($K676:$O676,IF(1&lt;$E676,1,1+1))</f>
        <v>7.64780222356</v>
      </c>
      <c r="U676" s="0" t="n">
        <f aca="false">INDEX($K676:$O676,IF(2&lt;$E676,2,2+1))</f>
        <v>17.3341503118</v>
      </c>
      <c r="V676" s="0" t="n">
        <f aca="false">INDEX($K676:$O676,IF(3&lt;$E676,3,3+1))</f>
        <v>21.1684717756</v>
      </c>
      <c r="W676" s="0" t="n">
        <f aca="false">INDEX($K676:$O676,IF(4&lt;$E676,4,4+1))</f>
        <v>24.5533030989</v>
      </c>
      <c r="X676" s="0" t="n">
        <f aca="false">1+COUNTIF($P676:$S676,"&gt;"&amp;$P676)+(COUNTIF($P676:$S676,$P676)-1)/2</f>
        <v>2.5</v>
      </c>
      <c r="Y676" s="0" t="n">
        <f aca="false">1+COUNTIF($P676:$S676,"&gt;"&amp;$Q676)+(COUNTIF($P676:$S676,$Q676)-1)/2</f>
        <v>4</v>
      </c>
      <c r="Z676" s="0" t="n">
        <f aca="false">1+COUNTIF($P676:$S676,"&gt;"&amp;$R676)+(COUNTIF($P676:$S676,$R676)-1)/2</f>
        <v>2.5</v>
      </c>
      <c r="AA676" s="0" t="n">
        <f aca="false">1+COUNTIF($P676:$S676,"&gt;"&amp;$S676)+(COUNTIF($P676:$S676,$S676)-1)/2</f>
        <v>1</v>
      </c>
      <c r="AB676" s="0" t="n">
        <f aca="false">1+COUNTIF($T676:$W676,"&gt;"&amp;$T676)+(COUNTIF($T676:$W676,$T676)-1)/2</f>
        <v>4</v>
      </c>
      <c r="AC676" s="0" t="n">
        <f aca="false">1+COUNTIF($T676:$W676,"&gt;"&amp;$U676)+(COUNTIF($T676:$W676,$U676)-1)/2</f>
        <v>3</v>
      </c>
      <c r="AD676" s="0" t="n">
        <f aca="false">1+COUNTIF($T676:$W676,"&gt;"&amp;$V676)+(COUNTIF($T676:$W676,$V676)-1)/2</f>
        <v>2</v>
      </c>
      <c r="AE676" s="0" t="n">
        <f aca="false">1+COUNTIF($T676:$W676,"&gt;"&amp;$W676)+(COUNTIF($T676:$W676,$W676)-1)/2</f>
        <v>1</v>
      </c>
      <c r="AF676" s="0" t="n">
        <f aca="false">IFERROR(CORREL($P676:$S676,$T676:$W676),"")</f>
        <v>0.625182177695395</v>
      </c>
      <c r="AG676" s="0" t="n">
        <f aca="false">IFERROR(CORREL($X676:$AA676,$AB676:$AE676),"")</f>
        <v>0.632455532033676</v>
      </c>
      <c r="AH676" s="0" t="n">
        <f aca="false">IFERROR((SIGN($P676-$Q676)*SIGN($T676-$U676)+SIGN($P676-$R676)*SIGN($T676-$V676)+SIGN($P676-$S676)*SIGN($T676-$W676)+SIGN($Q676-$R676)*SIGN($U676-$V676)+SIGN($Q676-$S676)*SIGN($U676-$W676)+SIGN($R676-$S676)*SIGN($V676-$W676))/SQRT((6-(($P676=$Q676)*1+($P676=$R676)*1+($P676=$S676)*1+($Q676=$R676)*1+($Q676=$S676)*1+($R676=$S676)*1))*(6-(($T676=$U676)*1+($T676=$V676)*1+($T676=$W676)*1+($U676=$V676)*1+($U676=$W676)*1+($V676=$W676)*1))),"")</f>
        <v>0.547722557505166</v>
      </c>
      <c r="AI676" s="0" t="n">
        <f aca="false">MATCH(MAX($K676:$O676),$K676:$O676,0)</f>
        <v>2</v>
      </c>
      <c r="AJ676" s="0" t="n">
        <f aca="false">IF(AI676&lt;&gt;$E676,1,0)</f>
        <v>0</v>
      </c>
      <c r="AK676" s="0" t="str">
        <f aca="false">IF(AJ676=1,INDEX($F676:$J676,AI676)/MAX($P676:$S676),"")</f>
        <v/>
      </c>
      <c r="AL676" s="0" t="str">
        <f aca="false">IF(AJ676=1,1+COUNTIF($P676:$S676,"&gt;"&amp;INDEX($F676:$J676,AI676)),"")</f>
        <v/>
      </c>
      <c r="AM676" s="0" t="n">
        <f aca="false">AVERAGE($P676:$S676)/MAX($P676:$S676)</f>
        <v>0.495762711864407</v>
      </c>
      <c r="AN676" s="0" t="n">
        <f aca="false">100-INDEX($F676:$J676,$E676)</f>
        <v>67.1</v>
      </c>
    </row>
    <row r="677" customFormat="false" ht="15" hidden="false" customHeight="false" outlineLevel="0" collapsed="false">
      <c r="A677" s="0" t="s">
        <v>61</v>
      </c>
      <c r="B677" s="0" t="n">
        <v>2016</v>
      </c>
      <c r="C677" s="0" t="s">
        <v>51</v>
      </c>
      <c r="D677" s="0" t="s">
        <v>42</v>
      </c>
      <c r="E677" s="0" t="n">
        <v>2</v>
      </c>
      <c r="F677" s="0" t="n">
        <v>9.6</v>
      </c>
      <c r="G677" s="0" t="n">
        <v>41.9</v>
      </c>
      <c r="H677" s="0" t="n">
        <v>11.7</v>
      </c>
      <c r="I677" s="0" t="n">
        <v>12.6</v>
      </c>
      <c r="J677" s="0" t="n">
        <v>5.8</v>
      </c>
      <c r="K677" s="0" t="n">
        <v>1.44973480846</v>
      </c>
      <c r="L677" s="0" t="n">
        <v>65.5847742053</v>
      </c>
      <c r="M677" s="0" t="n">
        <v>0.0266649608597</v>
      </c>
      <c r="N677" s="0" t="n">
        <v>32.926768405</v>
      </c>
      <c r="O677" s="0" t="n">
        <v>0.0120576203525</v>
      </c>
      <c r="P677" s="0" t="n">
        <f aca="false">INDEX($F677:$J677,IF(1&lt;$E677,1,1+1))</f>
        <v>9.6</v>
      </c>
      <c r="Q677" s="0" t="n">
        <f aca="false">INDEX($F677:$J677,IF(2&lt;$E677,2,2+1))</f>
        <v>11.7</v>
      </c>
      <c r="R677" s="0" t="n">
        <f aca="false">INDEX($F677:$J677,IF(3&lt;$E677,3,3+1))</f>
        <v>12.6</v>
      </c>
      <c r="S677" s="0" t="n">
        <f aca="false">INDEX($F677:$J677,IF(4&lt;$E677,4,4+1))</f>
        <v>5.8</v>
      </c>
      <c r="T677" s="0" t="n">
        <f aca="false">INDEX($K677:$O677,IF(1&lt;$E677,1,1+1))</f>
        <v>1.44973480846</v>
      </c>
      <c r="U677" s="0" t="n">
        <f aca="false">INDEX($K677:$O677,IF(2&lt;$E677,2,2+1))</f>
        <v>0.0266649608597</v>
      </c>
      <c r="V677" s="0" t="n">
        <f aca="false">INDEX($K677:$O677,IF(3&lt;$E677,3,3+1))</f>
        <v>32.926768405</v>
      </c>
      <c r="W677" s="0" t="n">
        <f aca="false">INDEX($K677:$O677,IF(4&lt;$E677,4,4+1))</f>
        <v>0.0120576203525</v>
      </c>
      <c r="X677" s="0" t="n">
        <f aca="false">1+COUNTIF($P677:$S677,"&gt;"&amp;$P677)+(COUNTIF($P677:$S677,$P677)-1)/2</f>
        <v>3</v>
      </c>
      <c r="Y677" s="0" t="n">
        <f aca="false">1+COUNTIF($P677:$S677,"&gt;"&amp;$Q677)+(COUNTIF($P677:$S677,$Q677)-1)/2</f>
        <v>2</v>
      </c>
      <c r="Z677" s="0" t="n">
        <f aca="false">1+COUNTIF($P677:$S677,"&gt;"&amp;$R677)+(COUNTIF($P677:$S677,$R677)-1)/2</f>
        <v>1</v>
      </c>
      <c r="AA677" s="0" t="n">
        <f aca="false">1+COUNTIF($P677:$S677,"&gt;"&amp;$S677)+(COUNTIF($P677:$S677,$S677)-1)/2</f>
        <v>4</v>
      </c>
      <c r="AB677" s="0" t="n">
        <f aca="false">1+COUNTIF($T677:$W677,"&gt;"&amp;$T677)+(COUNTIF($T677:$W677,$T677)-1)/2</f>
        <v>2</v>
      </c>
      <c r="AC677" s="0" t="n">
        <f aca="false">1+COUNTIF($T677:$W677,"&gt;"&amp;$U677)+(COUNTIF($T677:$W677,$U677)-1)/2</f>
        <v>3</v>
      </c>
      <c r="AD677" s="0" t="n">
        <f aca="false">1+COUNTIF($T677:$W677,"&gt;"&amp;$V677)+(COUNTIF($T677:$W677,$V677)-1)/2</f>
        <v>1</v>
      </c>
      <c r="AE677" s="0" t="n">
        <f aca="false">1+COUNTIF($T677:$W677,"&gt;"&amp;$W677)+(COUNTIF($T677:$W677,$W677)-1)/2</f>
        <v>4</v>
      </c>
      <c r="AF677" s="0" t="n">
        <f aca="false">IFERROR(CORREL($P677:$S677,$T677:$W677),"")</f>
        <v>0.595082822025837</v>
      </c>
      <c r="AG677" s="0" t="n">
        <f aca="false">IFERROR(CORREL($X677:$AA677,$AB677:$AE677),"")</f>
        <v>0.8</v>
      </c>
      <c r="AH677" s="0" t="n">
        <f aca="false">IFERROR((SIGN($P677-$Q677)*SIGN($T677-$U677)+SIGN($P677-$R677)*SIGN($T677-$V677)+SIGN($P677-$S677)*SIGN($T677-$W677)+SIGN($Q677-$R677)*SIGN($U677-$V677)+SIGN($Q677-$S677)*SIGN($U677-$W677)+SIGN($R677-$S677)*SIGN($V677-$W677))/SQRT((6-(($P677=$Q677)*1+($P677=$R677)*1+($P677=$S677)*1+($Q677=$R677)*1+($Q677=$S677)*1+($R677=$S677)*1))*(6-(($T677=$U677)*1+($T677=$V677)*1+($T677=$W677)*1+($U677=$V677)*1+($U677=$W677)*1+($V677=$W677)*1))),"")</f>
        <v>0.666666666666667</v>
      </c>
      <c r="AI677" s="0" t="n">
        <f aca="false">MATCH(MAX($K677:$O677),$K677:$O677,0)</f>
        <v>2</v>
      </c>
      <c r="AJ677" s="0" t="n">
        <f aca="false">IF(AI677&lt;&gt;$E677,1,0)</f>
        <v>0</v>
      </c>
      <c r="AK677" s="0" t="str">
        <f aca="false">IF(AJ677=1,INDEX($F677:$J677,AI677)/MAX($P677:$S677),"")</f>
        <v/>
      </c>
      <c r="AL677" s="0" t="str">
        <f aca="false">IF(AJ677=1,1+COUNTIF($P677:$S677,"&gt;"&amp;INDEX($F677:$J677,AI677)),"")</f>
        <v/>
      </c>
      <c r="AM677" s="0" t="n">
        <f aca="false">AVERAGE($P677:$S677)/MAX($P677:$S677)</f>
        <v>0.787698412698413</v>
      </c>
      <c r="AN677" s="0" t="n">
        <f aca="false">100-INDEX($F677:$J677,$E677)</f>
        <v>58.1</v>
      </c>
    </row>
    <row r="678" customFormat="false" ht="15" hidden="false" customHeight="false" outlineLevel="0" collapsed="false">
      <c r="A678" s="0" t="s">
        <v>61</v>
      </c>
      <c r="B678" s="0" t="n">
        <v>2016</v>
      </c>
      <c r="C678" s="0" t="s">
        <v>51</v>
      </c>
      <c r="D678" s="0" t="s">
        <v>43</v>
      </c>
      <c r="E678" s="0" t="n">
        <v>5</v>
      </c>
      <c r="F678" s="0" t="n">
        <v>6.5</v>
      </c>
      <c r="G678" s="0" t="n">
        <v>4.3</v>
      </c>
      <c r="H678" s="0" t="n">
        <v>6.2</v>
      </c>
      <c r="I678" s="0" t="n">
        <v>12.2</v>
      </c>
      <c r="J678" s="0" t="n">
        <v>52.2</v>
      </c>
      <c r="K678" s="0" t="n">
        <v>8.27360713903</v>
      </c>
      <c r="L678" s="0" t="n">
        <v>0.232453886912</v>
      </c>
      <c r="M678" s="0" t="n">
        <v>40.7045017632</v>
      </c>
      <c r="N678" s="0" t="n">
        <v>40.2639401901</v>
      </c>
      <c r="O678" s="0" t="n">
        <v>10.5254970208</v>
      </c>
      <c r="P678" s="0" t="n">
        <f aca="false">INDEX($F678:$J678,IF(1&lt;$E678,1,1+1))</f>
        <v>6.5</v>
      </c>
      <c r="Q678" s="0" t="n">
        <f aca="false">INDEX($F678:$J678,IF(2&lt;$E678,2,2+1))</f>
        <v>4.3</v>
      </c>
      <c r="R678" s="0" t="n">
        <f aca="false">INDEX($F678:$J678,IF(3&lt;$E678,3,3+1))</f>
        <v>6.2</v>
      </c>
      <c r="S678" s="0" t="n">
        <f aca="false">INDEX($F678:$J678,IF(4&lt;$E678,4,4+1))</f>
        <v>12.2</v>
      </c>
      <c r="T678" s="0" t="n">
        <f aca="false">INDEX($K678:$O678,IF(1&lt;$E678,1,1+1))</f>
        <v>8.27360713903</v>
      </c>
      <c r="U678" s="0" t="n">
        <f aca="false">INDEX($K678:$O678,IF(2&lt;$E678,2,2+1))</f>
        <v>0.232453886912</v>
      </c>
      <c r="V678" s="0" t="n">
        <f aca="false">INDEX($K678:$O678,IF(3&lt;$E678,3,3+1))</f>
        <v>40.7045017632</v>
      </c>
      <c r="W678" s="0" t="n">
        <f aca="false">INDEX($K678:$O678,IF(4&lt;$E678,4,4+1))</f>
        <v>40.2639401901</v>
      </c>
      <c r="X678" s="0" t="n">
        <f aca="false">1+COUNTIF($P678:$S678,"&gt;"&amp;$P678)+(COUNTIF($P678:$S678,$P678)-1)/2</f>
        <v>2</v>
      </c>
      <c r="Y678" s="0" t="n">
        <f aca="false">1+COUNTIF($P678:$S678,"&gt;"&amp;$Q678)+(COUNTIF($P678:$S678,$Q678)-1)/2</f>
        <v>4</v>
      </c>
      <c r="Z678" s="0" t="n">
        <f aca="false">1+COUNTIF($P678:$S678,"&gt;"&amp;$R678)+(COUNTIF($P678:$S678,$R678)-1)/2</f>
        <v>3</v>
      </c>
      <c r="AA678" s="0" t="n">
        <f aca="false">1+COUNTIF($P678:$S678,"&gt;"&amp;$S678)+(COUNTIF($P678:$S678,$S678)-1)/2</f>
        <v>1</v>
      </c>
      <c r="AB678" s="0" t="n">
        <f aca="false">1+COUNTIF($T678:$W678,"&gt;"&amp;$T678)+(COUNTIF($T678:$W678,$T678)-1)/2</f>
        <v>3</v>
      </c>
      <c r="AC678" s="0" t="n">
        <f aca="false">1+COUNTIF($T678:$W678,"&gt;"&amp;$U678)+(COUNTIF($T678:$W678,$U678)-1)/2</f>
        <v>4</v>
      </c>
      <c r="AD678" s="0" t="n">
        <f aca="false">1+COUNTIF($T678:$W678,"&gt;"&amp;$V678)+(COUNTIF($T678:$W678,$V678)-1)/2</f>
        <v>1</v>
      </c>
      <c r="AE678" s="0" t="n">
        <f aca="false">1+COUNTIF($T678:$W678,"&gt;"&amp;$W678)+(COUNTIF($T678:$W678,$W678)-1)/2</f>
        <v>2</v>
      </c>
      <c r="AF678" s="0" t="n">
        <f aca="false">IFERROR(CORREL($P678:$S678,$T678:$W678),"")</f>
        <v>0.670544646605539</v>
      </c>
      <c r="AG678" s="0" t="n">
        <f aca="false">IFERROR(CORREL($X678:$AA678,$AB678:$AE678),"")</f>
        <v>0.4</v>
      </c>
      <c r="AH678" s="0" t="n">
        <f aca="false">IFERROR((SIGN($P678-$Q678)*SIGN($T678-$U678)+SIGN($P678-$R678)*SIGN($T678-$V678)+SIGN($P678-$S678)*SIGN($T678-$W678)+SIGN($Q678-$R678)*SIGN($U678-$V678)+SIGN($Q678-$S678)*SIGN($U678-$W678)+SIGN($R678-$S678)*SIGN($V678-$W678))/SQRT((6-(($P678=$Q678)*1+($P678=$R678)*1+($P678=$S678)*1+($Q678=$R678)*1+($Q678=$S678)*1+($R678=$S678)*1))*(6-(($T678=$U678)*1+($T678=$V678)*1+($T678=$W678)*1+($U678=$V678)*1+($U678=$W678)*1+($V678=$W678)*1))),"")</f>
        <v>0.333333333333333</v>
      </c>
      <c r="AI678" s="0" t="n">
        <f aca="false">MATCH(MAX($K678:$O678),$K678:$O678,0)</f>
        <v>3</v>
      </c>
      <c r="AJ678" s="0" t="n">
        <f aca="false">IF(AI678&lt;&gt;$E678,1,0)</f>
        <v>1</v>
      </c>
      <c r="AK678" s="0" t="n">
        <f aca="false">IF(AJ678=1,INDEX($F678:$J678,AI678)/MAX($P678:$S678),"")</f>
        <v>0.508196721311475</v>
      </c>
      <c r="AL678" s="0" t="n">
        <f aca="false">IF(AJ678=1,1+COUNTIF($P678:$S678,"&gt;"&amp;INDEX($F678:$J678,AI678)),"")</f>
        <v>3</v>
      </c>
      <c r="AM678" s="0" t="n">
        <f aca="false">AVERAGE($P678:$S678)/MAX($P678:$S678)</f>
        <v>0.598360655737705</v>
      </c>
      <c r="AN678" s="0" t="n">
        <f aca="false">100-INDEX($F678:$J678,$E678)</f>
        <v>47.8</v>
      </c>
    </row>
    <row r="679" customFormat="false" ht="15" hidden="false" customHeight="false" outlineLevel="0" collapsed="false">
      <c r="A679" s="0" t="s">
        <v>61</v>
      </c>
      <c r="B679" s="0" t="n">
        <v>2016</v>
      </c>
      <c r="C679" s="0" t="s">
        <v>51</v>
      </c>
      <c r="D679" s="0" t="s">
        <v>44</v>
      </c>
      <c r="E679" s="0" t="n">
        <v>1</v>
      </c>
      <c r="F679" s="0" t="n">
        <v>32.7</v>
      </c>
      <c r="G679" s="0" t="n">
        <v>6.8</v>
      </c>
      <c r="H679" s="0" t="n">
        <v>26</v>
      </c>
      <c r="I679" s="0" t="n">
        <v>6.6</v>
      </c>
      <c r="J679" s="0" t="n">
        <v>9.1</v>
      </c>
      <c r="K679" s="0" t="n">
        <v>41.1583910514</v>
      </c>
      <c r="L679" s="0" t="n">
        <v>5.08699854276</v>
      </c>
      <c r="M679" s="0" t="n">
        <v>25.1487481227</v>
      </c>
      <c r="N679" s="0" t="n">
        <v>16.1494673952</v>
      </c>
      <c r="O679" s="0" t="n">
        <v>12.456394888</v>
      </c>
      <c r="P679" s="0" t="n">
        <f aca="false">INDEX($F679:$J679,IF(1&lt;$E679,1,1+1))</f>
        <v>6.8</v>
      </c>
      <c r="Q679" s="0" t="n">
        <f aca="false">INDEX($F679:$J679,IF(2&lt;$E679,2,2+1))</f>
        <v>26</v>
      </c>
      <c r="R679" s="0" t="n">
        <f aca="false">INDEX($F679:$J679,IF(3&lt;$E679,3,3+1))</f>
        <v>6.6</v>
      </c>
      <c r="S679" s="0" t="n">
        <f aca="false">INDEX($F679:$J679,IF(4&lt;$E679,4,4+1))</f>
        <v>9.1</v>
      </c>
      <c r="T679" s="0" t="n">
        <f aca="false">INDEX($K679:$O679,IF(1&lt;$E679,1,1+1))</f>
        <v>5.08699854276</v>
      </c>
      <c r="U679" s="0" t="n">
        <f aca="false">INDEX($K679:$O679,IF(2&lt;$E679,2,2+1))</f>
        <v>25.1487481227</v>
      </c>
      <c r="V679" s="0" t="n">
        <f aca="false">INDEX($K679:$O679,IF(3&lt;$E679,3,3+1))</f>
        <v>16.1494673952</v>
      </c>
      <c r="W679" s="0" t="n">
        <f aca="false">INDEX($K679:$O679,IF(4&lt;$E679,4,4+1))</f>
        <v>12.456394888</v>
      </c>
      <c r="X679" s="0" t="n">
        <f aca="false">1+COUNTIF($P679:$S679,"&gt;"&amp;$P679)+(COUNTIF($P679:$S679,$P679)-1)/2</f>
        <v>3</v>
      </c>
      <c r="Y679" s="0" t="n">
        <f aca="false">1+COUNTIF($P679:$S679,"&gt;"&amp;$Q679)+(COUNTIF($P679:$S679,$Q679)-1)/2</f>
        <v>1</v>
      </c>
      <c r="Z679" s="0" t="n">
        <f aca="false">1+COUNTIF($P679:$S679,"&gt;"&amp;$R679)+(COUNTIF($P679:$S679,$R679)-1)/2</f>
        <v>4</v>
      </c>
      <c r="AA679" s="0" t="n">
        <f aca="false">1+COUNTIF($P679:$S679,"&gt;"&amp;$S679)+(COUNTIF($P679:$S679,$S679)-1)/2</f>
        <v>2</v>
      </c>
      <c r="AB679" s="0" t="n">
        <f aca="false">1+COUNTIF($T679:$W679,"&gt;"&amp;$T679)+(COUNTIF($T679:$W679,$T679)-1)/2</f>
        <v>4</v>
      </c>
      <c r="AC679" s="0" t="n">
        <f aca="false">1+COUNTIF($T679:$W679,"&gt;"&amp;$U679)+(COUNTIF($T679:$W679,$U679)-1)/2</f>
        <v>1</v>
      </c>
      <c r="AD679" s="0" t="n">
        <f aca="false">1+COUNTIF($T679:$W679,"&gt;"&amp;$V679)+(COUNTIF($T679:$W679,$V679)-1)/2</f>
        <v>2</v>
      </c>
      <c r="AE679" s="0" t="n">
        <f aca="false">1+COUNTIF($T679:$W679,"&gt;"&amp;$W679)+(COUNTIF($T679:$W679,$W679)-1)/2</f>
        <v>3</v>
      </c>
      <c r="AF679" s="0" t="n">
        <f aca="false">IFERROR(CORREL($P679:$S679,$T679:$W679),"")</f>
        <v>0.835957920183912</v>
      </c>
      <c r="AG679" s="0" t="n">
        <f aca="false">IFERROR(CORREL($X679:$AA679,$AB679:$AE679),"")</f>
        <v>0.4</v>
      </c>
      <c r="AH679" s="0" t="n">
        <f aca="false">IFERROR((SIGN($P679-$Q679)*SIGN($T679-$U679)+SIGN($P679-$R679)*SIGN($T679-$V679)+SIGN($P679-$S679)*SIGN($T679-$W679)+SIGN($Q679-$R679)*SIGN($U679-$V679)+SIGN($Q679-$S679)*SIGN($U679-$W679)+SIGN($R679-$S679)*SIGN($V679-$W679))/SQRT((6-(($P679=$Q679)*1+($P679=$R679)*1+($P679=$S679)*1+($Q679=$R679)*1+($Q679=$S679)*1+($R679=$S679)*1))*(6-(($T679=$U679)*1+($T679=$V679)*1+($T679=$W679)*1+($U679=$V679)*1+($U679=$W679)*1+($V679=$W679)*1))),"")</f>
        <v>0.333333333333333</v>
      </c>
      <c r="AI679" s="0" t="n">
        <f aca="false">MATCH(MAX($K679:$O679),$K679:$O679,0)</f>
        <v>1</v>
      </c>
      <c r="AJ679" s="0" t="n">
        <f aca="false">IF(AI679&lt;&gt;$E679,1,0)</f>
        <v>0</v>
      </c>
      <c r="AK679" s="0" t="str">
        <f aca="false">IF(AJ679=1,INDEX($F679:$J679,AI679)/MAX($P679:$S679),"")</f>
        <v/>
      </c>
      <c r="AL679" s="0" t="str">
        <f aca="false">IF(AJ679=1,1+COUNTIF($P679:$S679,"&gt;"&amp;INDEX($F679:$J679,AI679)),"")</f>
        <v/>
      </c>
      <c r="AM679" s="0" t="n">
        <f aca="false">AVERAGE($P679:$S679)/MAX($P679:$S679)</f>
        <v>0.466346153846154</v>
      </c>
      <c r="AN679" s="0" t="n">
        <f aca="false">100-INDEX($F679:$J679,$E679)</f>
        <v>67.3</v>
      </c>
    </row>
    <row r="680" customFormat="false" ht="15" hidden="false" customHeight="false" outlineLevel="0" collapsed="false">
      <c r="A680" s="0" t="s">
        <v>61</v>
      </c>
      <c r="B680" s="0" t="n">
        <v>2016</v>
      </c>
      <c r="C680" s="0" t="s">
        <v>46</v>
      </c>
      <c r="D680" s="0" t="s">
        <v>43</v>
      </c>
      <c r="E680" s="0" t="n">
        <v>4</v>
      </c>
      <c r="F680" s="0" t="n">
        <v>10.3</v>
      </c>
      <c r="G680" s="0" t="n">
        <v>12.9</v>
      </c>
      <c r="H680" s="0" t="n">
        <v>5.5</v>
      </c>
      <c r="I680" s="0" t="n">
        <v>40.5</v>
      </c>
      <c r="J680" s="0" t="n">
        <v>8</v>
      </c>
      <c r="K680" s="0" t="n">
        <v>39.8271560783</v>
      </c>
      <c r="L680" s="0" t="n">
        <v>1.54379432582</v>
      </c>
      <c r="M680" s="0" t="n">
        <v>11.0049490461</v>
      </c>
      <c r="N680" s="0" t="n">
        <v>44.452127397</v>
      </c>
      <c r="O680" s="0" t="n">
        <v>3.17197315286</v>
      </c>
      <c r="P680" s="0" t="n">
        <f aca="false">INDEX($F680:$J680,IF(1&lt;$E680,1,1+1))</f>
        <v>10.3</v>
      </c>
      <c r="Q680" s="0" t="n">
        <f aca="false">INDEX($F680:$J680,IF(2&lt;$E680,2,2+1))</f>
        <v>12.9</v>
      </c>
      <c r="R680" s="0" t="n">
        <f aca="false">INDEX($F680:$J680,IF(3&lt;$E680,3,3+1))</f>
        <v>5.5</v>
      </c>
      <c r="S680" s="0" t="n">
        <f aca="false">INDEX($F680:$J680,IF(4&lt;$E680,4,4+1))</f>
        <v>8</v>
      </c>
      <c r="T680" s="0" t="n">
        <f aca="false">INDEX($K680:$O680,IF(1&lt;$E680,1,1+1))</f>
        <v>39.8271560783</v>
      </c>
      <c r="U680" s="0" t="n">
        <f aca="false">INDEX($K680:$O680,IF(2&lt;$E680,2,2+1))</f>
        <v>1.54379432582</v>
      </c>
      <c r="V680" s="0" t="n">
        <f aca="false">INDEX($K680:$O680,IF(3&lt;$E680,3,3+1))</f>
        <v>11.0049490461</v>
      </c>
      <c r="W680" s="0" t="n">
        <f aca="false">INDEX($K680:$O680,IF(4&lt;$E680,4,4+1))</f>
        <v>3.17197315286</v>
      </c>
      <c r="X680" s="0" t="n">
        <f aca="false">1+COUNTIF($P680:$S680,"&gt;"&amp;$P680)+(COUNTIF($P680:$S680,$P680)-1)/2</f>
        <v>2</v>
      </c>
      <c r="Y680" s="0" t="n">
        <f aca="false">1+COUNTIF($P680:$S680,"&gt;"&amp;$Q680)+(COUNTIF($P680:$S680,$Q680)-1)/2</f>
        <v>1</v>
      </c>
      <c r="Z680" s="0" t="n">
        <f aca="false">1+COUNTIF($P680:$S680,"&gt;"&amp;$R680)+(COUNTIF($P680:$S680,$R680)-1)/2</f>
        <v>4</v>
      </c>
      <c r="AA680" s="0" t="n">
        <f aca="false">1+COUNTIF($P680:$S680,"&gt;"&amp;$S680)+(COUNTIF($P680:$S680,$S680)-1)/2</f>
        <v>3</v>
      </c>
      <c r="AB680" s="0" t="n">
        <f aca="false">1+COUNTIF($T680:$W680,"&gt;"&amp;$T680)+(COUNTIF($T680:$W680,$T680)-1)/2</f>
        <v>1</v>
      </c>
      <c r="AC680" s="0" t="n">
        <f aca="false">1+COUNTIF($T680:$W680,"&gt;"&amp;$U680)+(COUNTIF($T680:$W680,$U680)-1)/2</f>
        <v>4</v>
      </c>
      <c r="AD680" s="0" t="n">
        <f aca="false">1+COUNTIF($T680:$W680,"&gt;"&amp;$V680)+(COUNTIF($T680:$W680,$V680)-1)/2</f>
        <v>2</v>
      </c>
      <c r="AE680" s="0" t="n">
        <f aca="false">1+COUNTIF($T680:$W680,"&gt;"&amp;$W680)+(COUNTIF($T680:$W680,$W680)-1)/2</f>
        <v>3</v>
      </c>
      <c r="AF680" s="0" t="n">
        <f aca="false">IFERROR(CORREL($P680:$S680,$T680:$W680),"")</f>
        <v>0.0378422382808114</v>
      </c>
      <c r="AG680" s="0" t="n">
        <f aca="false">IFERROR(CORREL($X680:$AA680,$AB680:$AE680),"")</f>
        <v>-0.4</v>
      </c>
      <c r="AH680" s="0" t="n">
        <f aca="false">IFERROR((SIGN($P680-$Q680)*SIGN($T680-$U680)+SIGN($P680-$R680)*SIGN($T680-$V680)+SIGN($P680-$S680)*SIGN($T680-$W680)+SIGN($Q680-$R680)*SIGN($U680-$V680)+SIGN($Q680-$S680)*SIGN($U680-$W680)+SIGN($R680-$S680)*SIGN($V680-$W680))/SQRT((6-(($P680=$Q680)*1+($P680=$R680)*1+($P680=$S680)*1+($Q680=$R680)*1+($Q680=$S680)*1+($R680=$S680)*1))*(6-(($T680=$U680)*1+($T680=$V680)*1+($T680=$W680)*1+($U680=$V680)*1+($U680=$W680)*1+($V680=$W680)*1))),"")</f>
        <v>-0.333333333333333</v>
      </c>
      <c r="AI680" s="0" t="n">
        <f aca="false">MATCH(MAX($K680:$O680),$K680:$O680,0)</f>
        <v>4</v>
      </c>
      <c r="AJ680" s="0" t="n">
        <f aca="false">IF(AI680&lt;&gt;$E680,1,0)</f>
        <v>0</v>
      </c>
      <c r="AK680" s="0" t="str">
        <f aca="false">IF(AJ680=1,INDEX($F680:$J680,AI680)/MAX($P680:$S680),"")</f>
        <v/>
      </c>
      <c r="AL680" s="0" t="str">
        <f aca="false">IF(AJ680=1,1+COUNTIF($P680:$S680,"&gt;"&amp;INDEX($F680:$J680,AI680)),"")</f>
        <v/>
      </c>
      <c r="AM680" s="0" t="n">
        <f aca="false">AVERAGE($P680:$S680)/MAX($P680:$S680)</f>
        <v>0.711240310077519</v>
      </c>
      <c r="AN680" s="0" t="n">
        <f aca="false">100-INDEX($F680:$J680,$E680)</f>
        <v>59.5</v>
      </c>
    </row>
    <row r="681" customFormat="false" ht="15" hidden="false" customHeight="false" outlineLevel="0" collapsed="false">
      <c r="A681" s="0" t="s">
        <v>61</v>
      </c>
      <c r="B681" s="0" t="n">
        <v>2016</v>
      </c>
      <c r="C681" s="0" t="s">
        <v>46</v>
      </c>
      <c r="D681" s="0" t="s">
        <v>44</v>
      </c>
      <c r="E681" s="0" t="n">
        <v>2</v>
      </c>
      <c r="F681" s="0" t="n">
        <v>18</v>
      </c>
      <c r="G681" s="0" t="n">
        <v>30.6</v>
      </c>
      <c r="H681" s="0" t="n">
        <v>4.5</v>
      </c>
      <c r="I681" s="0" t="n">
        <v>7.3</v>
      </c>
      <c r="J681" s="0" t="n">
        <v>16.5</v>
      </c>
      <c r="K681" s="0" t="n">
        <v>33.200938774</v>
      </c>
      <c r="L681" s="0" t="n">
        <v>11.5478480957</v>
      </c>
      <c r="M681" s="0" t="n">
        <v>3.67705850198</v>
      </c>
      <c r="N681" s="0" t="n">
        <v>29.567741216</v>
      </c>
      <c r="O681" s="0" t="n">
        <v>22.0064134124</v>
      </c>
      <c r="P681" s="0" t="n">
        <f aca="false">INDEX($F681:$J681,IF(1&lt;$E681,1,1+1))</f>
        <v>18</v>
      </c>
      <c r="Q681" s="0" t="n">
        <f aca="false">INDEX($F681:$J681,IF(2&lt;$E681,2,2+1))</f>
        <v>4.5</v>
      </c>
      <c r="R681" s="0" t="n">
        <f aca="false">INDEX($F681:$J681,IF(3&lt;$E681,3,3+1))</f>
        <v>7.3</v>
      </c>
      <c r="S681" s="0" t="n">
        <f aca="false">INDEX($F681:$J681,IF(4&lt;$E681,4,4+1))</f>
        <v>16.5</v>
      </c>
      <c r="T681" s="0" t="n">
        <f aca="false">INDEX($K681:$O681,IF(1&lt;$E681,1,1+1))</f>
        <v>33.200938774</v>
      </c>
      <c r="U681" s="0" t="n">
        <f aca="false">INDEX($K681:$O681,IF(2&lt;$E681,2,2+1))</f>
        <v>3.67705850198</v>
      </c>
      <c r="V681" s="0" t="n">
        <f aca="false">INDEX($K681:$O681,IF(3&lt;$E681,3,3+1))</f>
        <v>29.567741216</v>
      </c>
      <c r="W681" s="0" t="n">
        <f aca="false">INDEX($K681:$O681,IF(4&lt;$E681,4,4+1))</f>
        <v>22.0064134124</v>
      </c>
      <c r="X681" s="0" t="n">
        <f aca="false">1+COUNTIF($P681:$S681,"&gt;"&amp;$P681)+(COUNTIF($P681:$S681,$P681)-1)/2</f>
        <v>1</v>
      </c>
      <c r="Y681" s="0" t="n">
        <f aca="false">1+COUNTIF($P681:$S681,"&gt;"&amp;$Q681)+(COUNTIF($P681:$S681,$Q681)-1)/2</f>
        <v>4</v>
      </c>
      <c r="Z681" s="0" t="n">
        <f aca="false">1+COUNTIF($P681:$S681,"&gt;"&amp;$R681)+(COUNTIF($P681:$S681,$R681)-1)/2</f>
        <v>3</v>
      </c>
      <c r="AA681" s="0" t="n">
        <f aca="false">1+COUNTIF($P681:$S681,"&gt;"&amp;$S681)+(COUNTIF($P681:$S681,$S681)-1)/2</f>
        <v>2</v>
      </c>
      <c r="AB681" s="0" t="n">
        <f aca="false">1+COUNTIF($T681:$W681,"&gt;"&amp;$T681)+(COUNTIF($T681:$W681,$T681)-1)/2</f>
        <v>1</v>
      </c>
      <c r="AC681" s="0" t="n">
        <f aca="false">1+COUNTIF($T681:$W681,"&gt;"&amp;$U681)+(COUNTIF($T681:$W681,$U681)-1)/2</f>
        <v>4</v>
      </c>
      <c r="AD681" s="0" t="n">
        <f aca="false">1+COUNTIF($T681:$W681,"&gt;"&amp;$V681)+(COUNTIF($T681:$W681,$V681)-1)/2</f>
        <v>2</v>
      </c>
      <c r="AE681" s="0" t="n">
        <f aca="false">1+COUNTIF($T681:$W681,"&gt;"&amp;$W681)+(COUNTIF($T681:$W681,$W681)-1)/2</f>
        <v>3</v>
      </c>
      <c r="AF681" s="0" t="n">
        <f aca="false">IFERROR(CORREL($P681:$S681,$T681:$W681),"")</f>
        <v>0.642586935001635</v>
      </c>
      <c r="AG681" s="0" t="n">
        <f aca="false">IFERROR(CORREL($X681:$AA681,$AB681:$AE681),"")</f>
        <v>0.8</v>
      </c>
      <c r="AH681" s="0" t="n">
        <f aca="false">IFERROR((SIGN($P681-$Q681)*SIGN($T681-$U681)+SIGN($P681-$R681)*SIGN($T681-$V681)+SIGN($P681-$S681)*SIGN($T681-$W681)+SIGN($Q681-$R681)*SIGN($U681-$V681)+SIGN($Q681-$S681)*SIGN($U681-$W681)+SIGN($R681-$S681)*SIGN($V681-$W681))/SQRT((6-(($P681=$Q681)*1+($P681=$R681)*1+($P681=$S681)*1+($Q681=$R681)*1+($Q681=$S681)*1+($R681=$S681)*1))*(6-(($T681=$U681)*1+($T681=$V681)*1+($T681=$W681)*1+($U681=$V681)*1+($U681=$W681)*1+($V681=$W681)*1))),"")</f>
        <v>0.666666666666667</v>
      </c>
      <c r="AI681" s="0" t="n">
        <f aca="false">MATCH(MAX($K681:$O681),$K681:$O681,0)</f>
        <v>1</v>
      </c>
      <c r="AJ681" s="0" t="n">
        <f aca="false">IF(AI681&lt;&gt;$E681,1,0)</f>
        <v>1</v>
      </c>
      <c r="AK681" s="0" t="n">
        <f aca="false">IF(AJ681=1,INDEX($F681:$J681,AI681)/MAX($P681:$S681),"")</f>
        <v>1</v>
      </c>
      <c r="AL681" s="0" t="n">
        <f aca="false">IF(AJ681=1,1+COUNTIF($P681:$S681,"&gt;"&amp;INDEX($F681:$J681,AI681)),"")</f>
        <v>1</v>
      </c>
      <c r="AM681" s="0" t="n">
        <f aca="false">AVERAGE($P681:$S681)/MAX($P681:$S681)</f>
        <v>0.643055555555556</v>
      </c>
      <c r="AN681" s="0" t="n">
        <f aca="false">100-INDEX($F681:$J681,$E681)</f>
        <v>69.4</v>
      </c>
    </row>
    <row r="682" customFormat="false" ht="15" hidden="false" customHeight="false" outlineLevel="0" collapsed="false">
      <c r="A682" s="0" t="s">
        <v>61</v>
      </c>
      <c r="B682" s="0" t="n">
        <v>2015</v>
      </c>
      <c r="C682" s="0" t="s">
        <v>58</v>
      </c>
      <c r="D682" s="0" t="s">
        <v>44</v>
      </c>
      <c r="E682" s="0" t="n">
        <v>1</v>
      </c>
      <c r="F682" s="0" t="n">
        <v>34.5</v>
      </c>
      <c r="G682" s="0" t="n">
        <v>12.4</v>
      </c>
      <c r="H682" s="0" t="n">
        <v>14.9</v>
      </c>
      <c r="I682" s="0" t="n">
        <v>12</v>
      </c>
      <c r="J682" s="0" t="n">
        <v>9.9</v>
      </c>
      <c r="K682" s="0" t="n">
        <v>3.64167073597</v>
      </c>
      <c r="L682" s="0" t="n">
        <v>2.47066684709</v>
      </c>
      <c r="M682" s="0" t="n">
        <v>28.3268934109</v>
      </c>
      <c r="N682" s="0" t="n">
        <v>44.066196895</v>
      </c>
      <c r="O682" s="0" t="n">
        <v>21.4945721111</v>
      </c>
      <c r="P682" s="0" t="n">
        <f aca="false">INDEX($F682:$J682,IF(1&lt;$E682,1,1+1))</f>
        <v>12.4</v>
      </c>
      <c r="Q682" s="0" t="n">
        <f aca="false">INDEX($F682:$J682,IF(2&lt;$E682,2,2+1))</f>
        <v>14.9</v>
      </c>
      <c r="R682" s="0" t="n">
        <f aca="false">INDEX($F682:$J682,IF(3&lt;$E682,3,3+1))</f>
        <v>12</v>
      </c>
      <c r="S682" s="0" t="n">
        <f aca="false">INDEX($F682:$J682,IF(4&lt;$E682,4,4+1))</f>
        <v>9.9</v>
      </c>
      <c r="T682" s="0" t="n">
        <f aca="false">INDEX($K682:$O682,IF(1&lt;$E682,1,1+1))</f>
        <v>2.47066684709</v>
      </c>
      <c r="U682" s="0" t="n">
        <f aca="false">INDEX($K682:$O682,IF(2&lt;$E682,2,2+1))</f>
        <v>28.3268934109</v>
      </c>
      <c r="V682" s="0" t="n">
        <f aca="false">INDEX($K682:$O682,IF(3&lt;$E682,3,3+1))</f>
        <v>44.066196895</v>
      </c>
      <c r="W682" s="0" t="n">
        <f aca="false">INDEX($K682:$O682,IF(4&lt;$E682,4,4+1))</f>
        <v>21.4945721111</v>
      </c>
      <c r="X682" s="0" t="n">
        <f aca="false">1+COUNTIF($P682:$S682,"&gt;"&amp;$P682)+(COUNTIF($P682:$S682,$P682)-1)/2</f>
        <v>2</v>
      </c>
      <c r="Y682" s="0" t="n">
        <f aca="false">1+COUNTIF($P682:$S682,"&gt;"&amp;$Q682)+(COUNTIF($P682:$S682,$Q682)-1)/2</f>
        <v>1</v>
      </c>
      <c r="Z682" s="0" t="n">
        <f aca="false">1+COUNTIF($P682:$S682,"&gt;"&amp;$R682)+(COUNTIF($P682:$S682,$R682)-1)/2</f>
        <v>3</v>
      </c>
      <c r="AA682" s="0" t="n">
        <f aca="false">1+COUNTIF($P682:$S682,"&gt;"&amp;$S682)+(COUNTIF($P682:$S682,$S682)-1)/2</f>
        <v>4</v>
      </c>
      <c r="AB682" s="0" t="n">
        <f aca="false">1+COUNTIF($T682:$W682,"&gt;"&amp;$T682)+(COUNTIF($T682:$W682,$T682)-1)/2</f>
        <v>4</v>
      </c>
      <c r="AC682" s="0" t="n">
        <f aca="false">1+COUNTIF($T682:$W682,"&gt;"&amp;$U682)+(COUNTIF($T682:$W682,$U682)-1)/2</f>
        <v>2</v>
      </c>
      <c r="AD682" s="0" t="n">
        <f aca="false">1+COUNTIF($T682:$W682,"&gt;"&amp;$V682)+(COUNTIF($T682:$W682,$V682)-1)/2</f>
        <v>1</v>
      </c>
      <c r="AE682" s="0" t="n">
        <f aca="false">1+COUNTIF($T682:$W682,"&gt;"&amp;$W682)+(COUNTIF($T682:$W682,$W682)-1)/2</f>
        <v>3</v>
      </c>
      <c r="AF682" s="0" t="n">
        <f aca="false">IFERROR(CORREL($P682:$S682,$T682:$W682),"")</f>
        <v>0.0857177621297368</v>
      </c>
      <c r="AG682" s="0" t="n">
        <f aca="false">IFERROR(CORREL($X682:$AA682,$AB682:$AE682),"")</f>
        <v>0</v>
      </c>
      <c r="AH682" s="0" t="n">
        <f aca="false">IFERROR((SIGN($P682-$Q682)*SIGN($T682-$U682)+SIGN($P682-$R682)*SIGN($T682-$V682)+SIGN($P682-$S682)*SIGN($T682-$W682)+SIGN($Q682-$R682)*SIGN($U682-$V682)+SIGN($Q682-$S682)*SIGN($U682-$W682)+SIGN($R682-$S682)*SIGN($V682-$W682))/SQRT((6-(($P682=$Q682)*1+($P682=$R682)*1+($P682=$S682)*1+($Q682=$R682)*1+($Q682=$S682)*1+($R682=$S682)*1))*(6-(($T682=$U682)*1+($T682=$V682)*1+($T682=$W682)*1+($U682=$V682)*1+($U682=$W682)*1+($V682=$W682)*1))),"")</f>
        <v>0</v>
      </c>
      <c r="AI682" s="0" t="n">
        <f aca="false">MATCH(MAX($K682:$O682),$K682:$O682,0)</f>
        <v>4</v>
      </c>
      <c r="AJ682" s="0" t="n">
        <f aca="false">IF(AI682&lt;&gt;$E682,1,0)</f>
        <v>1</v>
      </c>
      <c r="AK682" s="0" t="n">
        <f aca="false">IF(AJ682=1,INDEX($F682:$J682,AI682)/MAX($P682:$S682),"")</f>
        <v>0.805369127516779</v>
      </c>
      <c r="AL682" s="0" t="n">
        <f aca="false">IF(AJ682=1,1+COUNTIF($P682:$S682,"&gt;"&amp;INDEX($F682:$J682,AI682)),"")</f>
        <v>3</v>
      </c>
      <c r="AM682" s="0" t="n">
        <f aca="false">AVERAGE($P682:$S682)/MAX($P682:$S682)</f>
        <v>0.825503355704698</v>
      </c>
      <c r="AN682" s="0" t="n">
        <f aca="false">100-INDEX($F682:$J682,$E682)</f>
        <v>65.5</v>
      </c>
    </row>
    <row r="683" customFormat="false" ht="15" hidden="false" customHeight="false" outlineLevel="0" collapsed="false">
      <c r="A683" s="0" t="s">
        <v>61</v>
      </c>
      <c r="B683" s="0" t="n">
        <v>2015</v>
      </c>
      <c r="C683" s="0" t="s">
        <v>49</v>
      </c>
      <c r="D683" s="0" t="s">
        <v>43</v>
      </c>
      <c r="E683" s="0" t="n">
        <v>2</v>
      </c>
      <c r="F683" s="0" t="n">
        <v>7.6</v>
      </c>
      <c r="G683" s="0" t="n">
        <v>43.4</v>
      </c>
      <c r="H683" s="0" t="n">
        <v>7.1</v>
      </c>
      <c r="I683" s="0" t="n">
        <v>13.6</v>
      </c>
      <c r="J683" s="0" t="n">
        <v>11.7</v>
      </c>
      <c r="K683" s="0" t="n">
        <v>0.271139875775</v>
      </c>
      <c r="L683" s="0" t="n">
        <v>28.0437856343</v>
      </c>
      <c r="M683" s="0" t="n">
        <v>6.79328417999</v>
      </c>
      <c r="N683" s="0" t="n">
        <v>5.68834594405</v>
      </c>
      <c r="O683" s="0" t="n">
        <v>59.2034443659</v>
      </c>
      <c r="P683" s="0" t="n">
        <f aca="false">INDEX($F683:$J683,IF(1&lt;$E683,1,1+1))</f>
        <v>7.6</v>
      </c>
      <c r="Q683" s="0" t="n">
        <f aca="false">INDEX($F683:$J683,IF(2&lt;$E683,2,2+1))</f>
        <v>7.1</v>
      </c>
      <c r="R683" s="0" t="n">
        <f aca="false">INDEX($F683:$J683,IF(3&lt;$E683,3,3+1))</f>
        <v>13.6</v>
      </c>
      <c r="S683" s="0" t="n">
        <f aca="false">INDEX($F683:$J683,IF(4&lt;$E683,4,4+1))</f>
        <v>11.7</v>
      </c>
      <c r="T683" s="0" t="n">
        <f aca="false">INDEX($K683:$O683,IF(1&lt;$E683,1,1+1))</f>
        <v>0.271139875775</v>
      </c>
      <c r="U683" s="0" t="n">
        <f aca="false">INDEX($K683:$O683,IF(2&lt;$E683,2,2+1))</f>
        <v>6.79328417999</v>
      </c>
      <c r="V683" s="0" t="n">
        <f aca="false">INDEX($K683:$O683,IF(3&lt;$E683,3,3+1))</f>
        <v>5.68834594405</v>
      </c>
      <c r="W683" s="0" t="n">
        <f aca="false">INDEX($K683:$O683,IF(4&lt;$E683,4,4+1))</f>
        <v>59.2034443659</v>
      </c>
      <c r="X683" s="0" t="n">
        <f aca="false">1+COUNTIF($P683:$S683,"&gt;"&amp;$P683)+(COUNTIF($P683:$S683,$P683)-1)/2</f>
        <v>3</v>
      </c>
      <c r="Y683" s="0" t="n">
        <f aca="false">1+COUNTIF($P683:$S683,"&gt;"&amp;$Q683)+(COUNTIF($P683:$S683,$Q683)-1)/2</f>
        <v>4</v>
      </c>
      <c r="Z683" s="0" t="n">
        <f aca="false">1+COUNTIF($P683:$S683,"&gt;"&amp;$R683)+(COUNTIF($P683:$S683,$R683)-1)/2</f>
        <v>1</v>
      </c>
      <c r="AA683" s="0" t="n">
        <f aca="false">1+COUNTIF($P683:$S683,"&gt;"&amp;$S683)+(COUNTIF($P683:$S683,$S683)-1)/2</f>
        <v>2</v>
      </c>
      <c r="AB683" s="0" t="n">
        <f aca="false">1+COUNTIF($T683:$W683,"&gt;"&amp;$T683)+(COUNTIF($T683:$W683,$T683)-1)/2</f>
        <v>4</v>
      </c>
      <c r="AC683" s="0" t="n">
        <f aca="false">1+COUNTIF($T683:$W683,"&gt;"&amp;$U683)+(COUNTIF($T683:$W683,$U683)-1)/2</f>
        <v>2</v>
      </c>
      <c r="AD683" s="0" t="n">
        <f aca="false">1+COUNTIF($T683:$W683,"&gt;"&amp;$V683)+(COUNTIF($T683:$W683,$V683)-1)/2</f>
        <v>3</v>
      </c>
      <c r="AE683" s="0" t="n">
        <f aca="false">1+COUNTIF($T683:$W683,"&gt;"&amp;$W683)+(COUNTIF($T683:$W683,$W683)-1)/2</f>
        <v>1</v>
      </c>
      <c r="AF683" s="0" t="n">
        <f aca="false">IFERROR(CORREL($P683:$S683,$T683:$W683),"")</f>
        <v>0.384410401605557</v>
      </c>
      <c r="AG683" s="0" t="n">
        <f aca="false">IFERROR(CORREL($X683:$AA683,$AB683:$AE683),"")</f>
        <v>0</v>
      </c>
      <c r="AH683" s="0" t="n">
        <f aca="false">IFERROR((SIGN($P683-$Q683)*SIGN($T683-$U683)+SIGN($P683-$R683)*SIGN($T683-$V683)+SIGN($P683-$S683)*SIGN($T683-$W683)+SIGN($Q683-$R683)*SIGN($U683-$V683)+SIGN($Q683-$S683)*SIGN($U683-$W683)+SIGN($R683-$S683)*SIGN($V683-$W683))/SQRT((6-(($P683=$Q683)*1+($P683=$R683)*1+($P683=$S683)*1+($Q683=$R683)*1+($Q683=$S683)*1+($R683=$S683)*1))*(6-(($T683=$U683)*1+($T683=$V683)*1+($T683=$W683)*1+($U683=$V683)*1+($U683=$W683)*1+($V683=$W683)*1))),"")</f>
        <v>0</v>
      </c>
      <c r="AI683" s="0" t="n">
        <f aca="false">MATCH(MAX($K683:$O683),$K683:$O683,0)</f>
        <v>5</v>
      </c>
      <c r="AJ683" s="0" t="n">
        <f aca="false">IF(AI683&lt;&gt;$E683,1,0)</f>
        <v>1</v>
      </c>
      <c r="AK683" s="0" t="n">
        <f aca="false">IF(AJ683=1,INDEX($F683:$J683,AI683)/MAX($P683:$S683),"")</f>
        <v>0.860294117647059</v>
      </c>
      <c r="AL683" s="0" t="n">
        <f aca="false">IF(AJ683=1,1+COUNTIF($P683:$S683,"&gt;"&amp;INDEX($F683:$J683,AI683)),"")</f>
        <v>2</v>
      </c>
      <c r="AM683" s="0" t="n">
        <f aca="false">AVERAGE($P683:$S683)/MAX($P683:$S683)</f>
        <v>0.735294117647059</v>
      </c>
      <c r="AN683" s="0" t="n">
        <f aca="false">100-INDEX($F683:$J683,$E683)</f>
        <v>56.6</v>
      </c>
    </row>
    <row r="684" customFormat="false" ht="15" hidden="false" customHeight="false" outlineLevel="0" collapsed="false">
      <c r="A684" s="0" t="s">
        <v>61</v>
      </c>
      <c r="B684" s="0" t="n">
        <v>2015</v>
      </c>
      <c r="C684" s="0" t="s">
        <v>51</v>
      </c>
      <c r="D684" s="0" t="s">
        <v>42</v>
      </c>
      <c r="E684" s="0" t="n">
        <v>2</v>
      </c>
      <c r="F684" s="0" t="n">
        <v>7.6</v>
      </c>
      <c r="G684" s="0" t="n">
        <v>52.8</v>
      </c>
      <c r="H684" s="0" t="n">
        <v>10.7</v>
      </c>
      <c r="I684" s="0" t="n">
        <v>4.8</v>
      </c>
      <c r="J684" s="0" t="n">
        <v>8.5</v>
      </c>
      <c r="K684" s="0" t="n">
        <v>0.0930977298722</v>
      </c>
      <c r="L684" s="0" t="n">
        <v>97.7815113487</v>
      </c>
      <c r="M684" s="0" t="n">
        <v>0.0566684596924</v>
      </c>
      <c r="N684" s="0" t="n">
        <v>1.89656629097</v>
      </c>
      <c r="O684" s="0" t="n">
        <v>0.172156170807</v>
      </c>
      <c r="P684" s="0" t="n">
        <f aca="false">INDEX($F684:$J684,IF(1&lt;$E684,1,1+1))</f>
        <v>7.6</v>
      </c>
      <c r="Q684" s="0" t="n">
        <f aca="false">INDEX($F684:$J684,IF(2&lt;$E684,2,2+1))</f>
        <v>10.7</v>
      </c>
      <c r="R684" s="0" t="n">
        <f aca="false">INDEX($F684:$J684,IF(3&lt;$E684,3,3+1))</f>
        <v>4.8</v>
      </c>
      <c r="S684" s="0" t="n">
        <f aca="false">INDEX($F684:$J684,IF(4&lt;$E684,4,4+1))</f>
        <v>8.5</v>
      </c>
      <c r="T684" s="0" t="n">
        <f aca="false">INDEX($K684:$O684,IF(1&lt;$E684,1,1+1))</f>
        <v>0.0930977298722</v>
      </c>
      <c r="U684" s="0" t="n">
        <f aca="false">INDEX($K684:$O684,IF(2&lt;$E684,2,2+1))</f>
        <v>0.0566684596924</v>
      </c>
      <c r="V684" s="0" t="n">
        <f aca="false">INDEX($K684:$O684,IF(3&lt;$E684,3,3+1))</f>
        <v>1.89656629097</v>
      </c>
      <c r="W684" s="0" t="n">
        <f aca="false">INDEX($K684:$O684,IF(4&lt;$E684,4,4+1))</f>
        <v>0.172156170807</v>
      </c>
      <c r="X684" s="0" t="n">
        <f aca="false">1+COUNTIF($P684:$S684,"&gt;"&amp;$P684)+(COUNTIF($P684:$S684,$P684)-1)/2</f>
        <v>3</v>
      </c>
      <c r="Y684" s="0" t="n">
        <f aca="false">1+COUNTIF($P684:$S684,"&gt;"&amp;$Q684)+(COUNTIF($P684:$S684,$Q684)-1)/2</f>
        <v>1</v>
      </c>
      <c r="Z684" s="0" t="n">
        <f aca="false">1+COUNTIF($P684:$S684,"&gt;"&amp;$R684)+(COUNTIF($P684:$S684,$R684)-1)/2</f>
        <v>4</v>
      </c>
      <c r="AA684" s="0" t="n">
        <f aca="false">1+COUNTIF($P684:$S684,"&gt;"&amp;$S684)+(COUNTIF($P684:$S684,$S684)-1)/2</f>
        <v>2</v>
      </c>
      <c r="AB684" s="0" t="n">
        <f aca="false">1+COUNTIF($T684:$W684,"&gt;"&amp;$T684)+(COUNTIF($T684:$W684,$T684)-1)/2</f>
        <v>3</v>
      </c>
      <c r="AC684" s="0" t="n">
        <f aca="false">1+COUNTIF($T684:$W684,"&gt;"&amp;$U684)+(COUNTIF($T684:$W684,$U684)-1)/2</f>
        <v>4</v>
      </c>
      <c r="AD684" s="0" t="n">
        <f aca="false">1+COUNTIF($T684:$W684,"&gt;"&amp;$V684)+(COUNTIF($T684:$W684,$V684)-1)/2</f>
        <v>1</v>
      </c>
      <c r="AE684" s="0" t="n">
        <f aca="false">1+COUNTIF($T684:$W684,"&gt;"&amp;$W684)+(COUNTIF($T684:$W684,$W684)-1)/2</f>
        <v>2</v>
      </c>
      <c r="AF684" s="0" t="n">
        <f aca="false">IFERROR(CORREL($P684:$S684,$T684:$W684),"")</f>
        <v>-0.859861742760246</v>
      </c>
      <c r="AG684" s="0" t="n">
        <f aca="false">IFERROR(CORREL($X684:$AA684,$AB684:$AE684),"")</f>
        <v>-0.8</v>
      </c>
      <c r="AH684" s="0" t="n">
        <f aca="false">IFERROR((SIGN($P684-$Q684)*SIGN($T684-$U684)+SIGN($P684-$R684)*SIGN($T684-$V684)+SIGN($P684-$S684)*SIGN($T684-$W684)+SIGN($Q684-$R684)*SIGN($U684-$V684)+SIGN($Q684-$S684)*SIGN($U684-$W684)+SIGN($R684-$S684)*SIGN($V684-$W684))/SQRT((6-(($P684=$Q684)*1+($P684=$R684)*1+($P684=$S684)*1+($Q684=$R684)*1+($Q684=$S684)*1+($R684=$S684)*1))*(6-(($T684=$U684)*1+($T684=$V684)*1+($T684=$W684)*1+($U684=$V684)*1+($U684=$W684)*1+($V684=$W684)*1))),"")</f>
        <v>-0.666666666666667</v>
      </c>
      <c r="AI684" s="0" t="n">
        <f aca="false">MATCH(MAX($K684:$O684),$K684:$O684,0)</f>
        <v>2</v>
      </c>
      <c r="AJ684" s="0" t="n">
        <f aca="false">IF(AI684&lt;&gt;$E684,1,0)</f>
        <v>0</v>
      </c>
      <c r="AK684" s="0" t="str">
        <f aca="false">IF(AJ684=1,INDEX($F684:$J684,AI684)/MAX($P684:$S684),"")</f>
        <v/>
      </c>
      <c r="AL684" s="0" t="str">
        <f aca="false">IF(AJ684=1,1+COUNTIF($P684:$S684,"&gt;"&amp;INDEX($F684:$J684,AI684)),"")</f>
        <v/>
      </c>
      <c r="AM684" s="0" t="n">
        <f aca="false">AVERAGE($P684:$S684)/MAX($P684:$S684)</f>
        <v>0.738317757009346</v>
      </c>
      <c r="AN684" s="0" t="n">
        <f aca="false">100-INDEX($F684:$J684,$E684)</f>
        <v>47.2</v>
      </c>
    </row>
    <row r="685" customFormat="false" ht="15" hidden="false" customHeight="false" outlineLevel="0" collapsed="false">
      <c r="A685" s="0" t="s">
        <v>61</v>
      </c>
      <c r="B685" s="0" t="n">
        <v>2015</v>
      </c>
      <c r="C685" s="0" t="s">
        <v>51</v>
      </c>
      <c r="D685" s="0" t="s">
        <v>44</v>
      </c>
      <c r="E685" s="0" t="n">
        <v>3</v>
      </c>
      <c r="F685" s="0" t="n">
        <v>12.6</v>
      </c>
      <c r="G685" s="0" t="n">
        <v>7.6</v>
      </c>
      <c r="H685" s="0" t="n">
        <v>46</v>
      </c>
      <c r="I685" s="0" t="n">
        <v>6.2</v>
      </c>
      <c r="J685" s="0" t="n">
        <v>11.7</v>
      </c>
      <c r="K685" s="0" t="n">
        <v>15.0381034355</v>
      </c>
      <c r="L685" s="0" t="n">
        <v>0.430877815152</v>
      </c>
      <c r="M685" s="0" t="n">
        <v>50.3057262444</v>
      </c>
      <c r="N685" s="0" t="n">
        <v>15.8416502351</v>
      </c>
      <c r="O685" s="0" t="n">
        <v>18.3836422698</v>
      </c>
      <c r="P685" s="0" t="n">
        <f aca="false">INDEX($F685:$J685,IF(1&lt;$E685,1,1+1))</f>
        <v>12.6</v>
      </c>
      <c r="Q685" s="0" t="n">
        <f aca="false">INDEX($F685:$J685,IF(2&lt;$E685,2,2+1))</f>
        <v>7.6</v>
      </c>
      <c r="R685" s="0" t="n">
        <f aca="false">INDEX($F685:$J685,IF(3&lt;$E685,3,3+1))</f>
        <v>6.2</v>
      </c>
      <c r="S685" s="0" t="n">
        <f aca="false">INDEX($F685:$J685,IF(4&lt;$E685,4,4+1))</f>
        <v>11.7</v>
      </c>
      <c r="T685" s="0" t="n">
        <f aca="false">INDEX($K685:$O685,IF(1&lt;$E685,1,1+1))</f>
        <v>15.0381034355</v>
      </c>
      <c r="U685" s="0" t="n">
        <f aca="false">INDEX($K685:$O685,IF(2&lt;$E685,2,2+1))</f>
        <v>0.430877815152</v>
      </c>
      <c r="V685" s="0" t="n">
        <f aca="false">INDEX($K685:$O685,IF(3&lt;$E685,3,3+1))</f>
        <v>15.8416502351</v>
      </c>
      <c r="W685" s="0" t="n">
        <f aca="false">INDEX($K685:$O685,IF(4&lt;$E685,4,4+1))</f>
        <v>18.3836422698</v>
      </c>
      <c r="X685" s="0" t="n">
        <f aca="false">1+COUNTIF($P685:$S685,"&gt;"&amp;$P685)+(COUNTIF($P685:$S685,$P685)-1)/2</f>
        <v>1</v>
      </c>
      <c r="Y685" s="0" t="n">
        <f aca="false">1+COUNTIF($P685:$S685,"&gt;"&amp;$Q685)+(COUNTIF($P685:$S685,$Q685)-1)/2</f>
        <v>3</v>
      </c>
      <c r="Z685" s="0" t="n">
        <f aca="false">1+COUNTIF($P685:$S685,"&gt;"&amp;$R685)+(COUNTIF($P685:$S685,$R685)-1)/2</f>
        <v>4</v>
      </c>
      <c r="AA685" s="0" t="n">
        <f aca="false">1+COUNTIF($P685:$S685,"&gt;"&amp;$S685)+(COUNTIF($P685:$S685,$S685)-1)/2</f>
        <v>2</v>
      </c>
      <c r="AB685" s="0" t="n">
        <f aca="false">1+COUNTIF($T685:$W685,"&gt;"&amp;$T685)+(COUNTIF($T685:$W685,$T685)-1)/2</f>
        <v>3</v>
      </c>
      <c r="AC685" s="0" t="n">
        <f aca="false">1+COUNTIF($T685:$W685,"&gt;"&amp;$U685)+(COUNTIF($T685:$W685,$U685)-1)/2</f>
        <v>4</v>
      </c>
      <c r="AD685" s="0" t="n">
        <f aca="false">1+COUNTIF($T685:$W685,"&gt;"&amp;$V685)+(COUNTIF($T685:$W685,$V685)-1)/2</f>
        <v>2</v>
      </c>
      <c r="AE685" s="0" t="n">
        <f aca="false">1+COUNTIF($T685:$W685,"&gt;"&amp;$W685)+(COUNTIF($T685:$W685,$W685)-1)/2</f>
        <v>1</v>
      </c>
      <c r="AF685" s="0" t="n">
        <f aca="false">IFERROR(CORREL($P685:$S685,$T685:$W685),"")</f>
        <v>0.432384973289769</v>
      </c>
      <c r="AG685" s="0" t="n">
        <f aca="false">IFERROR(CORREL($X685:$AA685,$AB685:$AE685),"")</f>
        <v>0</v>
      </c>
      <c r="AH685" s="0" t="n">
        <f aca="false">IFERROR((SIGN($P685-$Q685)*SIGN($T685-$U685)+SIGN($P685-$R685)*SIGN($T685-$V685)+SIGN($P685-$S685)*SIGN($T685-$W685)+SIGN($Q685-$R685)*SIGN($U685-$V685)+SIGN($Q685-$S685)*SIGN($U685-$W685)+SIGN($R685-$S685)*SIGN($V685-$W685))/SQRT((6-(($P685=$Q685)*1+($P685=$R685)*1+($P685=$S685)*1+($Q685=$R685)*1+($Q685=$S685)*1+($R685=$S685)*1))*(6-(($T685=$U685)*1+($T685=$V685)*1+($T685=$W685)*1+($U685=$V685)*1+($U685=$W685)*1+($V685=$W685)*1))),"")</f>
        <v>0</v>
      </c>
      <c r="AI685" s="0" t="n">
        <f aca="false">MATCH(MAX($K685:$O685),$K685:$O685,0)</f>
        <v>3</v>
      </c>
      <c r="AJ685" s="0" t="n">
        <f aca="false">IF(AI685&lt;&gt;$E685,1,0)</f>
        <v>0</v>
      </c>
      <c r="AK685" s="0" t="str">
        <f aca="false">IF(AJ685=1,INDEX($F685:$J685,AI685)/MAX($P685:$S685),"")</f>
        <v/>
      </c>
      <c r="AL685" s="0" t="str">
        <f aca="false">IF(AJ685=1,1+COUNTIF($P685:$S685,"&gt;"&amp;INDEX($F685:$J685,AI685)),"")</f>
        <v/>
      </c>
      <c r="AM685" s="0" t="n">
        <f aca="false">AVERAGE($P685:$S685)/MAX($P685:$S685)</f>
        <v>0.755952380952381</v>
      </c>
      <c r="AN685" s="0" t="n">
        <f aca="false">100-INDEX($F685:$J685,$E685)</f>
        <v>54</v>
      </c>
    </row>
    <row r="686" customFormat="false" ht="15" hidden="false" customHeight="false" outlineLevel="0" collapsed="false">
      <c r="A686" s="0" t="s">
        <v>61</v>
      </c>
      <c r="B686" s="0" t="n">
        <v>2015</v>
      </c>
      <c r="C686" s="0" t="s">
        <v>46</v>
      </c>
      <c r="D686" s="0" t="s">
        <v>44</v>
      </c>
      <c r="E686" s="0" t="n">
        <v>3</v>
      </c>
      <c r="F686" s="0" t="n">
        <v>10.2</v>
      </c>
      <c r="G686" s="0" t="n">
        <v>8</v>
      </c>
      <c r="H686" s="0" t="n">
        <v>57.8</v>
      </c>
      <c r="I686" s="0" t="n">
        <v>9.1</v>
      </c>
      <c r="J686" s="0" t="n">
        <v>3.7</v>
      </c>
      <c r="K686" s="0" t="n">
        <v>11.4146010398</v>
      </c>
      <c r="L686" s="0" t="n">
        <v>22.4261261877</v>
      </c>
      <c r="M686" s="0" t="n">
        <v>32.4648925792</v>
      </c>
      <c r="N686" s="0" t="n">
        <v>13.9124879281</v>
      </c>
      <c r="O686" s="0" t="n">
        <v>19.781892265</v>
      </c>
      <c r="P686" s="0" t="n">
        <f aca="false">INDEX($F686:$J686,IF(1&lt;$E686,1,1+1))</f>
        <v>10.2</v>
      </c>
      <c r="Q686" s="0" t="n">
        <f aca="false">INDEX($F686:$J686,IF(2&lt;$E686,2,2+1))</f>
        <v>8</v>
      </c>
      <c r="R686" s="0" t="n">
        <f aca="false">INDEX($F686:$J686,IF(3&lt;$E686,3,3+1))</f>
        <v>9.1</v>
      </c>
      <c r="S686" s="0" t="n">
        <f aca="false">INDEX($F686:$J686,IF(4&lt;$E686,4,4+1))</f>
        <v>3.7</v>
      </c>
      <c r="T686" s="0" t="n">
        <f aca="false">INDEX($K686:$O686,IF(1&lt;$E686,1,1+1))</f>
        <v>11.4146010398</v>
      </c>
      <c r="U686" s="0" t="n">
        <f aca="false">INDEX($K686:$O686,IF(2&lt;$E686,2,2+1))</f>
        <v>22.4261261877</v>
      </c>
      <c r="V686" s="0" t="n">
        <f aca="false">INDEX($K686:$O686,IF(3&lt;$E686,3,3+1))</f>
        <v>13.9124879281</v>
      </c>
      <c r="W686" s="0" t="n">
        <f aca="false">INDEX($K686:$O686,IF(4&lt;$E686,4,4+1))</f>
        <v>19.781892265</v>
      </c>
      <c r="X686" s="0" t="n">
        <f aca="false">1+COUNTIF($P686:$S686,"&gt;"&amp;$P686)+(COUNTIF($P686:$S686,$P686)-1)/2</f>
        <v>1</v>
      </c>
      <c r="Y686" s="0" t="n">
        <f aca="false">1+COUNTIF($P686:$S686,"&gt;"&amp;$Q686)+(COUNTIF($P686:$S686,$Q686)-1)/2</f>
        <v>3</v>
      </c>
      <c r="Z686" s="0" t="n">
        <f aca="false">1+COUNTIF($P686:$S686,"&gt;"&amp;$R686)+(COUNTIF($P686:$S686,$R686)-1)/2</f>
        <v>2</v>
      </c>
      <c r="AA686" s="0" t="n">
        <f aca="false">1+COUNTIF($P686:$S686,"&gt;"&amp;$S686)+(COUNTIF($P686:$S686,$S686)-1)/2</f>
        <v>4</v>
      </c>
      <c r="AB686" s="0" t="n">
        <f aca="false">1+COUNTIF($T686:$W686,"&gt;"&amp;$T686)+(COUNTIF($T686:$W686,$T686)-1)/2</f>
        <v>4</v>
      </c>
      <c r="AC686" s="0" t="n">
        <f aca="false">1+COUNTIF($T686:$W686,"&gt;"&amp;$U686)+(COUNTIF($T686:$W686,$U686)-1)/2</f>
        <v>1</v>
      </c>
      <c r="AD686" s="0" t="n">
        <f aca="false">1+COUNTIF($T686:$W686,"&gt;"&amp;$V686)+(COUNTIF($T686:$W686,$V686)-1)/2</f>
        <v>3</v>
      </c>
      <c r="AE686" s="0" t="n">
        <f aca="false">1+COUNTIF($T686:$W686,"&gt;"&amp;$W686)+(COUNTIF($T686:$W686,$W686)-1)/2</f>
        <v>2</v>
      </c>
      <c r="AF686" s="0" t="n">
        <f aca="false">IFERROR(CORREL($P686:$S686,$T686:$W686),"")</f>
        <v>-0.638403962404276</v>
      </c>
      <c r="AG686" s="0" t="n">
        <f aca="false">IFERROR(CORREL($X686:$AA686,$AB686:$AE686),"")</f>
        <v>-0.8</v>
      </c>
      <c r="AH686" s="0" t="n">
        <f aca="false">IFERROR((SIGN($P686-$Q686)*SIGN($T686-$U686)+SIGN($P686-$R686)*SIGN($T686-$V686)+SIGN($P686-$S686)*SIGN($T686-$W686)+SIGN($Q686-$R686)*SIGN($U686-$V686)+SIGN($Q686-$S686)*SIGN($U686-$W686)+SIGN($R686-$S686)*SIGN($V686-$W686))/SQRT((6-(($P686=$Q686)*1+($P686=$R686)*1+($P686=$S686)*1+($Q686=$R686)*1+($Q686=$S686)*1+($R686=$S686)*1))*(6-(($T686=$U686)*1+($T686=$V686)*1+($T686=$W686)*1+($U686=$V686)*1+($U686=$W686)*1+($V686=$W686)*1))),"")</f>
        <v>-0.666666666666667</v>
      </c>
      <c r="AI686" s="0" t="n">
        <f aca="false">MATCH(MAX($K686:$O686),$K686:$O686,0)</f>
        <v>3</v>
      </c>
      <c r="AJ686" s="0" t="n">
        <f aca="false">IF(AI686&lt;&gt;$E686,1,0)</f>
        <v>0</v>
      </c>
      <c r="AK686" s="0" t="str">
        <f aca="false">IF(AJ686=1,INDEX($F686:$J686,AI686)/MAX($P686:$S686),"")</f>
        <v/>
      </c>
      <c r="AL686" s="0" t="str">
        <f aca="false">IF(AJ686=1,1+COUNTIF($P686:$S686,"&gt;"&amp;INDEX($F686:$J686,AI686)),"")</f>
        <v/>
      </c>
      <c r="AM686" s="0" t="n">
        <f aca="false">AVERAGE($P686:$S686)/MAX($P686:$S686)</f>
        <v>0.759803921568628</v>
      </c>
      <c r="AN686" s="0" t="n">
        <f aca="false">100-INDEX($F686:$J686,$E686)</f>
        <v>42.2</v>
      </c>
    </row>
    <row r="687" customFormat="false" ht="15" hidden="false" customHeight="false" outlineLevel="0" collapsed="false">
      <c r="A687" s="0" t="s">
        <v>61</v>
      </c>
      <c r="B687" s="0" t="n">
        <v>2014</v>
      </c>
      <c r="C687" s="0" t="s">
        <v>58</v>
      </c>
      <c r="D687" s="0" t="s">
        <v>54</v>
      </c>
      <c r="E687" s="0" t="n">
        <v>3</v>
      </c>
      <c r="F687" s="0" t="n">
        <v>12.5</v>
      </c>
      <c r="G687" s="0" t="n">
        <v>10.4</v>
      </c>
      <c r="H687" s="0" t="n">
        <v>59.9</v>
      </c>
      <c r="I687" s="0" t="n">
        <v>7.4</v>
      </c>
      <c r="J687" s="0" t="n">
        <v>4.6</v>
      </c>
      <c r="K687" s="0" t="n">
        <v>6.07674048959</v>
      </c>
      <c r="L687" s="0" t="n">
        <v>10.3259147127</v>
      </c>
      <c r="M687" s="0" t="n">
        <v>80.8288088504</v>
      </c>
      <c r="N687" s="0" t="n">
        <v>0.517954646444</v>
      </c>
      <c r="O687" s="0" t="n">
        <v>2.25058130088</v>
      </c>
      <c r="P687" s="0" t="n">
        <f aca="false">INDEX($F687:$J687,IF(1&lt;$E687,1,1+1))</f>
        <v>12.5</v>
      </c>
      <c r="Q687" s="0" t="n">
        <f aca="false">INDEX($F687:$J687,IF(2&lt;$E687,2,2+1))</f>
        <v>10.4</v>
      </c>
      <c r="R687" s="0" t="n">
        <f aca="false">INDEX($F687:$J687,IF(3&lt;$E687,3,3+1))</f>
        <v>7.4</v>
      </c>
      <c r="S687" s="0" t="n">
        <f aca="false">INDEX($F687:$J687,IF(4&lt;$E687,4,4+1))</f>
        <v>4.6</v>
      </c>
      <c r="T687" s="0" t="n">
        <f aca="false">INDEX($K687:$O687,IF(1&lt;$E687,1,1+1))</f>
        <v>6.07674048959</v>
      </c>
      <c r="U687" s="0" t="n">
        <f aca="false">INDEX($K687:$O687,IF(2&lt;$E687,2,2+1))</f>
        <v>10.3259147127</v>
      </c>
      <c r="V687" s="0" t="n">
        <f aca="false">INDEX($K687:$O687,IF(3&lt;$E687,3,3+1))</f>
        <v>0.517954646444</v>
      </c>
      <c r="W687" s="0" t="n">
        <f aca="false">INDEX($K687:$O687,IF(4&lt;$E687,4,4+1))</f>
        <v>2.25058130088</v>
      </c>
      <c r="X687" s="0" t="n">
        <f aca="false">1+COUNTIF($P687:$S687,"&gt;"&amp;$P687)+(COUNTIF($P687:$S687,$P687)-1)/2</f>
        <v>1</v>
      </c>
      <c r="Y687" s="0" t="n">
        <f aca="false">1+COUNTIF($P687:$S687,"&gt;"&amp;$Q687)+(COUNTIF($P687:$S687,$Q687)-1)/2</f>
        <v>2</v>
      </c>
      <c r="Z687" s="0" t="n">
        <f aca="false">1+COUNTIF($P687:$S687,"&gt;"&amp;$R687)+(COUNTIF($P687:$S687,$R687)-1)/2</f>
        <v>3</v>
      </c>
      <c r="AA687" s="0" t="n">
        <f aca="false">1+COUNTIF($P687:$S687,"&gt;"&amp;$S687)+(COUNTIF($P687:$S687,$S687)-1)/2</f>
        <v>4</v>
      </c>
      <c r="AB687" s="0" t="n">
        <f aca="false">1+COUNTIF($T687:$W687,"&gt;"&amp;$T687)+(COUNTIF($T687:$W687,$T687)-1)/2</f>
        <v>2</v>
      </c>
      <c r="AC687" s="0" t="n">
        <f aca="false">1+COUNTIF($T687:$W687,"&gt;"&amp;$U687)+(COUNTIF($T687:$W687,$U687)-1)/2</f>
        <v>1</v>
      </c>
      <c r="AD687" s="0" t="n">
        <f aca="false">1+COUNTIF($T687:$W687,"&gt;"&amp;$V687)+(COUNTIF($T687:$W687,$V687)-1)/2</f>
        <v>4</v>
      </c>
      <c r="AE687" s="0" t="n">
        <f aca="false">1+COUNTIF($T687:$W687,"&gt;"&amp;$W687)+(COUNTIF($T687:$W687,$W687)-1)/2</f>
        <v>3</v>
      </c>
      <c r="AF687" s="0" t="n">
        <f aca="false">IFERROR(CORREL($P687:$S687,$T687:$W687),"")</f>
        <v>0.669731264726397</v>
      </c>
      <c r="AG687" s="0" t="n">
        <f aca="false">IFERROR(CORREL($X687:$AA687,$AB687:$AE687),"")</f>
        <v>0.6</v>
      </c>
      <c r="AH687" s="0" t="n">
        <f aca="false">IFERROR((SIGN($P687-$Q687)*SIGN($T687-$U687)+SIGN($P687-$R687)*SIGN($T687-$V687)+SIGN($P687-$S687)*SIGN($T687-$W687)+SIGN($Q687-$R687)*SIGN($U687-$V687)+SIGN($Q687-$S687)*SIGN($U687-$W687)+SIGN($R687-$S687)*SIGN($V687-$W687))/SQRT((6-(($P687=$Q687)*1+($P687=$R687)*1+($P687=$S687)*1+($Q687=$R687)*1+($Q687=$S687)*1+($R687=$S687)*1))*(6-(($T687=$U687)*1+($T687=$V687)*1+($T687=$W687)*1+($U687=$V687)*1+($U687=$W687)*1+($V687=$W687)*1))),"")</f>
        <v>0.333333333333333</v>
      </c>
      <c r="AI687" s="0" t="n">
        <f aca="false">MATCH(MAX($K687:$O687),$K687:$O687,0)</f>
        <v>3</v>
      </c>
      <c r="AJ687" s="0" t="n">
        <f aca="false">IF(AI687&lt;&gt;$E687,1,0)</f>
        <v>0</v>
      </c>
      <c r="AK687" s="0" t="str">
        <f aca="false">IF(AJ687=1,INDEX($F687:$J687,AI687)/MAX($P687:$S687),"")</f>
        <v/>
      </c>
      <c r="AL687" s="0" t="str">
        <f aca="false">IF(AJ687=1,1+COUNTIF($P687:$S687,"&gt;"&amp;INDEX($F687:$J687,AI687)),"")</f>
        <v/>
      </c>
      <c r="AM687" s="0" t="n">
        <f aca="false">AVERAGE($P687:$S687)/MAX($P687:$S687)</f>
        <v>0.698</v>
      </c>
      <c r="AN687" s="0" t="n">
        <f aca="false">100-INDEX($F687:$J687,$E687)</f>
        <v>40.1</v>
      </c>
    </row>
    <row r="688" customFormat="false" ht="15" hidden="false" customHeight="false" outlineLevel="0" collapsed="false">
      <c r="A688" s="0" t="s">
        <v>61</v>
      </c>
      <c r="B688" s="0" t="n">
        <v>2014</v>
      </c>
      <c r="C688" s="0" t="s">
        <v>58</v>
      </c>
      <c r="D688" s="0" t="s">
        <v>42</v>
      </c>
      <c r="E688" s="0" t="n">
        <v>1</v>
      </c>
      <c r="F688" s="0" t="n">
        <v>55.2</v>
      </c>
      <c r="G688" s="0" t="n">
        <v>6.1</v>
      </c>
      <c r="H688" s="0" t="n">
        <v>8.4</v>
      </c>
      <c r="I688" s="0" t="n">
        <v>19.3</v>
      </c>
      <c r="J688" s="0" t="n">
        <v>5.8</v>
      </c>
      <c r="K688" s="0" t="n">
        <v>69.4131360471</v>
      </c>
      <c r="L688" s="0" t="n">
        <v>1.4714482511</v>
      </c>
      <c r="M688" s="0" t="n">
        <v>15.7124560649</v>
      </c>
      <c r="N688" s="0" t="n">
        <v>5.4171603865</v>
      </c>
      <c r="O688" s="0" t="n">
        <v>7.98579925034</v>
      </c>
      <c r="P688" s="0" t="n">
        <f aca="false">INDEX($F688:$J688,IF(1&lt;$E688,1,1+1))</f>
        <v>6.1</v>
      </c>
      <c r="Q688" s="0" t="n">
        <f aca="false">INDEX($F688:$J688,IF(2&lt;$E688,2,2+1))</f>
        <v>8.4</v>
      </c>
      <c r="R688" s="0" t="n">
        <f aca="false">INDEX($F688:$J688,IF(3&lt;$E688,3,3+1))</f>
        <v>19.3</v>
      </c>
      <c r="S688" s="0" t="n">
        <f aca="false">INDEX($F688:$J688,IF(4&lt;$E688,4,4+1))</f>
        <v>5.8</v>
      </c>
      <c r="T688" s="0" t="n">
        <f aca="false">INDEX($K688:$O688,IF(1&lt;$E688,1,1+1))</f>
        <v>1.4714482511</v>
      </c>
      <c r="U688" s="0" t="n">
        <f aca="false">INDEX($K688:$O688,IF(2&lt;$E688,2,2+1))</f>
        <v>15.7124560649</v>
      </c>
      <c r="V688" s="0" t="n">
        <f aca="false">INDEX($K688:$O688,IF(3&lt;$E688,3,3+1))</f>
        <v>5.4171603865</v>
      </c>
      <c r="W688" s="0" t="n">
        <f aca="false">INDEX($K688:$O688,IF(4&lt;$E688,4,4+1))</f>
        <v>7.98579925034</v>
      </c>
      <c r="X688" s="0" t="n">
        <f aca="false">1+COUNTIF($P688:$S688,"&gt;"&amp;$P688)+(COUNTIF($P688:$S688,$P688)-1)/2</f>
        <v>3</v>
      </c>
      <c r="Y688" s="0" t="n">
        <f aca="false">1+COUNTIF($P688:$S688,"&gt;"&amp;$Q688)+(COUNTIF($P688:$S688,$Q688)-1)/2</f>
        <v>2</v>
      </c>
      <c r="Z688" s="0" t="n">
        <f aca="false">1+COUNTIF($P688:$S688,"&gt;"&amp;$R688)+(COUNTIF($P688:$S688,$R688)-1)/2</f>
        <v>1</v>
      </c>
      <c r="AA688" s="0" t="n">
        <f aca="false">1+COUNTIF($P688:$S688,"&gt;"&amp;$S688)+(COUNTIF($P688:$S688,$S688)-1)/2</f>
        <v>4</v>
      </c>
      <c r="AB688" s="0" t="n">
        <f aca="false">1+COUNTIF($T688:$W688,"&gt;"&amp;$T688)+(COUNTIF($T688:$W688,$T688)-1)/2</f>
        <v>4</v>
      </c>
      <c r="AC688" s="0" t="n">
        <f aca="false">1+COUNTIF($T688:$W688,"&gt;"&amp;$U688)+(COUNTIF($T688:$W688,$U688)-1)/2</f>
        <v>1</v>
      </c>
      <c r="AD688" s="0" t="n">
        <f aca="false">1+COUNTIF($T688:$W688,"&gt;"&amp;$V688)+(COUNTIF($T688:$W688,$V688)-1)/2</f>
        <v>3</v>
      </c>
      <c r="AE688" s="0" t="n">
        <f aca="false">1+COUNTIF($T688:$W688,"&gt;"&amp;$W688)+(COUNTIF($T688:$W688,$W688)-1)/2</f>
        <v>2</v>
      </c>
      <c r="AF688" s="0" t="n">
        <f aca="false">IFERROR(CORREL($P688:$S688,$T688:$W688),"")</f>
        <v>-0.0955942228045079</v>
      </c>
      <c r="AG688" s="0" t="n">
        <f aca="false">IFERROR(CORREL($X688:$AA688,$AB688:$AE688),"")</f>
        <v>0</v>
      </c>
      <c r="AH688" s="0" t="n">
        <f aca="false">IFERROR((SIGN($P688-$Q688)*SIGN($T688-$U688)+SIGN($P688-$R688)*SIGN($T688-$V688)+SIGN($P688-$S688)*SIGN($T688-$W688)+SIGN($Q688-$R688)*SIGN($U688-$V688)+SIGN($Q688-$S688)*SIGN($U688-$W688)+SIGN($R688-$S688)*SIGN($V688-$W688))/SQRT((6-(($P688=$Q688)*1+($P688=$R688)*1+($P688=$S688)*1+($Q688=$R688)*1+($Q688=$S688)*1+($R688=$S688)*1))*(6-(($T688=$U688)*1+($T688=$V688)*1+($T688=$W688)*1+($U688=$V688)*1+($U688=$W688)*1+($V688=$W688)*1))),"")</f>
        <v>0</v>
      </c>
      <c r="AI688" s="0" t="n">
        <f aca="false">MATCH(MAX($K688:$O688),$K688:$O688,0)</f>
        <v>1</v>
      </c>
      <c r="AJ688" s="0" t="n">
        <f aca="false">IF(AI688&lt;&gt;$E688,1,0)</f>
        <v>0</v>
      </c>
      <c r="AK688" s="0" t="str">
        <f aca="false">IF(AJ688=1,INDEX($F688:$J688,AI688)/MAX($P688:$S688),"")</f>
        <v/>
      </c>
      <c r="AL688" s="0" t="str">
        <f aca="false">IF(AJ688=1,1+COUNTIF($P688:$S688,"&gt;"&amp;INDEX($F688:$J688,AI688)),"")</f>
        <v/>
      </c>
      <c r="AM688" s="0" t="n">
        <f aca="false">AVERAGE($P688:$S688)/MAX($P688:$S688)</f>
        <v>0.512953367875648</v>
      </c>
      <c r="AN688" s="0" t="n">
        <f aca="false">100-INDEX($F688:$J688,$E688)</f>
        <v>44.8</v>
      </c>
    </row>
    <row r="689" customFormat="false" ht="15" hidden="false" customHeight="false" outlineLevel="0" collapsed="false">
      <c r="A689" s="0" t="s">
        <v>61</v>
      </c>
      <c r="B689" s="0" t="n">
        <v>2014</v>
      </c>
      <c r="C689" s="0" t="s">
        <v>58</v>
      </c>
      <c r="D689" s="0" t="s">
        <v>43</v>
      </c>
      <c r="E689" s="0" t="n">
        <v>1</v>
      </c>
      <c r="F689" s="0" t="n">
        <v>49.1</v>
      </c>
      <c r="G689" s="0" t="n">
        <v>16.9</v>
      </c>
      <c r="H689" s="0" t="n">
        <v>9.9</v>
      </c>
      <c r="I689" s="0" t="n">
        <v>7.9</v>
      </c>
      <c r="J689" s="0" t="n">
        <v>11</v>
      </c>
      <c r="K689" s="0" t="n">
        <v>50.5095794724</v>
      </c>
      <c r="L689" s="0" t="n">
        <v>2.81587857728</v>
      </c>
      <c r="M689" s="0" t="n">
        <v>4.73900809477</v>
      </c>
      <c r="N689" s="0" t="n">
        <v>10.3523408969</v>
      </c>
      <c r="O689" s="0" t="n">
        <v>31.5831929587</v>
      </c>
      <c r="P689" s="0" t="n">
        <f aca="false">INDEX($F689:$J689,IF(1&lt;$E689,1,1+1))</f>
        <v>16.9</v>
      </c>
      <c r="Q689" s="0" t="n">
        <f aca="false">INDEX($F689:$J689,IF(2&lt;$E689,2,2+1))</f>
        <v>9.9</v>
      </c>
      <c r="R689" s="0" t="n">
        <f aca="false">INDEX($F689:$J689,IF(3&lt;$E689,3,3+1))</f>
        <v>7.9</v>
      </c>
      <c r="S689" s="0" t="n">
        <f aca="false">INDEX($F689:$J689,IF(4&lt;$E689,4,4+1))</f>
        <v>11</v>
      </c>
      <c r="T689" s="0" t="n">
        <f aca="false">INDEX($K689:$O689,IF(1&lt;$E689,1,1+1))</f>
        <v>2.81587857728</v>
      </c>
      <c r="U689" s="0" t="n">
        <f aca="false">INDEX($K689:$O689,IF(2&lt;$E689,2,2+1))</f>
        <v>4.73900809477</v>
      </c>
      <c r="V689" s="0" t="n">
        <f aca="false">INDEX($K689:$O689,IF(3&lt;$E689,3,3+1))</f>
        <v>10.3523408969</v>
      </c>
      <c r="W689" s="0" t="n">
        <f aca="false">INDEX($K689:$O689,IF(4&lt;$E689,4,4+1))</f>
        <v>31.5831929587</v>
      </c>
      <c r="X689" s="0" t="n">
        <f aca="false">1+COUNTIF($P689:$S689,"&gt;"&amp;$P689)+(COUNTIF($P689:$S689,$P689)-1)/2</f>
        <v>1</v>
      </c>
      <c r="Y689" s="0" t="n">
        <f aca="false">1+COUNTIF($P689:$S689,"&gt;"&amp;$Q689)+(COUNTIF($P689:$S689,$Q689)-1)/2</f>
        <v>3</v>
      </c>
      <c r="Z689" s="0" t="n">
        <f aca="false">1+COUNTIF($P689:$S689,"&gt;"&amp;$R689)+(COUNTIF($P689:$S689,$R689)-1)/2</f>
        <v>4</v>
      </c>
      <c r="AA689" s="0" t="n">
        <f aca="false">1+COUNTIF($P689:$S689,"&gt;"&amp;$S689)+(COUNTIF($P689:$S689,$S689)-1)/2</f>
        <v>2</v>
      </c>
      <c r="AB689" s="0" t="n">
        <f aca="false">1+COUNTIF($T689:$W689,"&gt;"&amp;$T689)+(COUNTIF($T689:$W689,$T689)-1)/2</f>
        <v>4</v>
      </c>
      <c r="AC689" s="0" t="n">
        <f aca="false">1+COUNTIF($T689:$W689,"&gt;"&amp;$U689)+(COUNTIF($T689:$W689,$U689)-1)/2</f>
        <v>3</v>
      </c>
      <c r="AD689" s="0" t="n">
        <f aca="false">1+COUNTIF($T689:$W689,"&gt;"&amp;$V689)+(COUNTIF($T689:$W689,$V689)-1)/2</f>
        <v>2</v>
      </c>
      <c r="AE689" s="0" t="n">
        <f aca="false">1+COUNTIF($T689:$W689,"&gt;"&amp;$W689)+(COUNTIF($T689:$W689,$W689)-1)/2</f>
        <v>1</v>
      </c>
      <c r="AF689" s="0" t="n">
        <f aca="false">IFERROR(CORREL($P689:$S689,$T689:$W689),"")</f>
        <v>-0.272330860621234</v>
      </c>
      <c r="AG689" s="0" t="n">
        <f aca="false">IFERROR(CORREL($X689:$AA689,$AB689:$AE689),"")</f>
        <v>-0.4</v>
      </c>
      <c r="AH689" s="0" t="n">
        <f aca="false">IFERROR((SIGN($P689-$Q689)*SIGN($T689-$U689)+SIGN($P689-$R689)*SIGN($T689-$V689)+SIGN($P689-$S689)*SIGN($T689-$W689)+SIGN($Q689-$R689)*SIGN($U689-$V689)+SIGN($Q689-$S689)*SIGN($U689-$W689)+SIGN($R689-$S689)*SIGN($V689-$W689))/SQRT((6-(($P689=$Q689)*1+($P689=$R689)*1+($P689=$S689)*1+($Q689=$R689)*1+($Q689=$S689)*1+($R689=$S689)*1))*(6-(($T689=$U689)*1+($T689=$V689)*1+($T689=$W689)*1+($U689=$V689)*1+($U689=$W689)*1+($V689=$W689)*1))),"")</f>
        <v>-0.333333333333333</v>
      </c>
      <c r="AI689" s="0" t="n">
        <f aca="false">MATCH(MAX($K689:$O689),$K689:$O689,0)</f>
        <v>1</v>
      </c>
      <c r="AJ689" s="0" t="n">
        <f aca="false">IF(AI689&lt;&gt;$E689,1,0)</f>
        <v>0</v>
      </c>
      <c r="AK689" s="0" t="str">
        <f aca="false">IF(AJ689=1,INDEX($F689:$J689,AI689)/MAX($P689:$S689),"")</f>
        <v/>
      </c>
      <c r="AL689" s="0" t="str">
        <f aca="false">IF(AJ689=1,1+COUNTIF($P689:$S689,"&gt;"&amp;INDEX($F689:$J689,AI689)),"")</f>
        <v/>
      </c>
      <c r="AM689" s="0" t="n">
        <f aca="false">AVERAGE($P689:$S689)/MAX($P689:$S689)</f>
        <v>0.67603550295858</v>
      </c>
      <c r="AN689" s="0" t="n">
        <f aca="false">100-INDEX($F689:$J689,$E689)</f>
        <v>50.9</v>
      </c>
    </row>
    <row r="690" customFormat="false" ht="15" hidden="false" customHeight="false" outlineLevel="0" collapsed="false">
      <c r="A690" s="0" t="s">
        <v>61</v>
      </c>
      <c r="B690" s="0" t="n">
        <v>2014</v>
      </c>
      <c r="C690" s="0" t="s">
        <v>49</v>
      </c>
      <c r="D690" s="0" t="s">
        <v>54</v>
      </c>
      <c r="E690" s="0" t="n">
        <v>1</v>
      </c>
      <c r="F690" s="0" t="n">
        <v>31.1</v>
      </c>
      <c r="G690" s="0" t="n">
        <v>23.1</v>
      </c>
      <c r="H690" s="0" t="n">
        <v>14.7</v>
      </c>
      <c r="I690" s="0" t="n">
        <v>13.6</v>
      </c>
      <c r="J690" s="0" t="n">
        <v>9.7</v>
      </c>
      <c r="K690" s="0" t="n">
        <v>21.5746930973</v>
      </c>
      <c r="L690" s="0" t="n">
        <v>24.3959224849</v>
      </c>
      <c r="M690" s="0" t="n">
        <v>21.51644955</v>
      </c>
      <c r="N690" s="0" t="n">
        <v>0.549110396583</v>
      </c>
      <c r="O690" s="0" t="n">
        <v>31.9638244712</v>
      </c>
      <c r="P690" s="0" t="n">
        <f aca="false">INDEX($F690:$J690,IF(1&lt;$E690,1,1+1))</f>
        <v>23.1</v>
      </c>
      <c r="Q690" s="0" t="n">
        <f aca="false">INDEX($F690:$J690,IF(2&lt;$E690,2,2+1))</f>
        <v>14.7</v>
      </c>
      <c r="R690" s="0" t="n">
        <f aca="false">INDEX($F690:$J690,IF(3&lt;$E690,3,3+1))</f>
        <v>13.6</v>
      </c>
      <c r="S690" s="0" t="n">
        <f aca="false">INDEX($F690:$J690,IF(4&lt;$E690,4,4+1))</f>
        <v>9.7</v>
      </c>
      <c r="T690" s="0" t="n">
        <f aca="false">INDEX($K690:$O690,IF(1&lt;$E690,1,1+1))</f>
        <v>24.3959224849</v>
      </c>
      <c r="U690" s="0" t="n">
        <f aca="false">INDEX($K690:$O690,IF(2&lt;$E690,2,2+1))</f>
        <v>21.51644955</v>
      </c>
      <c r="V690" s="0" t="n">
        <f aca="false">INDEX($K690:$O690,IF(3&lt;$E690,3,3+1))</f>
        <v>0.549110396583</v>
      </c>
      <c r="W690" s="0" t="n">
        <f aca="false">INDEX($K690:$O690,IF(4&lt;$E690,4,4+1))</f>
        <v>31.9638244712</v>
      </c>
      <c r="X690" s="0" t="n">
        <f aca="false">1+COUNTIF($P690:$S690,"&gt;"&amp;$P690)+(COUNTIF($P690:$S690,$P690)-1)/2</f>
        <v>1</v>
      </c>
      <c r="Y690" s="0" t="n">
        <f aca="false">1+COUNTIF($P690:$S690,"&gt;"&amp;$Q690)+(COUNTIF($P690:$S690,$Q690)-1)/2</f>
        <v>2</v>
      </c>
      <c r="Z690" s="0" t="n">
        <f aca="false">1+COUNTIF($P690:$S690,"&gt;"&amp;$R690)+(COUNTIF($P690:$S690,$R690)-1)/2</f>
        <v>3</v>
      </c>
      <c r="AA690" s="0" t="n">
        <f aca="false">1+COUNTIF($P690:$S690,"&gt;"&amp;$S690)+(COUNTIF($P690:$S690,$S690)-1)/2</f>
        <v>4</v>
      </c>
      <c r="AB690" s="0" t="n">
        <f aca="false">1+COUNTIF($T690:$W690,"&gt;"&amp;$T690)+(COUNTIF($T690:$W690,$T690)-1)/2</f>
        <v>2</v>
      </c>
      <c r="AC690" s="0" t="n">
        <f aca="false">1+COUNTIF($T690:$W690,"&gt;"&amp;$U690)+(COUNTIF($T690:$W690,$U690)-1)/2</f>
        <v>3</v>
      </c>
      <c r="AD690" s="0" t="n">
        <f aca="false">1+COUNTIF($T690:$W690,"&gt;"&amp;$V690)+(COUNTIF($T690:$W690,$V690)-1)/2</f>
        <v>4</v>
      </c>
      <c r="AE690" s="0" t="n">
        <f aca="false">1+COUNTIF($T690:$W690,"&gt;"&amp;$W690)+(COUNTIF($T690:$W690,$W690)-1)/2</f>
        <v>1</v>
      </c>
      <c r="AF690" s="0" t="n">
        <f aca="false">IFERROR(CORREL($P690:$S690,$T690:$W690),"")</f>
        <v>-0.00260142084313793</v>
      </c>
      <c r="AG690" s="0" t="n">
        <f aca="false">IFERROR(CORREL($X690:$AA690,$AB690:$AE690),"")</f>
        <v>-0.2</v>
      </c>
      <c r="AH690" s="0" t="n">
        <f aca="false">IFERROR((SIGN($P690-$Q690)*SIGN($T690-$U690)+SIGN($P690-$R690)*SIGN($T690-$V690)+SIGN($P690-$S690)*SIGN($T690-$W690)+SIGN($Q690-$R690)*SIGN($U690-$V690)+SIGN($Q690-$S690)*SIGN($U690-$W690)+SIGN($R690-$S690)*SIGN($V690-$W690))/SQRT((6-(($P690=$Q690)*1+($P690=$R690)*1+($P690=$S690)*1+($Q690=$R690)*1+($Q690=$S690)*1+($R690=$S690)*1))*(6-(($T690=$U690)*1+($T690=$V690)*1+($T690=$W690)*1+($U690=$V690)*1+($U690=$W690)*1+($V690=$W690)*1))),"")</f>
        <v>0</v>
      </c>
      <c r="AI690" s="0" t="n">
        <f aca="false">MATCH(MAX($K690:$O690),$K690:$O690,0)</f>
        <v>5</v>
      </c>
      <c r="AJ690" s="0" t="n">
        <f aca="false">IF(AI690&lt;&gt;$E690,1,0)</f>
        <v>1</v>
      </c>
      <c r="AK690" s="0" t="n">
        <f aca="false">IF(AJ690=1,INDEX($F690:$J690,AI690)/MAX($P690:$S690),"")</f>
        <v>0.41991341991342</v>
      </c>
      <c r="AL690" s="0" t="n">
        <f aca="false">IF(AJ690=1,1+COUNTIF($P690:$S690,"&gt;"&amp;INDEX($F690:$J690,AI690)),"")</f>
        <v>4</v>
      </c>
      <c r="AM690" s="0" t="n">
        <f aca="false">AVERAGE($P690:$S690)/MAX($P690:$S690)</f>
        <v>0.661255411255411</v>
      </c>
      <c r="AN690" s="0" t="n">
        <f aca="false">100-INDEX($F690:$J690,$E690)</f>
        <v>68.9</v>
      </c>
    </row>
    <row r="691" customFormat="false" ht="15" hidden="false" customHeight="false" outlineLevel="0" collapsed="false">
      <c r="A691" s="0" t="s">
        <v>61</v>
      </c>
      <c r="B691" s="0" t="n">
        <v>2014</v>
      </c>
      <c r="C691" s="0" t="s">
        <v>49</v>
      </c>
      <c r="D691" s="0" t="s">
        <v>42</v>
      </c>
      <c r="E691" s="0" t="n">
        <v>2</v>
      </c>
      <c r="F691" s="0" t="n">
        <v>7.8</v>
      </c>
      <c r="G691" s="0" t="n">
        <v>34.2</v>
      </c>
      <c r="H691" s="0" t="n">
        <v>22.3</v>
      </c>
      <c r="I691" s="0" t="n">
        <v>11.3</v>
      </c>
      <c r="J691" s="0" t="n">
        <v>16.2</v>
      </c>
      <c r="K691" s="0" t="n">
        <v>0.357912972504</v>
      </c>
      <c r="L691" s="0" t="n">
        <v>20.132867179</v>
      </c>
      <c r="M691" s="0" t="n">
        <v>9.52012647636</v>
      </c>
      <c r="N691" s="0" t="n">
        <v>8.72878432031</v>
      </c>
      <c r="O691" s="0" t="n">
        <v>61.2603090519</v>
      </c>
      <c r="P691" s="0" t="n">
        <f aca="false">INDEX($F691:$J691,IF(1&lt;$E691,1,1+1))</f>
        <v>7.8</v>
      </c>
      <c r="Q691" s="0" t="n">
        <f aca="false">INDEX($F691:$J691,IF(2&lt;$E691,2,2+1))</f>
        <v>22.3</v>
      </c>
      <c r="R691" s="0" t="n">
        <f aca="false">INDEX($F691:$J691,IF(3&lt;$E691,3,3+1))</f>
        <v>11.3</v>
      </c>
      <c r="S691" s="0" t="n">
        <f aca="false">INDEX($F691:$J691,IF(4&lt;$E691,4,4+1))</f>
        <v>16.2</v>
      </c>
      <c r="T691" s="0" t="n">
        <f aca="false">INDEX($K691:$O691,IF(1&lt;$E691,1,1+1))</f>
        <v>0.357912972504</v>
      </c>
      <c r="U691" s="0" t="n">
        <f aca="false">INDEX($K691:$O691,IF(2&lt;$E691,2,2+1))</f>
        <v>9.52012647636</v>
      </c>
      <c r="V691" s="0" t="n">
        <f aca="false">INDEX($K691:$O691,IF(3&lt;$E691,3,3+1))</f>
        <v>8.72878432031</v>
      </c>
      <c r="W691" s="0" t="n">
        <f aca="false">INDEX($K691:$O691,IF(4&lt;$E691,4,4+1))</f>
        <v>61.2603090519</v>
      </c>
      <c r="X691" s="0" t="n">
        <f aca="false">1+COUNTIF($P691:$S691,"&gt;"&amp;$P691)+(COUNTIF($P691:$S691,$P691)-1)/2</f>
        <v>4</v>
      </c>
      <c r="Y691" s="0" t="n">
        <f aca="false">1+COUNTIF($P691:$S691,"&gt;"&amp;$Q691)+(COUNTIF($P691:$S691,$Q691)-1)/2</f>
        <v>1</v>
      </c>
      <c r="Z691" s="0" t="n">
        <f aca="false">1+COUNTIF($P691:$S691,"&gt;"&amp;$R691)+(COUNTIF($P691:$S691,$R691)-1)/2</f>
        <v>3</v>
      </c>
      <c r="AA691" s="0" t="n">
        <f aca="false">1+COUNTIF($P691:$S691,"&gt;"&amp;$S691)+(COUNTIF($P691:$S691,$S691)-1)/2</f>
        <v>2</v>
      </c>
      <c r="AB691" s="0" t="n">
        <f aca="false">1+COUNTIF($T691:$W691,"&gt;"&amp;$T691)+(COUNTIF($T691:$W691,$T691)-1)/2</f>
        <v>4</v>
      </c>
      <c r="AC691" s="0" t="n">
        <f aca="false">1+COUNTIF($T691:$W691,"&gt;"&amp;$U691)+(COUNTIF($T691:$W691,$U691)-1)/2</f>
        <v>2</v>
      </c>
      <c r="AD691" s="0" t="n">
        <f aca="false">1+COUNTIF($T691:$W691,"&gt;"&amp;$V691)+(COUNTIF($T691:$W691,$V691)-1)/2</f>
        <v>3</v>
      </c>
      <c r="AE691" s="0" t="n">
        <f aca="false">1+COUNTIF($T691:$W691,"&gt;"&amp;$W691)+(COUNTIF($T691:$W691,$W691)-1)/2</f>
        <v>1</v>
      </c>
      <c r="AF691" s="0" t="n">
        <f aca="false">IFERROR(CORREL($P691:$S691,$T691:$W691),"")</f>
        <v>0.296904133063361</v>
      </c>
      <c r="AG691" s="0" t="n">
        <f aca="false">IFERROR(CORREL($X691:$AA691,$AB691:$AE691),"")</f>
        <v>0.8</v>
      </c>
      <c r="AH691" s="0" t="n">
        <f aca="false">IFERROR((SIGN($P691-$Q691)*SIGN($T691-$U691)+SIGN($P691-$R691)*SIGN($T691-$V691)+SIGN($P691-$S691)*SIGN($T691-$W691)+SIGN($Q691-$R691)*SIGN($U691-$V691)+SIGN($Q691-$S691)*SIGN($U691-$W691)+SIGN($R691-$S691)*SIGN($V691-$W691))/SQRT((6-(($P691=$Q691)*1+($P691=$R691)*1+($P691=$S691)*1+($Q691=$R691)*1+($Q691=$S691)*1+($R691=$S691)*1))*(6-(($T691=$U691)*1+($T691=$V691)*1+($T691=$W691)*1+($U691=$V691)*1+($U691=$W691)*1+($V691=$W691)*1))),"")</f>
        <v>0.666666666666667</v>
      </c>
      <c r="AI691" s="0" t="n">
        <f aca="false">MATCH(MAX($K691:$O691),$K691:$O691,0)</f>
        <v>5</v>
      </c>
      <c r="AJ691" s="0" t="n">
        <f aca="false">IF(AI691&lt;&gt;$E691,1,0)</f>
        <v>1</v>
      </c>
      <c r="AK691" s="0" t="n">
        <f aca="false">IF(AJ691=1,INDEX($F691:$J691,AI691)/MAX($P691:$S691),"")</f>
        <v>0.726457399103139</v>
      </c>
      <c r="AL691" s="0" t="n">
        <f aca="false">IF(AJ691=1,1+COUNTIF($P691:$S691,"&gt;"&amp;INDEX($F691:$J691,AI691)),"")</f>
        <v>2</v>
      </c>
      <c r="AM691" s="0" t="n">
        <f aca="false">AVERAGE($P691:$S691)/MAX($P691:$S691)</f>
        <v>0.645739910313901</v>
      </c>
      <c r="AN691" s="0" t="n">
        <f aca="false">100-INDEX($F691:$J691,$E691)</f>
        <v>65.8</v>
      </c>
    </row>
    <row r="692" customFormat="false" ht="15" hidden="false" customHeight="false" outlineLevel="0" collapsed="false">
      <c r="A692" s="0" t="s">
        <v>61</v>
      </c>
      <c r="B692" s="0" t="n">
        <v>2014</v>
      </c>
      <c r="C692" s="0" t="s">
        <v>49</v>
      </c>
      <c r="D692" s="0" t="s">
        <v>43</v>
      </c>
      <c r="E692" s="0" t="n">
        <v>5</v>
      </c>
      <c r="F692" s="0" t="n">
        <v>12.3</v>
      </c>
      <c r="G692" s="0" t="n">
        <v>8.7</v>
      </c>
      <c r="H692" s="0" t="n">
        <v>10.9</v>
      </c>
      <c r="I692" s="0" t="n">
        <v>27.4</v>
      </c>
      <c r="J692" s="0" t="n">
        <v>32.6</v>
      </c>
      <c r="K692" s="0" t="n">
        <v>10.1978150105</v>
      </c>
      <c r="L692" s="0" t="n">
        <v>49.3948308648</v>
      </c>
      <c r="M692" s="0" t="n">
        <v>12.2396310704</v>
      </c>
      <c r="N692" s="0" t="n">
        <v>21.7115100924</v>
      </c>
      <c r="O692" s="0" t="n">
        <v>6.456212962</v>
      </c>
      <c r="P692" s="0" t="n">
        <f aca="false">INDEX($F692:$J692,IF(1&lt;$E692,1,1+1))</f>
        <v>12.3</v>
      </c>
      <c r="Q692" s="0" t="n">
        <f aca="false">INDEX($F692:$J692,IF(2&lt;$E692,2,2+1))</f>
        <v>8.7</v>
      </c>
      <c r="R692" s="0" t="n">
        <f aca="false">INDEX($F692:$J692,IF(3&lt;$E692,3,3+1))</f>
        <v>10.9</v>
      </c>
      <c r="S692" s="0" t="n">
        <f aca="false">INDEX($F692:$J692,IF(4&lt;$E692,4,4+1))</f>
        <v>27.4</v>
      </c>
      <c r="T692" s="0" t="n">
        <f aca="false">INDEX($K692:$O692,IF(1&lt;$E692,1,1+1))</f>
        <v>10.1978150105</v>
      </c>
      <c r="U692" s="0" t="n">
        <f aca="false">INDEX($K692:$O692,IF(2&lt;$E692,2,2+1))</f>
        <v>49.3948308648</v>
      </c>
      <c r="V692" s="0" t="n">
        <f aca="false">INDEX($K692:$O692,IF(3&lt;$E692,3,3+1))</f>
        <v>12.2396310704</v>
      </c>
      <c r="W692" s="0" t="n">
        <f aca="false">INDEX($K692:$O692,IF(4&lt;$E692,4,4+1))</f>
        <v>21.7115100924</v>
      </c>
      <c r="X692" s="0" t="n">
        <f aca="false">1+COUNTIF($P692:$S692,"&gt;"&amp;$P692)+(COUNTIF($P692:$S692,$P692)-1)/2</f>
        <v>2</v>
      </c>
      <c r="Y692" s="0" t="n">
        <f aca="false">1+COUNTIF($P692:$S692,"&gt;"&amp;$Q692)+(COUNTIF($P692:$S692,$Q692)-1)/2</f>
        <v>4</v>
      </c>
      <c r="Z692" s="0" t="n">
        <f aca="false">1+COUNTIF($P692:$S692,"&gt;"&amp;$R692)+(COUNTIF($P692:$S692,$R692)-1)/2</f>
        <v>3</v>
      </c>
      <c r="AA692" s="0" t="n">
        <f aca="false">1+COUNTIF($P692:$S692,"&gt;"&amp;$S692)+(COUNTIF($P692:$S692,$S692)-1)/2</f>
        <v>1</v>
      </c>
      <c r="AB692" s="0" t="n">
        <f aca="false">1+COUNTIF($T692:$W692,"&gt;"&amp;$T692)+(COUNTIF($T692:$W692,$T692)-1)/2</f>
        <v>4</v>
      </c>
      <c r="AC692" s="0" t="n">
        <f aca="false">1+COUNTIF($T692:$W692,"&gt;"&amp;$U692)+(COUNTIF($T692:$W692,$U692)-1)/2</f>
        <v>1</v>
      </c>
      <c r="AD692" s="0" t="n">
        <f aca="false">1+COUNTIF($T692:$W692,"&gt;"&amp;$V692)+(COUNTIF($T692:$W692,$V692)-1)/2</f>
        <v>3</v>
      </c>
      <c r="AE692" s="0" t="n">
        <f aca="false">1+COUNTIF($T692:$W692,"&gt;"&amp;$W692)+(COUNTIF($T692:$W692,$W692)-1)/2</f>
        <v>2</v>
      </c>
      <c r="AF692" s="0" t="n">
        <f aca="false">IFERROR(CORREL($P692:$S692,$T692:$W692),"")</f>
        <v>-0.224102346521989</v>
      </c>
      <c r="AG692" s="0" t="n">
        <f aca="false">IFERROR(CORREL($X692:$AA692,$AB692:$AE692),"")</f>
        <v>-0.4</v>
      </c>
      <c r="AH692" s="0" t="n">
        <f aca="false">IFERROR((SIGN($P692-$Q692)*SIGN($T692-$U692)+SIGN($P692-$R692)*SIGN($T692-$V692)+SIGN($P692-$S692)*SIGN($T692-$W692)+SIGN($Q692-$R692)*SIGN($U692-$V692)+SIGN($Q692-$S692)*SIGN($U692-$W692)+SIGN($R692-$S692)*SIGN($V692-$W692))/SQRT((6-(($P692=$Q692)*1+($P692=$R692)*1+($P692=$S692)*1+($Q692=$R692)*1+($Q692=$S692)*1+($R692=$S692)*1))*(6-(($T692=$U692)*1+($T692=$V692)*1+($T692=$W692)*1+($U692=$V692)*1+($U692=$W692)*1+($V692=$W692)*1))),"")</f>
        <v>-0.333333333333333</v>
      </c>
      <c r="AI692" s="0" t="n">
        <f aca="false">MATCH(MAX($K692:$O692),$K692:$O692,0)</f>
        <v>2</v>
      </c>
      <c r="AJ692" s="0" t="n">
        <f aca="false">IF(AI692&lt;&gt;$E692,1,0)</f>
        <v>1</v>
      </c>
      <c r="AK692" s="0" t="n">
        <f aca="false">IF(AJ692=1,INDEX($F692:$J692,AI692)/MAX($P692:$S692),"")</f>
        <v>0.317518248175183</v>
      </c>
      <c r="AL692" s="0" t="n">
        <f aca="false">IF(AJ692=1,1+COUNTIF($P692:$S692,"&gt;"&amp;INDEX($F692:$J692,AI692)),"")</f>
        <v>4</v>
      </c>
      <c r="AM692" s="0" t="n">
        <f aca="false">AVERAGE($P692:$S692)/MAX($P692:$S692)</f>
        <v>0.541058394160584</v>
      </c>
      <c r="AN692" s="0" t="n">
        <f aca="false">100-INDEX($F692:$J692,$E692)</f>
        <v>67.4</v>
      </c>
    </row>
    <row r="693" customFormat="false" ht="15" hidden="false" customHeight="false" outlineLevel="0" collapsed="false">
      <c r="A693" s="0" t="s">
        <v>61</v>
      </c>
      <c r="B693" s="0" t="n">
        <v>2014</v>
      </c>
      <c r="C693" s="0" t="s">
        <v>51</v>
      </c>
      <c r="D693" s="0" t="s">
        <v>54</v>
      </c>
      <c r="E693" s="0" t="n">
        <v>5</v>
      </c>
      <c r="F693" s="0" t="n">
        <v>14.6</v>
      </c>
      <c r="G693" s="0" t="n">
        <v>25.9</v>
      </c>
      <c r="H693" s="0" t="n">
        <v>14.9</v>
      </c>
      <c r="I693" s="0" t="n">
        <v>12.9</v>
      </c>
      <c r="J693" s="0" t="n">
        <v>26.7</v>
      </c>
      <c r="K693" s="0" t="n">
        <v>56.627329188</v>
      </c>
      <c r="L693" s="0" t="n">
        <v>3.56802712252</v>
      </c>
      <c r="M693" s="0" t="n">
        <v>5.09127354822</v>
      </c>
      <c r="N693" s="0" t="n">
        <v>34.6582422364</v>
      </c>
      <c r="O693" s="0" t="n">
        <v>0.0551279048236</v>
      </c>
      <c r="P693" s="0" t="n">
        <f aca="false">INDEX($F693:$J693,IF(1&lt;$E693,1,1+1))</f>
        <v>14.6</v>
      </c>
      <c r="Q693" s="0" t="n">
        <f aca="false">INDEX($F693:$J693,IF(2&lt;$E693,2,2+1))</f>
        <v>25.9</v>
      </c>
      <c r="R693" s="0" t="n">
        <f aca="false">INDEX($F693:$J693,IF(3&lt;$E693,3,3+1))</f>
        <v>14.9</v>
      </c>
      <c r="S693" s="0" t="n">
        <f aca="false">INDEX($F693:$J693,IF(4&lt;$E693,4,4+1))</f>
        <v>12.9</v>
      </c>
      <c r="T693" s="0" t="n">
        <f aca="false">INDEX($K693:$O693,IF(1&lt;$E693,1,1+1))</f>
        <v>56.627329188</v>
      </c>
      <c r="U693" s="0" t="n">
        <f aca="false">INDEX($K693:$O693,IF(2&lt;$E693,2,2+1))</f>
        <v>3.56802712252</v>
      </c>
      <c r="V693" s="0" t="n">
        <f aca="false">INDEX($K693:$O693,IF(3&lt;$E693,3,3+1))</f>
        <v>5.09127354822</v>
      </c>
      <c r="W693" s="0" t="n">
        <f aca="false">INDEX($K693:$O693,IF(4&lt;$E693,4,4+1))</f>
        <v>34.6582422364</v>
      </c>
      <c r="X693" s="0" t="n">
        <f aca="false">1+COUNTIF($P693:$S693,"&gt;"&amp;$P693)+(COUNTIF($P693:$S693,$P693)-1)/2</f>
        <v>3</v>
      </c>
      <c r="Y693" s="0" t="n">
        <f aca="false">1+COUNTIF($P693:$S693,"&gt;"&amp;$Q693)+(COUNTIF($P693:$S693,$Q693)-1)/2</f>
        <v>1</v>
      </c>
      <c r="Z693" s="0" t="n">
        <f aca="false">1+COUNTIF($P693:$S693,"&gt;"&amp;$R693)+(COUNTIF($P693:$S693,$R693)-1)/2</f>
        <v>2</v>
      </c>
      <c r="AA693" s="0" t="n">
        <f aca="false">1+COUNTIF($P693:$S693,"&gt;"&amp;$S693)+(COUNTIF($P693:$S693,$S693)-1)/2</f>
        <v>4</v>
      </c>
      <c r="AB693" s="0" t="n">
        <f aca="false">1+COUNTIF($T693:$W693,"&gt;"&amp;$T693)+(COUNTIF($T693:$W693,$T693)-1)/2</f>
        <v>1</v>
      </c>
      <c r="AC693" s="0" t="n">
        <f aca="false">1+COUNTIF($T693:$W693,"&gt;"&amp;$U693)+(COUNTIF($T693:$W693,$U693)-1)/2</f>
        <v>4</v>
      </c>
      <c r="AD693" s="0" t="n">
        <f aca="false">1+COUNTIF($T693:$W693,"&gt;"&amp;$V693)+(COUNTIF($T693:$W693,$V693)-1)/2</f>
        <v>3</v>
      </c>
      <c r="AE693" s="0" t="n">
        <f aca="false">1+COUNTIF($T693:$W693,"&gt;"&amp;$W693)+(COUNTIF($T693:$W693,$W693)-1)/2</f>
        <v>2</v>
      </c>
      <c r="AF693" s="0" t="n">
        <f aca="false">IFERROR(CORREL($P693:$S693,$T693:$W693),"")</f>
        <v>-0.5812877490435</v>
      </c>
      <c r="AG693" s="0" t="n">
        <f aca="false">IFERROR(CORREL($X693:$AA693,$AB693:$AE693),"")</f>
        <v>-0.8</v>
      </c>
      <c r="AH693" s="0" t="n">
        <f aca="false">IFERROR((SIGN($P693-$Q693)*SIGN($T693-$U693)+SIGN($P693-$R693)*SIGN($T693-$V693)+SIGN($P693-$S693)*SIGN($T693-$W693)+SIGN($Q693-$R693)*SIGN($U693-$V693)+SIGN($Q693-$S693)*SIGN($U693-$W693)+SIGN($R693-$S693)*SIGN($V693-$W693))/SQRT((6-(($P693=$Q693)*1+($P693=$R693)*1+($P693=$S693)*1+($Q693=$R693)*1+($Q693=$S693)*1+($R693=$S693)*1))*(6-(($T693=$U693)*1+($T693=$V693)*1+($T693=$W693)*1+($U693=$V693)*1+($U693=$W693)*1+($V693=$W693)*1))),"")</f>
        <v>-0.666666666666667</v>
      </c>
      <c r="AI693" s="0" t="n">
        <f aca="false">MATCH(MAX($K693:$O693),$K693:$O693,0)</f>
        <v>1</v>
      </c>
      <c r="AJ693" s="0" t="n">
        <f aca="false">IF(AI693&lt;&gt;$E693,1,0)</f>
        <v>1</v>
      </c>
      <c r="AK693" s="0" t="n">
        <f aca="false">IF(AJ693=1,INDEX($F693:$J693,AI693)/MAX($P693:$S693),"")</f>
        <v>0.563706563706564</v>
      </c>
      <c r="AL693" s="0" t="n">
        <f aca="false">IF(AJ693=1,1+COUNTIF($P693:$S693,"&gt;"&amp;INDEX($F693:$J693,AI693)),"")</f>
        <v>3</v>
      </c>
      <c r="AM693" s="0" t="n">
        <f aca="false">AVERAGE($P693:$S693)/MAX($P693:$S693)</f>
        <v>0.659266409266409</v>
      </c>
      <c r="AN693" s="0" t="n">
        <f aca="false">100-INDEX($F693:$J693,$E693)</f>
        <v>73.3</v>
      </c>
    </row>
    <row r="694" customFormat="false" ht="15" hidden="false" customHeight="false" outlineLevel="0" collapsed="false">
      <c r="A694" s="0" t="s">
        <v>61</v>
      </c>
      <c r="B694" s="0" t="n">
        <v>2014</v>
      </c>
      <c r="C694" s="0" t="s">
        <v>51</v>
      </c>
      <c r="D694" s="0" t="s">
        <v>42</v>
      </c>
      <c r="E694" s="0" t="n">
        <v>1</v>
      </c>
      <c r="F694" s="0" t="n">
        <v>26.5</v>
      </c>
      <c r="G694" s="0" t="n">
        <v>25.7</v>
      </c>
      <c r="H694" s="0" t="n">
        <v>21.2</v>
      </c>
      <c r="I694" s="0" t="n">
        <v>11.9</v>
      </c>
      <c r="J694" s="0" t="n">
        <v>9.4</v>
      </c>
      <c r="K694" s="0" t="n">
        <v>48.1962454008</v>
      </c>
      <c r="L694" s="0" t="n">
        <v>24.8237446466</v>
      </c>
      <c r="M694" s="0" t="n">
        <v>12.8629429744</v>
      </c>
      <c r="N694" s="0" t="n">
        <v>2.08052677702</v>
      </c>
      <c r="O694" s="0" t="n">
        <v>12.0365402012</v>
      </c>
      <c r="P694" s="0" t="n">
        <f aca="false">INDEX($F694:$J694,IF(1&lt;$E694,1,1+1))</f>
        <v>25.7</v>
      </c>
      <c r="Q694" s="0" t="n">
        <f aca="false">INDEX($F694:$J694,IF(2&lt;$E694,2,2+1))</f>
        <v>21.2</v>
      </c>
      <c r="R694" s="0" t="n">
        <f aca="false">INDEX($F694:$J694,IF(3&lt;$E694,3,3+1))</f>
        <v>11.9</v>
      </c>
      <c r="S694" s="0" t="n">
        <f aca="false">INDEX($F694:$J694,IF(4&lt;$E694,4,4+1))</f>
        <v>9.4</v>
      </c>
      <c r="T694" s="0" t="n">
        <f aca="false">INDEX($K694:$O694,IF(1&lt;$E694,1,1+1))</f>
        <v>24.8237446466</v>
      </c>
      <c r="U694" s="0" t="n">
        <f aca="false">INDEX($K694:$O694,IF(2&lt;$E694,2,2+1))</f>
        <v>12.8629429744</v>
      </c>
      <c r="V694" s="0" t="n">
        <f aca="false">INDEX($K694:$O694,IF(3&lt;$E694,3,3+1))</f>
        <v>2.08052677702</v>
      </c>
      <c r="W694" s="0" t="n">
        <f aca="false">INDEX($K694:$O694,IF(4&lt;$E694,4,4+1))</f>
        <v>12.0365402012</v>
      </c>
      <c r="X694" s="0" t="n">
        <f aca="false">1+COUNTIF($P694:$S694,"&gt;"&amp;$P694)+(COUNTIF($P694:$S694,$P694)-1)/2</f>
        <v>1</v>
      </c>
      <c r="Y694" s="0" t="n">
        <f aca="false">1+COUNTIF($P694:$S694,"&gt;"&amp;$Q694)+(COUNTIF($P694:$S694,$Q694)-1)/2</f>
        <v>2</v>
      </c>
      <c r="Z694" s="0" t="n">
        <f aca="false">1+COUNTIF($P694:$S694,"&gt;"&amp;$R694)+(COUNTIF($P694:$S694,$R694)-1)/2</f>
        <v>3</v>
      </c>
      <c r="AA694" s="0" t="n">
        <f aca="false">1+COUNTIF($P694:$S694,"&gt;"&amp;$S694)+(COUNTIF($P694:$S694,$S694)-1)/2</f>
        <v>4</v>
      </c>
      <c r="AB694" s="0" t="n">
        <f aca="false">1+COUNTIF($T694:$W694,"&gt;"&amp;$T694)+(COUNTIF($T694:$W694,$T694)-1)/2</f>
        <v>1</v>
      </c>
      <c r="AC694" s="0" t="n">
        <f aca="false">1+COUNTIF($T694:$W694,"&gt;"&amp;$U694)+(COUNTIF($T694:$W694,$U694)-1)/2</f>
        <v>2</v>
      </c>
      <c r="AD694" s="0" t="n">
        <f aca="false">1+COUNTIF($T694:$W694,"&gt;"&amp;$V694)+(COUNTIF($T694:$W694,$V694)-1)/2</f>
        <v>4</v>
      </c>
      <c r="AE694" s="0" t="n">
        <f aca="false">1+COUNTIF($T694:$W694,"&gt;"&amp;$W694)+(COUNTIF($T694:$W694,$W694)-1)/2</f>
        <v>3</v>
      </c>
      <c r="AF694" s="0" t="n">
        <f aca="false">IFERROR(CORREL($P694:$S694,$T694:$W694),"")</f>
        <v>0.770449145138667</v>
      </c>
      <c r="AG694" s="0" t="n">
        <f aca="false">IFERROR(CORREL($X694:$AA694,$AB694:$AE694),"")</f>
        <v>0.8</v>
      </c>
      <c r="AH694" s="0" t="n">
        <f aca="false">IFERROR((SIGN($P694-$Q694)*SIGN($T694-$U694)+SIGN($P694-$R694)*SIGN($T694-$V694)+SIGN($P694-$S694)*SIGN($T694-$W694)+SIGN($Q694-$R694)*SIGN($U694-$V694)+SIGN($Q694-$S694)*SIGN($U694-$W694)+SIGN($R694-$S694)*SIGN($V694-$W694))/SQRT((6-(($P694=$Q694)*1+($P694=$R694)*1+($P694=$S694)*1+($Q694=$R694)*1+($Q694=$S694)*1+($R694=$S694)*1))*(6-(($T694=$U694)*1+($T694=$V694)*1+($T694=$W694)*1+($U694=$V694)*1+($U694=$W694)*1+($V694=$W694)*1))),"")</f>
        <v>0.666666666666667</v>
      </c>
      <c r="AI694" s="0" t="n">
        <f aca="false">MATCH(MAX($K694:$O694),$K694:$O694,0)</f>
        <v>1</v>
      </c>
      <c r="AJ694" s="0" t="n">
        <f aca="false">IF(AI694&lt;&gt;$E694,1,0)</f>
        <v>0</v>
      </c>
      <c r="AK694" s="0" t="str">
        <f aca="false">IF(AJ694=1,INDEX($F694:$J694,AI694)/MAX($P694:$S694),"")</f>
        <v/>
      </c>
      <c r="AL694" s="0" t="str">
        <f aca="false">IF(AJ694=1,1+COUNTIF($P694:$S694,"&gt;"&amp;INDEX($F694:$J694,AI694)),"")</f>
        <v/>
      </c>
      <c r="AM694" s="0" t="n">
        <f aca="false">AVERAGE($P694:$S694)/MAX($P694:$S694)</f>
        <v>0.663424124513619</v>
      </c>
      <c r="AN694" s="0" t="n">
        <f aca="false">100-INDEX($F694:$J694,$E694)</f>
        <v>73.5</v>
      </c>
    </row>
    <row r="695" customFormat="false" ht="15" hidden="false" customHeight="false" outlineLevel="0" collapsed="false">
      <c r="A695" s="0" t="s">
        <v>61</v>
      </c>
      <c r="B695" s="0" t="n">
        <v>2014</v>
      </c>
      <c r="C695" s="0" t="s">
        <v>51</v>
      </c>
      <c r="D695" s="0" t="s">
        <v>44</v>
      </c>
      <c r="E695" s="0" t="n">
        <v>2</v>
      </c>
      <c r="F695" s="0" t="n">
        <v>14.2</v>
      </c>
      <c r="G695" s="0" t="n">
        <v>51.9</v>
      </c>
      <c r="H695" s="0" t="n">
        <v>13.1</v>
      </c>
      <c r="I695" s="0" t="n">
        <v>10.4</v>
      </c>
      <c r="J695" s="0" t="n">
        <v>5.1</v>
      </c>
      <c r="K695" s="0" t="n">
        <v>59.597485</v>
      </c>
      <c r="L695" s="0" t="n">
        <v>26.7279919001</v>
      </c>
      <c r="M695" s="0" t="n">
        <v>1.06148173395</v>
      </c>
      <c r="N695" s="0" t="n">
        <v>10.8346417456</v>
      </c>
      <c r="O695" s="0" t="n">
        <v>1.77839962032</v>
      </c>
      <c r="P695" s="0" t="n">
        <f aca="false">INDEX($F695:$J695,IF(1&lt;$E695,1,1+1))</f>
        <v>14.2</v>
      </c>
      <c r="Q695" s="0" t="n">
        <f aca="false">INDEX($F695:$J695,IF(2&lt;$E695,2,2+1))</f>
        <v>13.1</v>
      </c>
      <c r="R695" s="0" t="n">
        <f aca="false">INDEX($F695:$J695,IF(3&lt;$E695,3,3+1))</f>
        <v>10.4</v>
      </c>
      <c r="S695" s="0" t="n">
        <f aca="false">INDEX($F695:$J695,IF(4&lt;$E695,4,4+1))</f>
        <v>5.1</v>
      </c>
      <c r="T695" s="0" t="n">
        <f aca="false">INDEX($K695:$O695,IF(1&lt;$E695,1,1+1))</f>
        <v>59.597485</v>
      </c>
      <c r="U695" s="0" t="n">
        <f aca="false">INDEX($K695:$O695,IF(2&lt;$E695,2,2+1))</f>
        <v>1.06148173395</v>
      </c>
      <c r="V695" s="0" t="n">
        <f aca="false">INDEX($K695:$O695,IF(3&lt;$E695,3,3+1))</f>
        <v>10.8346417456</v>
      </c>
      <c r="W695" s="0" t="n">
        <f aca="false">INDEX($K695:$O695,IF(4&lt;$E695,4,4+1))</f>
        <v>1.77839962032</v>
      </c>
      <c r="X695" s="0" t="n">
        <f aca="false">1+COUNTIF($P695:$S695,"&gt;"&amp;$P695)+(COUNTIF($P695:$S695,$P695)-1)/2</f>
        <v>1</v>
      </c>
      <c r="Y695" s="0" t="n">
        <f aca="false">1+COUNTIF($P695:$S695,"&gt;"&amp;$Q695)+(COUNTIF($P695:$S695,$Q695)-1)/2</f>
        <v>2</v>
      </c>
      <c r="Z695" s="0" t="n">
        <f aca="false">1+COUNTIF($P695:$S695,"&gt;"&amp;$R695)+(COUNTIF($P695:$S695,$R695)-1)/2</f>
        <v>3</v>
      </c>
      <c r="AA695" s="0" t="n">
        <f aca="false">1+COUNTIF($P695:$S695,"&gt;"&amp;$S695)+(COUNTIF($P695:$S695,$S695)-1)/2</f>
        <v>4</v>
      </c>
      <c r="AB695" s="0" t="n">
        <f aca="false">1+COUNTIF($T695:$W695,"&gt;"&amp;$T695)+(COUNTIF($T695:$W695,$T695)-1)/2</f>
        <v>1</v>
      </c>
      <c r="AC695" s="0" t="n">
        <f aca="false">1+COUNTIF($T695:$W695,"&gt;"&amp;$U695)+(COUNTIF($T695:$W695,$U695)-1)/2</f>
        <v>4</v>
      </c>
      <c r="AD695" s="0" t="n">
        <f aca="false">1+COUNTIF($T695:$W695,"&gt;"&amp;$V695)+(COUNTIF($T695:$W695,$V695)-1)/2</f>
        <v>2</v>
      </c>
      <c r="AE695" s="0" t="n">
        <f aca="false">1+COUNTIF($T695:$W695,"&gt;"&amp;$W695)+(COUNTIF($T695:$W695,$W695)-1)/2</f>
        <v>3</v>
      </c>
      <c r="AF695" s="0" t="n">
        <f aca="false">IFERROR(CORREL($P695:$S695,$T695:$W695),"")</f>
        <v>0.582881214233468</v>
      </c>
      <c r="AG695" s="0" t="n">
        <f aca="false">IFERROR(CORREL($X695:$AA695,$AB695:$AE695),"")</f>
        <v>0.4</v>
      </c>
      <c r="AH695" s="0" t="n">
        <f aca="false">IFERROR((SIGN($P695-$Q695)*SIGN($T695-$U695)+SIGN($P695-$R695)*SIGN($T695-$V695)+SIGN($P695-$S695)*SIGN($T695-$W695)+SIGN($Q695-$R695)*SIGN($U695-$V695)+SIGN($Q695-$S695)*SIGN($U695-$W695)+SIGN($R695-$S695)*SIGN($V695-$W695))/SQRT((6-(($P695=$Q695)*1+($P695=$R695)*1+($P695=$S695)*1+($Q695=$R695)*1+($Q695=$S695)*1+($R695=$S695)*1))*(6-(($T695=$U695)*1+($T695=$V695)*1+($T695=$W695)*1+($U695=$V695)*1+($U695=$W695)*1+($V695=$W695)*1))),"")</f>
        <v>0.333333333333333</v>
      </c>
      <c r="AI695" s="0" t="n">
        <f aca="false">MATCH(MAX($K695:$O695),$K695:$O695,0)</f>
        <v>1</v>
      </c>
      <c r="AJ695" s="0" t="n">
        <f aca="false">IF(AI695&lt;&gt;$E695,1,0)</f>
        <v>1</v>
      </c>
      <c r="AK695" s="0" t="n">
        <f aca="false">IF(AJ695=1,INDEX($F695:$J695,AI695)/MAX($P695:$S695),"")</f>
        <v>1</v>
      </c>
      <c r="AL695" s="0" t="n">
        <f aca="false">IF(AJ695=1,1+COUNTIF($P695:$S695,"&gt;"&amp;INDEX($F695:$J695,AI695)),"")</f>
        <v>1</v>
      </c>
      <c r="AM695" s="0" t="n">
        <f aca="false">AVERAGE($P695:$S695)/MAX($P695:$S695)</f>
        <v>0.753521126760563</v>
      </c>
      <c r="AN695" s="0" t="n">
        <f aca="false">100-INDEX($F695:$J695,$E695)</f>
        <v>48.1</v>
      </c>
    </row>
    <row r="696" customFormat="false" ht="15" hidden="false" customHeight="false" outlineLevel="0" collapsed="false">
      <c r="A696" s="0" t="s">
        <v>61</v>
      </c>
      <c r="B696" s="0" t="n">
        <v>2014</v>
      </c>
      <c r="C696" s="0" t="s">
        <v>46</v>
      </c>
      <c r="D696" s="0" t="s">
        <v>44</v>
      </c>
      <c r="E696" s="0" t="n">
        <v>3</v>
      </c>
      <c r="F696" s="0" t="n">
        <v>8.9</v>
      </c>
      <c r="G696" s="0" t="n">
        <v>5.6</v>
      </c>
      <c r="H696" s="0" t="n">
        <v>67</v>
      </c>
      <c r="I696" s="0" t="n">
        <v>10.6</v>
      </c>
      <c r="J696" s="0" t="n">
        <v>3.2</v>
      </c>
      <c r="K696" s="0" t="n">
        <v>22.2469189697</v>
      </c>
      <c r="L696" s="0" t="n">
        <v>1.3279802055</v>
      </c>
      <c r="M696" s="0" t="n">
        <v>59.1757279159</v>
      </c>
      <c r="N696" s="0" t="n">
        <v>14.7417270085</v>
      </c>
      <c r="O696" s="0" t="n">
        <v>2.50764590032</v>
      </c>
      <c r="P696" s="0" t="n">
        <f aca="false">INDEX($F696:$J696,IF(1&lt;$E696,1,1+1))</f>
        <v>8.9</v>
      </c>
      <c r="Q696" s="0" t="n">
        <f aca="false">INDEX($F696:$J696,IF(2&lt;$E696,2,2+1))</f>
        <v>5.6</v>
      </c>
      <c r="R696" s="0" t="n">
        <f aca="false">INDEX($F696:$J696,IF(3&lt;$E696,3,3+1))</f>
        <v>10.6</v>
      </c>
      <c r="S696" s="0" t="n">
        <f aca="false">INDEX($F696:$J696,IF(4&lt;$E696,4,4+1))</f>
        <v>3.2</v>
      </c>
      <c r="T696" s="0" t="n">
        <f aca="false">INDEX($K696:$O696,IF(1&lt;$E696,1,1+1))</f>
        <v>22.2469189697</v>
      </c>
      <c r="U696" s="0" t="n">
        <f aca="false">INDEX($K696:$O696,IF(2&lt;$E696,2,2+1))</f>
        <v>1.3279802055</v>
      </c>
      <c r="V696" s="0" t="n">
        <f aca="false">INDEX($K696:$O696,IF(3&lt;$E696,3,3+1))</f>
        <v>14.7417270085</v>
      </c>
      <c r="W696" s="0" t="n">
        <f aca="false">INDEX($K696:$O696,IF(4&lt;$E696,4,4+1))</f>
        <v>2.50764590032</v>
      </c>
      <c r="X696" s="0" t="n">
        <f aca="false">1+COUNTIF($P696:$S696,"&gt;"&amp;$P696)+(COUNTIF($P696:$S696,$P696)-1)/2</f>
        <v>2</v>
      </c>
      <c r="Y696" s="0" t="n">
        <f aca="false">1+COUNTIF($P696:$S696,"&gt;"&amp;$Q696)+(COUNTIF($P696:$S696,$Q696)-1)/2</f>
        <v>3</v>
      </c>
      <c r="Z696" s="0" t="n">
        <f aca="false">1+COUNTIF($P696:$S696,"&gt;"&amp;$R696)+(COUNTIF($P696:$S696,$R696)-1)/2</f>
        <v>1</v>
      </c>
      <c r="AA696" s="0" t="n">
        <f aca="false">1+COUNTIF($P696:$S696,"&gt;"&amp;$S696)+(COUNTIF($P696:$S696,$S696)-1)/2</f>
        <v>4</v>
      </c>
      <c r="AB696" s="0" t="n">
        <f aca="false">1+COUNTIF($T696:$W696,"&gt;"&amp;$T696)+(COUNTIF($T696:$W696,$T696)-1)/2</f>
        <v>1</v>
      </c>
      <c r="AC696" s="0" t="n">
        <f aca="false">1+COUNTIF($T696:$W696,"&gt;"&amp;$U696)+(COUNTIF($T696:$W696,$U696)-1)/2</f>
        <v>4</v>
      </c>
      <c r="AD696" s="0" t="n">
        <f aca="false">1+COUNTIF($T696:$W696,"&gt;"&amp;$V696)+(COUNTIF($T696:$W696,$V696)-1)/2</f>
        <v>2</v>
      </c>
      <c r="AE696" s="0" t="n">
        <f aca="false">1+COUNTIF($T696:$W696,"&gt;"&amp;$W696)+(COUNTIF($T696:$W696,$W696)-1)/2</f>
        <v>3</v>
      </c>
      <c r="AF696" s="0" t="n">
        <f aca="false">IFERROR(CORREL($P696:$S696,$T696:$W696),"")</f>
        <v>0.808723613826404</v>
      </c>
      <c r="AG696" s="0" t="n">
        <f aca="false">IFERROR(CORREL($X696:$AA696,$AB696:$AE696),"")</f>
        <v>0.6</v>
      </c>
      <c r="AH696" s="0" t="n">
        <f aca="false">IFERROR((SIGN($P696-$Q696)*SIGN($T696-$U696)+SIGN($P696-$R696)*SIGN($T696-$V696)+SIGN($P696-$S696)*SIGN($T696-$W696)+SIGN($Q696-$R696)*SIGN($U696-$V696)+SIGN($Q696-$S696)*SIGN($U696-$W696)+SIGN($R696-$S696)*SIGN($V696-$W696))/SQRT((6-(($P696=$Q696)*1+($P696=$R696)*1+($P696=$S696)*1+($Q696=$R696)*1+($Q696=$S696)*1+($R696=$S696)*1))*(6-(($T696=$U696)*1+($T696=$V696)*1+($T696=$W696)*1+($U696=$V696)*1+($U696=$W696)*1+($V696=$W696)*1))),"")</f>
        <v>0.333333333333333</v>
      </c>
      <c r="AI696" s="0" t="n">
        <f aca="false">MATCH(MAX($K696:$O696),$K696:$O696,0)</f>
        <v>3</v>
      </c>
      <c r="AJ696" s="0" t="n">
        <f aca="false">IF(AI696&lt;&gt;$E696,1,0)</f>
        <v>0</v>
      </c>
      <c r="AK696" s="0" t="str">
        <f aca="false">IF(AJ696=1,INDEX($F696:$J696,AI696)/MAX($P696:$S696),"")</f>
        <v/>
      </c>
      <c r="AL696" s="0" t="str">
        <f aca="false">IF(AJ696=1,1+COUNTIF($P696:$S696,"&gt;"&amp;INDEX($F696:$J696,AI696)),"")</f>
        <v/>
      </c>
      <c r="AM696" s="0" t="n">
        <f aca="false">AVERAGE($P696:$S696)/MAX($P696:$S696)</f>
        <v>0.667452830188679</v>
      </c>
      <c r="AN696" s="0" t="n">
        <f aca="false">100-INDEX($F696:$J696,$E696)</f>
        <v>33</v>
      </c>
    </row>
    <row r="697" customFormat="false" ht="15" hidden="false" customHeight="false" outlineLevel="0" collapsed="false">
      <c r="A697" s="0" t="s">
        <v>61</v>
      </c>
      <c r="B697" s="0" t="n">
        <v>2014</v>
      </c>
      <c r="C697" s="0" t="s">
        <v>46</v>
      </c>
      <c r="D697" s="0" t="s">
        <v>45</v>
      </c>
      <c r="E697" s="0" t="n">
        <v>1</v>
      </c>
      <c r="F697" s="0" t="n">
        <v>50.9</v>
      </c>
      <c r="G697" s="0" t="n">
        <v>28</v>
      </c>
      <c r="H697" s="0" t="n">
        <v>7.5</v>
      </c>
      <c r="I697" s="0" t="n">
        <v>5.7</v>
      </c>
      <c r="J697" s="0" t="n">
        <v>3</v>
      </c>
      <c r="K697" s="0" t="n">
        <v>67.0487303187</v>
      </c>
      <c r="L697" s="0" t="n">
        <v>12.7607224741</v>
      </c>
      <c r="M697" s="0" t="n">
        <v>6.20158981887</v>
      </c>
      <c r="N697" s="0" t="n">
        <v>3.50117241127</v>
      </c>
      <c r="O697" s="0" t="n">
        <v>10.487784977</v>
      </c>
      <c r="P697" s="0" t="n">
        <f aca="false">INDEX($F697:$J697,IF(1&lt;$E697,1,1+1))</f>
        <v>28</v>
      </c>
      <c r="Q697" s="0" t="n">
        <f aca="false">INDEX($F697:$J697,IF(2&lt;$E697,2,2+1))</f>
        <v>7.5</v>
      </c>
      <c r="R697" s="0" t="n">
        <f aca="false">INDEX($F697:$J697,IF(3&lt;$E697,3,3+1))</f>
        <v>5.7</v>
      </c>
      <c r="S697" s="0" t="n">
        <f aca="false">INDEX($F697:$J697,IF(4&lt;$E697,4,4+1))</f>
        <v>3</v>
      </c>
      <c r="T697" s="0" t="n">
        <f aca="false">INDEX($K697:$O697,IF(1&lt;$E697,1,1+1))</f>
        <v>12.7607224741</v>
      </c>
      <c r="U697" s="0" t="n">
        <f aca="false">INDEX($K697:$O697,IF(2&lt;$E697,2,2+1))</f>
        <v>6.20158981887</v>
      </c>
      <c r="V697" s="0" t="n">
        <f aca="false">INDEX($K697:$O697,IF(3&lt;$E697,3,3+1))</f>
        <v>3.50117241127</v>
      </c>
      <c r="W697" s="0" t="n">
        <f aca="false">INDEX($K697:$O697,IF(4&lt;$E697,4,4+1))</f>
        <v>10.487784977</v>
      </c>
      <c r="X697" s="0" t="n">
        <f aca="false">1+COUNTIF($P697:$S697,"&gt;"&amp;$P697)+(COUNTIF($P697:$S697,$P697)-1)/2</f>
        <v>1</v>
      </c>
      <c r="Y697" s="0" t="n">
        <f aca="false">1+COUNTIF($P697:$S697,"&gt;"&amp;$Q697)+(COUNTIF($P697:$S697,$Q697)-1)/2</f>
        <v>2</v>
      </c>
      <c r="Z697" s="0" t="n">
        <f aca="false">1+COUNTIF($P697:$S697,"&gt;"&amp;$R697)+(COUNTIF($P697:$S697,$R697)-1)/2</f>
        <v>3</v>
      </c>
      <c r="AA697" s="0" t="n">
        <f aca="false">1+COUNTIF($P697:$S697,"&gt;"&amp;$S697)+(COUNTIF($P697:$S697,$S697)-1)/2</f>
        <v>4</v>
      </c>
      <c r="AB697" s="0" t="n">
        <f aca="false">1+COUNTIF($T697:$W697,"&gt;"&amp;$T697)+(COUNTIF($T697:$W697,$T697)-1)/2</f>
        <v>1</v>
      </c>
      <c r="AC697" s="0" t="n">
        <f aca="false">1+COUNTIF($T697:$W697,"&gt;"&amp;$U697)+(COUNTIF($T697:$W697,$U697)-1)/2</f>
        <v>3</v>
      </c>
      <c r="AD697" s="0" t="n">
        <f aca="false">1+COUNTIF($T697:$W697,"&gt;"&amp;$V697)+(COUNTIF($T697:$W697,$V697)-1)/2</f>
        <v>4</v>
      </c>
      <c r="AE697" s="0" t="n">
        <f aca="false">1+COUNTIF($T697:$W697,"&gt;"&amp;$W697)+(COUNTIF($T697:$W697,$W697)-1)/2</f>
        <v>2</v>
      </c>
      <c r="AF697" s="0" t="n">
        <f aca="false">IFERROR(CORREL($P697:$S697,$T697:$W697),"")</f>
        <v>0.636524425443697</v>
      </c>
      <c r="AG697" s="0" t="n">
        <f aca="false">IFERROR(CORREL($X697:$AA697,$AB697:$AE697),"")</f>
        <v>0.4</v>
      </c>
      <c r="AH697" s="0" t="n">
        <f aca="false">IFERROR((SIGN($P697-$Q697)*SIGN($T697-$U697)+SIGN($P697-$R697)*SIGN($T697-$V697)+SIGN($P697-$S697)*SIGN($T697-$W697)+SIGN($Q697-$R697)*SIGN($U697-$V697)+SIGN($Q697-$S697)*SIGN($U697-$W697)+SIGN($R697-$S697)*SIGN($V697-$W697))/SQRT((6-(($P697=$Q697)*1+($P697=$R697)*1+($P697=$S697)*1+($Q697=$R697)*1+($Q697=$S697)*1+($R697=$S697)*1))*(6-(($T697=$U697)*1+($T697=$V697)*1+($T697=$W697)*1+($U697=$V697)*1+($U697=$W697)*1+($V697=$W697)*1))),"")</f>
        <v>0.333333333333333</v>
      </c>
      <c r="AI697" s="0" t="n">
        <f aca="false">MATCH(MAX($K697:$O697),$K697:$O697,0)</f>
        <v>1</v>
      </c>
      <c r="AJ697" s="0" t="n">
        <f aca="false">IF(AI697&lt;&gt;$E697,1,0)</f>
        <v>0</v>
      </c>
      <c r="AK697" s="0" t="str">
        <f aca="false">IF(AJ697=1,INDEX($F697:$J697,AI697)/MAX($P697:$S697),"")</f>
        <v/>
      </c>
      <c r="AL697" s="0" t="str">
        <f aca="false">IF(AJ697=1,1+COUNTIF($P697:$S697,"&gt;"&amp;INDEX($F697:$J697,AI697)),"")</f>
        <v/>
      </c>
      <c r="AM697" s="0" t="n">
        <f aca="false">AVERAGE($P697:$S697)/MAX($P697:$S697)</f>
        <v>0.394642857142857</v>
      </c>
      <c r="AN697" s="0" t="n">
        <f aca="false">100-INDEX($F697:$J697,$E697)</f>
        <v>49.1</v>
      </c>
    </row>
    <row r="698" customFormat="false" ht="15" hidden="false" customHeight="false" outlineLevel="0" collapsed="false">
      <c r="A698" s="0" t="s">
        <v>61</v>
      </c>
      <c r="B698" s="0" t="n">
        <v>2014</v>
      </c>
      <c r="C698" s="0" t="s">
        <v>46</v>
      </c>
      <c r="D698" s="0" t="s">
        <v>53</v>
      </c>
      <c r="E698" s="0" t="n">
        <v>5</v>
      </c>
      <c r="F698" s="0" t="n">
        <v>6.2</v>
      </c>
      <c r="G698" s="0" t="n">
        <v>4.7</v>
      </c>
      <c r="H698" s="0" t="n">
        <v>11.3</v>
      </c>
      <c r="I698" s="0" t="n">
        <v>7.4</v>
      </c>
      <c r="J698" s="0" t="n">
        <v>65.6</v>
      </c>
      <c r="K698" s="0" t="n">
        <v>0.887981255814</v>
      </c>
      <c r="L698" s="0" t="n">
        <v>6.49712349871</v>
      </c>
      <c r="M698" s="0" t="n">
        <v>12.6871940614</v>
      </c>
      <c r="N698" s="0" t="n">
        <v>11.5050960954</v>
      </c>
      <c r="O698" s="0" t="n">
        <v>68.4226050886</v>
      </c>
      <c r="P698" s="0" t="n">
        <f aca="false">INDEX($F698:$J698,IF(1&lt;$E698,1,1+1))</f>
        <v>6.2</v>
      </c>
      <c r="Q698" s="0" t="n">
        <f aca="false">INDEX($F698:$J698,IF(2&lt;$E698,2,2+1))</f>
        <v>4.7</v>
      </c>
      <c r="R698" s="0" t="n">
        <f aca="false">INDEX($F698:$J698,IF(3&lt;$E698,3,3+1))</f>
        <v>11.3</v>
      </c>
      <c r="S698" s="0" t="n">
        <f aca="false">INDEX($F698:$J698,IF(4&lt;$E698,4,4+1))</f>
        <v>7.4</v>
      </c>
      <c r="T698" s="0" t="n">
        <f aca="false">INDEX($K698:$O698,IF(1&lt;$E698,1,1+1))</f>
        <v>0.887981255814</v>
      </c>
      <c r="U698" s="0" t="n">
        <f aca="false">INDEX($K698:$O698,IF(2&lt;$E698,2,2+1))</f>
        <v>6.49712349871</v>
      </c>
      <c r="V698" s="0" t="n">
        <f aca="false">INDEX($K698:$O698,IF(3&lt;$E698,3,3+1))</f>
        <v>12.6871940614</v>
      </c>
      <c r="W698" s="0" t="n">
        <f aca="false">INDEX($K698:$O698,IF(4&lt;$E698,4,4+1))</f>
        <v>11.5050960954</v>
      </c>
      <c r="X698" s="0" t="n">
        <f aca="false">1+COUNTIF($P698:$S698,"&gt;"&amp;$P698)+(COUNTIF($P698:$S698,$P698)-1)/2</f>
        <v>3</v>
      </c>
      <c r="Y698" s="0" t="n">
        <f aca="false">1+COUNTIF($P698:$S698,"&gt;"&amp;$Q698)+(COUNTIF($P698:$S698,$Q698)-1)/2</f>
        <v>4</v>
      </c>
      <c r="Z698" s="0" t="n">
        <f aca="false">1+COUNTIF($P698:$S698,"&gt;"&amp;$R698)+(COUNTIF($P698:$S698,$R698)-1)/2</f>
        <v>1</v>
      </c>
      <c r="AA698" s="0" t="n">
        <f aca="false">1+COUNTIF($P698:$S698,"&gt;"&amp;$S698)+(COUNTIF($P698:$S698,$S698)-1)/2</f>
        <v>2</v>
      </c>
      <c r="AB698" s="0" t="n">
        <f aca="false">1+COUNTIF($T698:$W698,"&gt;"&amp;$T698)+(COUNTIF($T698:$W698,$T698)-1)/2</f>
        <v>4</v>
      </c>
      <c r="AC698" s="0" t="n">
        <f aca="false">1+COUNTIF($T698:$W698,"&gt;"&amp;$U698)+(COUNTIF($T698:$W698,$U698)-1)/2</f>
        <v>3</v>
      </c>
      <c r="AD698" s="0" t="n">
        <f aca="false">1+COUNTIF($T698:$W698,"&gt;"&amp;$V698)+(COUNTIF($T698:$W698,$V698)-1)/2</f>
        <v>1</v>
      </c>
      <c r="AE698" s="0" t="n">
        <f aca="false">1+COUNTIF($T698:$W698,"&gt;"&amp;$W698)+(COUNTIF($T698:$W698,$W698)-1)/2</f>
        <v>2</v>
      </c>
      <c r="AF698" s="0" t="n">
        <f aca="false">IFERROR(CORREL($P698:$S698,$T698:$W698),"")</f>
        <v>0.676271443753529</v>
      </c>
      <c r="AG698" s="0" t="n">
        <f aca="false">IFERROR(CORREL($X698:$AA698,$AB698:$AE698),"")</f>
        <v>0.8</v>
      </c>
      <c r="AH698" s="0" t="n">
        <f aca="false">IFERROR((SIGN($P698-$Q698)*SIGN($T698-$U698)+SIGN($P698-$R698)*SIGN($T698-$V698)+SIGN($P698-$S698)*SIGN($T698-$W698)+SIGN($Q698-$R698)*SIGN($U698-$V698)+SIGN($Q698-$S698)*SIGN($U698-$W698)+SIGN($R698-$S698)*SIGN($V698-$W698))/SQRT((6-(($P698=$Q698)*1+($P698=$R698)*1+($P698=$S698)*1+($Q698=$R698)*1+($Q698=$S698)*1+($R698=$S698)*1))*(6-(($T698=$U698)*1+($T698=$V698)*1+($T698=$W698)*1+($U698=$V698)*1+($U698=$W698)*1+($V698=$W698)*1))),"")</f>
        <v>0.666666666666667</v>
      </c>
      <c r="AI698" s="0" t="n">
        <f aca="false">MATCH(MAX($K698:$O698),$K698:$O698,0)</f>
        <v>5</v>
      </c>
      <c r="AJ698" s="0" t="n">
        <f aca="false">IF(AI698&lt;&gt;$E698,1,0)</f>
        <v>0</v>
      </c>
      <c r="AK698" s="0" t="str">
        <f aca="false">IF(AJ698=1,INDEX($F698:$J698,AI698)/MAX($P698:$S698),"")</f>
        <v/>
      </c>
      <c r="AL698" s="0" t="str">
        <f aca="false">IF(AJ698=1,1+COUNTIF($P698:$S698,"&gt;"&amp;INDEX($F698:$J698,AI698)),"")</f>
        <v/>
      </c>
      <c r="AM698" s="0" t="n">
        <f aca="false">AVERAGE($P698:$S698)/MAX($P698:$S698)</f>
        <v>0.654867256637168</v>
      </c>
      <c r="AN698" s="0" t="n">
        <f aca="false">100-INDEX($F698:$J698,$E698)</f>
        <v>34.4</v>
      </c>
    </row>
    <row r="699" customFormat="false" ht="15" hidden="false" customHeight="false" outlineLevel="0" collapsed="false">
      <c r="A699" s="0" t="s">
        <v>61</v>
      </c>
      <c r="B699" s="0" t="n">
        <v>2013</v>
      </c>
      <c r="C699" s="0" t="s">
        <v>58</v>
      </c>
      <c r="D699" s="0" t="s">
        <v>42</v>
      </c>
      <c r="E699" s="0" t="n">
        <v>1</v>
      </c>
      <c r="F699" s="0" t="n">
        <v>31.7</v>
      </c>
      <c r="G699" s="0" t="n">
        <v>17</v>
      </c>
      <c r="H699" s="0" t="n">
        <v>4.5</v>
      </c>
      <c r="I699" s="0" t="n">
        <v>17.2</v>
      </c>
      <c r="J699" s="0" t="n">
        <v>26.9</v>
      </c>
      <c r="K699" s="0" t="n">
        <v>21.9375127328</v>
      </c>
      <c r="L699" s="0" t="n">
        <v>28.942709004</v>
      </c>
      <c r="M699" s="0" t="n">
        <v>19.771193499</v>
      </c>
      <c r="N699" s="0" t="n">
        <v>28.5937524674</v>
      </c>
      <c r="O699" s="0" t="n">
        <v>0.754832296851</v>
      </c>
      <c r="P699" s="0" t="n">
        <f aca="false">INDEX($F699:$J699,IF(1&lt;$E699,1,1+1))</f>
        <v>17</v>
      </c>
      <c r="Q699" s="0" t="n">
        <f aca="false">INDEX($F699:$J699,IF(2&lt;$E699,2,2+1))</f>
        <v>4.5</v>
      </c>
      <c r="R699" s="0" t="n">
        <f aca="false">INDEX($F699:$J699,IF(3&lt;$E699,3,3+1))</f>
        <v>17.2</v>
      </c>
      <c r="S699" s="0" t="n">
        <f aca="false">INDEX($F699:$J699,IF(4&lt;$E699,4,4+1))</f>
        <v>26.9</v>
      </c>
      <c r="T699" s="0" t="n">
        <f aca="false">INDEX($K699:$O699,IF(1&lt;$E699,1,1+1))</f>
        <v>28.942709004</v>
      </c>
      <c r="U699" s="0" t="n">
        <f aca="false">INDEX($K699:$O699,IF(2&lt;$E699,2,2+1))</f>
        <v>19.771193499</v>
      </c>
      <c r="V699" s="0" t="n">
        <f aca="false">INDEX($K699:$O699,IF(3&lt;$E699,3,3+1))</f>
        <v>28.5937524674</v>
      </c>
      <c r="W699" s="0" t="n">
        <f aca="false">INDEX($K699:$O699,IF(4&lt;$E699,4,4+1))</f>
        <v>0.754832296851</v>
      </c>
      <c r="X699" s="0" t="n">
        <f aca="false">1+COUNTIF($P699:$S699,"&gt;"&amp;$P699)+(COUNTIF($P699:$S699,$P699)-1)/2</f>
        <v>3</v>
      </c>
      <c r="Y699" s="0" t="n">
        <f aca="false">1+COUNTIF($P699:$S699,"&gt;"&amp;$Q699)+(COUNTIF($P699:$S699,$Q699)-1)/2</f>
        <v>4</v>
      </c>
      <c r="Z699" s="0" t="n">
        <f aca="false">1+COUNTIF($P699:$S699,"&gt;"&amp;$R699)+(COUNTIF($P699:$S699,$R699)-1)/2</f>
        <v>2</v>
      </c>
      <c r="AA699" s="0" t="n">
        <f aca="false">1+COUNTIF($P699:$S699,"&gt;"&amp;$S699)+(COUNTIF($P699:$S699,$S699)-1)/2</f>
        <v>1</v>
      </c>
      <c r="AB699" s="0" t="n">
        <f aca="false">1+COUNTIF($T699:$W699,"&gt;"&amp;$T699)+(COUNTIF($T699:$W699,$T699)-1)/2</f>
        <v>1</v>
      </c>
      <c r="AC699" s="0" t="n">
        <f aca="false">1+COUNTIF($T699:$W699,"&gt;"&amp;$U699)+(COUNTIF($T699:$W699,$U699)-1)/2</f>
        <v>3</v>
      </c>
      <c r="AD699" s="0" t="n">
        <f aca="false">1+COUNTIF($T699:$W699,"&gt;"&amp;$V699)+(COUNTIF($T699:$W699,$V699)-1)/2</f>
        <v>2</v>
      </c>
      <c r="AE699" s="0" t="n">
        <f aca="false">1+COUNTIF($T699:$W699,"&gt;"&amp;$W699)+(COUNTIF($T699:$W699,$W699)-1)/2</f>
        <v>4</v>
      </c>
      <c r="AF699" s="0" t="n">
        <f aca="false">IFERROR(CORREL($P699:$S699,$T699:$W699),"")</f>
        <v>-0.514371969476586</v>
      </c>
      <c r="AG699" s="0" t="n">
        <f aca="false">IFERROR(CORREL($X699:$AA699,$AB699:$AE699),"")</f>
        <v>-0.4</v>
      </c>
      <c r="AH699" s="0" t="n">
        <f aca="false">IFERROR((SIGN($P699-$Q699)*SIGN($T699-$U699)+SIGN($P699-$R699)*SIGN($T699-$V699)+SIGN($P699-$S699)*SIGN($T699-$W699)+SIGN($Q699-$R699)*SIGN($U699-$V699)+SIGN($Q699-$S699)*SIGN($U699-$W699)+SIGN($R699-$S699)*SIGN($V699-$W699))/SQRT((6-(($P699=$Q699)*1+($P699=$R699)*1+($P699=$S699)*1+($Q699=$R699)*1+($Q699=$S699)*1+($R699=$S699)*1))*(6-(($T699=$U699)*1+($T699=$V699)*1+($T699=$W699)*1+($U699=$V699)*1+($U699=$W699)*1+($V699=$W699)*1))),"")</f>
        <v>-0.333333333333333</v>
      </c>
      <c r="AI699" s="0" t="n">
        <f aca="false">MATCH(MAX($K699:$O699),$K699:$O699,0)</f>
        <v>2</v>
      </c>
      <c r="AJ699" s="0" t="n">
        <f aca="false">IF(AI699&lt;&gt;$E699,1,0)</f>
        <v>1</v>
      </c>
      <c r="AK699" s="0" t="n">
        <f aca="false">IF(AJ699=1,INDEX($F699:$J699,AI699)/MAX($P699:$S699),"")</f>
        <v>0.631970260223048</v>
      </c>
      <c r="AL699" s="0" t="n">
        <f aca="false">IF(AJ699=1,1+COUNTIF($P699:$S699,"&gt;"&amp;INDEX($F699:$J699,AI699)),"")</f>
        <v>3</v>
      </c>
      <c r="AM699" s="0" t="n">
        <f aca="false">AVERAGE($P699:$S699)/MAX($P699:$S699)</f>
        <v>0.609665427509294</v>
      </c>
      <c r="AN699" s="0" t="n">
        <f aca="false">100-INDEX($F699:$J699,$E699)</f>
        <v>68.3</v>
      </c>
    </row>
    <row r="700" customFormat="false" ht="15" hidden="false" customHeight="false" outlineLevel="0" collapsed="false">
      <c r="A700" s="0" t="s">
        <v>61</v>
      </c>
      <c r="B700" s="0" t="n">
        <v>2013</v>
      </c>
      <c r="C700" s="0" t="s">
        <v>58</v>
      </c>
      <c r="D700" s="0" t="s">
        <v>43</v>
      </c>
      <c r="E700" s="0" t="n">
        <v>2</v>
      </c>
      <c r="F700" s="0" t="n">
        <v>8.5</v>
      </c>
      <c r="G700" s="0" t="n">
        <v>67.9</v>
      </c>
      <c r="H700" s="0" t="n">
        <v>8.6</v>
      </c>
      <c r="I700" s="0" t="n">
        <v>7.5</v>
      </c>
      <c r="J700" s="0" t="n">
        <v>4.9</v>
      </c>
      <c r="K700" s="0" t="n">
        <v>8.86360682154</v>
      </c>
      <c r="L700" s="0" t="n">
        <v>62.2108316107</v>
      </c>
      <c r="M700" s="0" t="n">
        <v>12.923221876</v>
      </c>
      <c r="N700" s="0" t="n">
        <v>4.77928196957</v>
      </c>
      <c r="O700" s="0" t="n">
        <v>11.2230577222</v>
      </c>
      <c r="P700" s="0" t="n">
        <f aca="false">INDEX($F700:$J700,IF(1&lt;$E700,1,1+1))</f>
        <v>8.5</v>
      </c>
      <c r="Q700" s="0" t="n">
        <f aca="false">INDEX($F700:$J700,IF(2&lt;$E700,2,2+1))</f>
        <v>8.6</v>
      </c>
      <c r="R700" s="0" t="n">
        <f aca="false">INDEX($F700:$J700,IF(3&lt;$E700,3,3+1))</f>
        <v>7.5</v>
      </c>
      <c r="S700" s="0" t="n">
        <f aca="false">INDEX($F700:$J700,IF(4&lt;$E700,4,4+1))</f>
        <v>4.9</v>
      </c>
      <c r="T700" s="0" t="n">
        <f aca="false">INDEX($K700:$O700,IF(1&lt;$E700,1,1+1))</f>
        <v>8.86360682154</v>
      </c>
      <c r="U700" s="0" t="n">
        <f aca="false">INDEX($K700:$O700,IF(2&lt;$E700,2,2+1))</f>
        <v>12.923221876</v>
      </c>
      <c r="V700" s="0" t="n">
        <f aca="false">INDEX($K700:$O700,IF(3&lt;$E700,3,3+1))</f>
        <v>4.77928196957</v>
      </c>
      <c r="W700" s="0" t="n">
        <f aca="false">INDEX($K700:$O700,IF(4&lt;$E700,4,4+1))</f>
        <v>11.2230577222</v>
      </c>
      <c r="X700" s="0" t="n">
        <f aca="false">1+COUNTIF($P700:$S700,"&gt;"&amp;$P700)+(COUNTIF($P700:$S700,$P700)-1)/2</f>
        <v>2</v>
      </c>
      <c r="Y700" s="0" t="n">
        <f aca="false">1+COUNTIF($P700:$S700,"&gt;"&amp;$Q700)+(COUNTIF($P700:$S700,$Q700)-1)/2</f>
        <v>1</v>
      </c>
      <c r="Z700" s="0" t="n">
        <f aca="false">1+COUNTIF($P700:$S700,"&gt;"&amp;$R700)+(COUNTIF($P700:$S700,$R700)-1)/2</f>
        <v>3</v>
      </c>
      <c r="AA700" s="0" t="n">
        <f aca="false">1+COUNTIF($P700:$S700,"&gt;"&amp;$S700)+(COUNTIF($P700:$S700,$S700)-1)/2</f>
        <v>4</v>
      </c>
      <c r="AB700" s="0" t="n">
        <f aca="false">1+COUNTIF($T700:$W700,"&gt;"&amp;$T700)+(COUNTIF($T700:$W700,$T700)-1)/2</f>
        <v>3</v>
      </c>
      <c r="AC700" s="0" t="n">
        <f aca="false">1+COUNTIF($T700:$W700,"&gt;"&amp;$U700)+(COUNTIF($T700:$W700,$U700)-1)/2</f>
        <v>1</v>
      </c>
      <c r="AD700" s="0" t="n">
        <f aca="false">1+COUNTIF($T700:$W700,"&gt;"&amp;$V700)+(COUNTIF($T700:$W700,$V700)-1)/2</f>
        <v>4</v>
      </c>
      <c r="AE700" s="0" t="n">
        <f aca="false">1+COUNTIF($T700:$W700,"&gt;"&amp;$W700)+(COUNTIF($T700:$W700,$W700)-1)/2</f>
        <v>2</v>
      </c>
      <c r="AF700" s="0" t="n">
        <f aca="false">IFERROR(CORREL($P700:$S700,$T700:$W700),"")</f>
        <v>-0.0754854884768218</v>
      </c>
      <c r="AG700" s="0" t="n">
        <f aca="false">IFERROR(CORREL($X700:$AA700,$AB700:$AE700),"")</f>
        <v>0.4</v>
      </c>
      <c r="AH700" s="0" t="n">
        <f aca="false">IFERROR((SIGN($P700-$Q700)*SIGN($T700-$U700)+SIGN($P700-$R700)*SIGN($T700-$V700)+SIGN($P700-$S700)*SIGN($T700-$W700)+SIGN($Q700-$R700)*SIGN($U700-$V700)+SIGN($Q700-$S700)*SIGN($U700-$W700)+SIGN($R700-$S700)*SIGN($V700-$W700))/SQRT((6-(($P700=$Q700)*1+($P700=$R700)*1+($P700=$S700)*1+($Q700=$R700)*1+($Q700=$S700)*1+($R700=$S700)*1))*(6-(($T700=$U700)*1+($T700=$V700)*1+($T700=$W700)*1+($U700=$V700)*1+($U700=$W700)*1+($V700=$W700)*1))),"")</f>
        <v>0.333333333333333</v>
      </c>
      <c r="AI700" s="0" t="n">
        <f aca="false">MATCH(MAX($K700:$O700),$K700:$O700,0)</f>
        <v>2</v>
      </c>
      <c r="AJ700" s="0" t="n">
        <f aca="false">IF(AI700&lt;&gt;$E700,1,0)</f>
        <v>0</v>
      </c>
      <c r="AK700" s="0" t="str">
        <f aca="false">IF(AJ700=1,INDEX($F700:$J700,AI700)/MAX($P700:$S700),"")</f>
        <v/>
      </c>
      <c r="AL700" s="0" t="str">
        <f aca="false">IF(AJ700=1,1+COUNTIF($P700:$S700,"&gt;"&amp;INDEX($F700:$J700,AI700)),"")</f>
        <v/>
      </c>
      <c r="AM700" s="0" t="n">
        <f aca="false">AVERAGE($P700:$S700)/MAX($P700:$S700)</f>
        <v>0.857558139534884</v>
      </c>
      <c r="AN700" s="0" t="n">
        <f aca="false">100-INDEX($F700:$J700,$E700)</f>
        <v>32.1</v>
      </c>
    </row>
    <row r="701" customFormat="false" ht="15" hidden="false" customHeight="false" outlineLevel="0" collapsed="false">
      <c r="A701" s="0" t="s">
        <v>61</v>
      </c>
      <c r="B701" s="0" t="n">
        <v>2013</v>
      </c>
      <c r="C701" s="0" t="s">
        <v>58</v>
      </c>
      <c r="D701" s="0" t="s">
        <v>44</v>
      </c>
      <c r="E701" s="0" t="n">
        <v>2</v>
      </c>
      <c r="F701" s="0" t="n">
        <v>25.4</v>
      </c>
      <c r="G701" s="0" t="n">
        <v>18.5</v>
      </c>
      <c r="H701" s="0" t="n">
        <v>21.7</v>
      </c>
      <c r="I701" s="0" t="n">
        <v>14.3</v>
      </c>
      <c r="J701" s="0" t="n">
        <v>17.4</v>
      </c>
      <c r="K701" s="0" t="n">
        <v>9.48177043155</v>
      </c>
      <c r="L701" s="0" t="n">
        <v>81.2477785966</v>
      </c>
      <c r="M701" s="0" t="n">
        <v>6.99224852612</v>
      </c>
      <c r="N701" s="0" t="n">
        <v>2.15241529485</v>
      </c>
      <c r="O701" s="0" t="n">
        <v>0.125787150845</v>
      </c>
      <c r="P701" s="0" t="n">
        <f aca="false">INDEX($F701:$J701,IF(1&lt;$E701,1,1+1))</f>
        <v>25.4</v>
      </c>
      <c r="Q701" s="0" t="n">
        <f aca="false">INDEX($F701:$J701,IF(2&lt;$E701,2,2+1))</f>
        <v>21.7</v>
      </c>
      <c r="R701" s="0" t="n">
        <f aca="false">INDEX($F701:$J701,IF(3&lt;$E701,3,3+1))</f>
        <v>14.3</v>
      </c>
      <c r="S701" s="0" t="n">
        <f aca="false">INDEX($F701:$J701,IF(4&lt;$E701,4,4+1))</f>
        <v>17.4</v>
      </c>
      <c r="T701" s="0" t="n">
        <f aca="false">INDEX($K701:$O701,IF(1&lt;$E701,1,1+1))</f>
        <v>9.48177043155</v>
      </c>
      <c r="U701" s="0" t="n">
        <f aca="false">INDEX($K701:$O701,IF(2&lt;$E701,2,2+1))</f>
        <v>6.99224852612</v>
      </c>
      <c r="V701" s="0" t="n">
        <f aca="false">INDEX($K701:$O701,IF(3&lt;$E701,3,3+1))</f>
        <v>2.15241529485</v>
      </c>
      <c r="W701" s="0" t="n">
        <f aca="false">INDEX($K701:$O701,IF(4&lt;$E701,4,4+1))</f>
        <v>0.125787150845</v>
      </c>
      <c r="X701" s="0" t="n">
        <f aca="false">1+COUNTIF($P701:$S701,"&gt;"&amp;$P701)+(COUNTIF($P701:$S701,$P701)-1)/2</f>
        <v>1</v>
      </c>
      <c r="Y701" s="0" t="n">
        <f aca="false">1+COUNTIF($P701:$S701,"&gt;"&amp;$Q701)+(COUNTIF($P701:$S701,$Q701)-1)/2</f>
        <v>2</v>
      </c>
      <c r="Z701" s="0" t="n">
        <f aca="false">1+COUNTIF($P701:$S701,"&gt;"&amp;$R701)+(COUNTIF($P701:$S701,$R701)-1)/2</f>
        <v>4</v>
      </c>
      <c r="AA701" s="0" t="n">
        <f aca="false">1+COUNTIF($P701:$S701,"&gt;"&amp;$S701)+(COUNTIF($P701:$S701,$S701)-1)/2</f>
        <v>3</v>
      </c>
      <c r="AB701" s="0" t="n">
        <f aca="false">1+COUNTIF($T701:$W701,"&gt;"&amp;$T701)+(COUNTIF($T701:$W701,$T701)-1)/2</f>
        <v>1</v>
      </c>
      <c r="AC701" s="0" t="n">
        <f aca="false">1+COUNTIF($T701:$W701,"&gt;"&amp;$U701)+(COUNTIF($T701:$W701,$U701)-1)/2</f>
        <v>2</v>
      </c>
      <c r="AD701" s="0" t="n">
        <f aca="false">1+COUNTIF($T701:$W701,"&gt;"&amp;$V701)+(COUNTIF($T701:$W701,$V701)-1)/2</f>
        <v>3</v>
      </c>
      <c r="AE701" s="0" t="n">
        <f aca="false">1+COUNTIF($T701:$W701,"&gt;"&amp;$W701)+(COUNTIF($T701:$W701,$W701)-1)/2</f>
        <v>4</v>
      </c>
      <c r="AF701" s="0" t="n">
        <f aca="false">IFERROR(CORREL($P701:$S701,$T701:$W701),"")</f>
        <v>0.894095148635758</v>
      </c>
      <c r="AG701" s="0" t="n">
        <f aca="false">IFERROR(CORREL($X701:$AA701,$AB701:$AE701),"")</f>
        <v>0.8</v>
      </c>
      <c r="AH701" s="0" t="n">
        <f aca="false">IFERROR((SIGN($P701-$Q701)*SIGN($T701-$U701)+SIGN($P701-$R701)*SIGN($T701-$V701)+SIGN($P701-$S701)*SIGN($T701-$W701)+SIGN($Q701-$R701)*SIGN($U701-$V701)+SIGN($Q701-$S701)*SIGN($U701-$W701)+SIGN($R701-$S701)*SIGN($V701-$W701))/SQRT((6-(($P701=$Q701)*1+($P701=$R701)*1+($P701=$S701)*1+($Q701=$R701)*1+($Q701=$S701)*1+($R701=$S701)*1))*(6-(($T701=$U701)*1+($T701=$V701)*1+($T701=$W701)*1+($U701=$V701)*1+($U701=$W701)*1+($V701=$W701)*1))),"")</f>
        <v>0.666666666666667</v>
      </c>
      <c r="AI701" s="0" t="n">
        <f aca="false">MATCH(MAX($K701:$O701),$K701:$O701,0)</f>
        <v>2</v>
      </c>
      <c r="AJ701" s="0" t="n">
        <f aca="false">IF(AI701&lt;&gt;$E701,1,0)</f>
        <v>0</v>
      </c>
      <c r="AK701" s="0" t="str">
        <f aca="false">IF(AJ701=1,INDEX($F701:$J701,AI701)/MAX($P701:$S701),"")</f>
        <v/>
      </c>
      <c r="AL701" s="0" t="str">
        <f aca="false">IF(AJ701=1,1+COUNTIF($P701:$S701,"&gt;"&amp;INDEX($F701:$J701,AI701)),"")</f>
        <v/>
      </c>
      <c r="AM701" s="0" t="n">
        <f aca="false">AVERAGE($P701:$S701)/MAX($P701:$S701)</f>
        <v>0.775590551181102</v>
      </c>
      <c r="AN701" s="0" t="n">
        <f aca="false">100-INDEX($F701:$J701,$E701)</f>
        <v>81.5</v>
      </c>
    </row>
    <row r="702" customFormat="false" ht="15" hidden="false" customHeight="false" outlineLevel="0" collapsed="false">
      <c r="A702" s="0" t="s">
        <v>61</v>
      </c>
      <c r="B702" s="0" t="n">
        <v>2013</v>
      </c>
      <c r="C702" s="0" t="s">
        <v>58</v>
      </c>
      <c r="D702" s="0" t="s">
        <v>45</v>
      </c>
      <c r="E702" s="0" t="n">
        <v>1</v>
      </c>
      <c r="F702" s="0" t="n">
        <v>33.1</v>
      </c>
      <c r="G702" s="0" t="n">
        <v>16.9</v>
      </c>
      <c r="H702" s="0" t="n">
        <v>13.6</v>
      </c>
      <c r="I702" s="0" t="n">
        <v>28</v>
      </c>
      <c r="J702" s="0" t="n">
        <v>5.6</v>
      </c>
      <c r="K702" s="0" t="n">
        <v>28.0324239108</v>
      </c>
      <c r="L702" s="0" t="n">
        <v>12.764141409</v>
      </c>
      <c r="M702" s="0" t="n">
        <v>47.4627764481</v>
      </c>
      <c r="N702" s="0" t="n">
        <v>7.06125487593</v>
      </c>
      <c r="O702" s="0" t="n">
        <v>4.67940335613</v>
      </c>
      <c r="P702" s="0" t="n">
        <f aca="false">INDEX($F702:$J702,IF(1&lt;$E702,1,1+1))</f>
        <v>16.9</v>
      </c>
      <c r="Q702" s="0" t="n">
        <f aca="false">INDEX($F702:$J702,IF(2&lt;$E702,2,2+1))</f>
        <v>13.6</v>
      </c>
      <c r="R702" s="0" t="n">
        <f aca="false">INDEX($F702:$J702,IF(3&lt;$E702,3,3+1))</f>
        <v>28</v>
      </c>
      <c r="S702" s="0" t="n">
        <f aca="false">INDEX($F702:$J702,IF(4&lt;$E702,4,4+1))</f>
        <v>5.6</v>
      </c>
      <c r="T702" s="0" t="n">
        <f aca="false">INDEX($K702:$O702,IF(1&lt;$E702,1,1+1))</f>
        <v>12.764141409</v>
      </c>
      <c r="U702" s="0" t="n">
        <f aca="false">INDEX($K702:$O702,IF(2&lt;$E702,2,2+1))</f>
        <v>47.4627764481</v>
      </c>
      <c r="V702" s="0" t="n">
        <f aca="false">INDEX($K702:$O702,IF(3&lt;$E702,3,3+1))</f>
        <v>7.06125487593</v>
      </c>
      <c r="W702" s="0" t="n">
        <f aca="false">INDEX($K702:$O702,IF(4&lt;$E702,4,4+1))</f>
        <v>4.67940335613</v>
      </c>
      <c r="X702" s="0" t="n">
        <f aca="false">1+COUNTIF($P702:$S702,"&gt;"&amp;$P702)+(COUNTIF($P702:$S702,$P702)-1)/2</f>
        <v>2</v>
      </c>
      <c r="Y702" s="0" t="n">
        <f aca="false">1+COUNTIF($P702:$S702,"&gt;"&amp;$Q702)+(COUNTIF($P702:$S702,$Q702)-1)/2</f>
        <v>3</v>
      </c>
      <c r="Z702" s="0" t="n">
        <f aca="false">1+COUNTIF($P702:$S702,"&gt;"&amp;$R702)+(COUNTIF($P702:$S702,$R702)-1)/2</f>
        <v>1</v>
      </c>
      <c r="AA702" s="0" t="n">
        <f aca="false">1+COUNTIF($P702:$S702,"&gt;"&amp;$S702)+(COUNTIF($P702:$S702,$S702)-1)/2</f>
        <v>4</v>
      </c>
      <c r="AB702" s="0" t="n">
        <f aca="false">1+COUNTIF($T702:$W702,"&gt;"&amp;$T702)+(COUNTIF($T702:$W702,$T702)-1)/2</f>
        <v>2</v>
      </c>
      <c r="AC702" s="0" t="n">
        <f aca="false">1+COUNTIF($T702:$W702,"&gt;"&amp;$U702)+(COUNTIF($T702:$W702,$U702)-1)/2</f>
        <v>1</v>
      </c>
      <c r="AD702" s="0" t="n">
        <f aca="false">1+COUNTIF($T702:$W702,"&gt;"&amp;$V702)+(COUNTIF($T702:$W702,$V702)-1)/2</f>
        <v>3</v>
      </c>
      <c r="AE702" s="0" t="n">
        <f aca="false">1+COUNTIF($T702:$W702,"&gt;"&amp;$W702)+(COUNTIF($T702:$W702,$W702)-1)/2</f>
        <v>4</v>
      </c>
      <c r="AF702" s="0" t="n">
        <f aca="false">IFERROR(CORREL($P702:$S702,$T702:$W702),"")</f>
        <v>-0.122693633951324</v>
      </c>
      <c r="AG702" s="0" t="n">
        <f aca="false">IFERROR(CORREL($X702:$AA702,$AB702:$AE702),"")</f>
        <v>0.2</v>
      </c>
      <c r="AH702" s="0" t="n">
        <f aca="false">IFERROR((SIGN($P702-$Q702)*SIGN($T702-$U702)+SIGN($P702-$R702)*SIGN($T702-$V702)+SIGN($P702-$S702)*SIGN($T702-$W702)+SIGN($Q702-$R702)*SIGN($U702-$V702)+SIGN($Q702-$S702)*SIGN($U702-$W702)+SIGN($R702-$S702)*SIGN($V702-$W702))/SQRT((6-(($P702=$Q702)*1+($P702=$R702)*1+($P702=$S702)*1+($Q702=$R702)*1+($Q702=$S702)*1+($R702=$S702)*1))*(6-(($T702=$U702)*1+($T702=$V702)*1+($T702=$W702)*1+($U702=$V702)*1+($U702=$W702)*1+($V702=$W702)*1))),"")</f>
        <v>0</v>
      </c>
      <c r="AI702" s="0" t="n">
        <f aca="false">MATCH(MAX($K702:$O702),$K702:$O702,0)</f>
        <v>3</v>
      </c>
      <c r="AJ702" s="0" t="n">
        <f aca="false">IF(AI702&lt;&gt;$E702,1,0)</f>
        <v>1</v>
      </c>
      <c r="AK702" s="0" t="n">
        <f aca="false">IF(AJ702=1,INDEX($F702:$J702,AI702)/MAX($P702:$S702),"")</f>
        <v>0.485714285714286</v>
      </c>
      <c r="AL702" s="0" t="n">
        <f aca="false">IF(AJ702=1,1+COUNTIF($P702:$S702,"&gt;"&amp;INDEX($F702:$J702,AI702)),"")</f>
        <v>3</v>
      </c>
      <c r="AM702" s="0" t="n">
        <f aca="false">AVERAGE($P702:$S702)/MAX($P702:$S702)</f>
        <v>0.572321428571429</v>
      </c>
      <c r="AN702" s="0" t="n">
        <f aca="false">100-INDEX($F702:$J702,$E702)</f>
        <v>66.9</v>
      </c>
    </row>
    <row r="703" customFormat="false" ht="15" hidden="false" customHeight="false" outlineLevel="0" collapsed="false">
      <c r="A703" s="0" t="s">
        <v>61</v>
      </c>
      <c r="B703" s="0" t="n">
        <v>2013</v>
      </c>
      <c r="C703" s="0" t="s">
        <v>58</v>
      </c>
      <c r="D703" s="0" t="s">
        <v>53</v>
      </c>
      <c r="E703" s="0" t="n">
        <v>3</v>
      </c>
      <c r="F703" s="0" t="n">
        <v>19</v>
      </c>
      <c r="G703" s="0" t="n">
        <v>10</v>
      </c>
      <c r="H703" s="0" t="n">
        <v>42.8</v>
      </c>
      <c r="I703" s="0" t="n">
        <v>11.8</v>
      </c>
      <c r="J703" s="0" t="n">
        <v>13.5</v>
      </c>
      <c r="K703" s="0" t="n">
        <v>10.9188162607</v>
      </c>
      <c r="L703" s="0" t="n">
        <v>13.4454352487</v>
      </c>
      <c r="M703" s="0" t="n">
        <v>40.56446492</v>
      </c>
      <c r="N703" s="0" t="n">
        <v>10.5893677791</v>
      </c>
      <c r="O703" s="0" t="n">
        <v>24.4819157915</v>
      </c>
      <c r="P703" s="0" t="n">
        <f aca="false">INDEX($F703:$J703,IF(1&lt;$E703,1,1+1))</f>
        <v>19</v>
      </c>
      <c r="Q703" s="0" t="n">
        <f aca="false">INDEX($F703:$J703,IF(2&lt;$E703,2,2+1))</f>
        <v>10</v>
      </c>
      <c r="R703" s="0" t="n">
        <f aca="false">INDEX($F703:$J703,IF(3&lt;$E703,3,3+1))</f>
        <v>11.8</v>
      </c>
      <c r="S703" s="0" t="n">
        <f aca="false">INDEX($F703:$J703,IF(4&lt;$E703,4,4+1))</f>
        <v>13.5</v>
      </c>
      <c r="T703" s="0" t="n">
        <f aca="false">INDEX($K703:$O703,IF(1&lt;$E703,1,1+1))</f>
        <v>10.9188162607</v>
      </c>
      <c r="U703" s="0" t="n">
        <f aca="false">INDEX($K703:$O703,IF(2&lt;$E703,2,2+1))</f>
        <v>13.4454352487</v>
      </c>
      <c r="V703" s="0" t="n">
        <f aca="false">INDEX($K703:$O703,IF(3&lt;$E703,3,3+1))</f>
        <v>10.5893677791</v>
      </c>
      <c r="W703" s="0" t="n">
        <f aca="false">INDEX($K703:$O703,IF(4&lt;$E703,4,4+1))</f>
        <v>24.4819157915</v>
      </c>
      <c r="X703" s="0" t="n">
        <f aca="false">1+COUNTIF($P703:$S703,"&gt;"&amp;$P703)+(COUNTIF($P703:$S703,$P703)-1)/2</f>
        <v>1</v>
      </c>
      <c r="Y703" s="0" t="n">
        <f aca="false">1+COUNTIF($P703:$S703,"&gt;"&amp;$Q703)+(COUNTIF($P703:$S703,$Q703)-1)/2</f>
        <v>4</v>
      </c>
      <c r="Z703" s="0" t="n">
        <f aca="false">1+COUNTIF($P703:$S703,"&gt;"&amp;$R703)+(COUNTIF($P703:$S703,$R703)-1)/2</f>
        <v>3</v>
      </c>
      <c r="AA703" s="0" t="n">
        <f aca="false">1+COUNTIF($P703:$S703,"&gt;"&amp;$S703)+(COUNTIF($P703:$S703,$S703)-1)/2</f>
        <v>2</v>
      </c>
      <c r="AB703" s="0" t="n">
        <f aca="false">1+COUNTIF($T703:$W703,"&gt;"&amp;$T703)+(COUNTIF($T703:$W703,$T703)-1)/2</f>
        <v>3</v>
      </c>
      <c r="AC703" s="0" t="n">
        <f aca="false">1+COUNTIF($T703:$W703,"&gt;"&amp;$U703)+(COUNTIF($T703:$W703,$U703)-1)/2</f>
        <v>2</v>
      </c>
      <c r="AD703" s="0" t="n">
        <f aca="false">1+COUNTIF($T703:$W703,"&gt;"&amp;$V703)+(COUNTIF($T703:$W703,$V703)-1)/2</f>
        <v>4</v>
      </c>
      <c r="AE703" s="0" t="n">
        <f aca="false">1+COUNTIF($T703:$W703,"&gt;"&amp;$W703)+(COUNTIF($T703:$W703,$W703)-1)/2</f>
        <v>1</v>
      </c>
      <c r="AF703" s="0" t="n">
        <f aca="false">IFERROR(CORREL($P703:$S703,$T703:$W703),"")</f>
        <v>-0.124036662505488</v>
      </c>
      <c r="AG703" s="0" t="n">
        <f aca="false">IFERROR(CORREL($X703:$AA703,$AB703:$AE703),"")</f>
        <v>0</v>
      </c>
      <c r="AH703" s="0" t="n">
        <f aca="false">IFERROR((SIGN($P703-$Q703)*SIGN($T703-$U703)+SIGN($P703-$R703)*SIGN($T703-$V703)+SIGN($P703-$S703)*SIGN($T703-$W703)+SIGN($Q703-$R703)*SIGN($U703-$V703)+SIGN($Q703-$S703)*SIGN($U703-$W703)+SIGN($R703-$S703)*SIGN($V703-$W703))/SQRT((6-(($P703=$Q703)*1+($P703=$R703)*1+($P703=$S703)*1+($Q703=$R703)*1+($Q703=$S703)*1+($R703=$S703)*1))*(6-(($T703=$U703)*1+($T703=$V703)*1+($T703=$W703)*1+($U703=$V703)*1+($U703=$W703)*1+($V703=$W703)*1))),"")</f>
        <v>0</v>
      </c>
      <c r="AI703" s="0" t="n">
        <f aca="false">MATCH(MAX($K703:$O703),$K703:$O703,0)</f>
        <v>3</v>
      </c>
      <c r="AJ703" s="0" t="n">
        <f aca="false">IF(AI703&lt;&gt;$E703,1,0)</f>
        <v>0</v>
      </c>
      <c r="AK703" s="0" t="str">
        <f aca="false">IF(AJ703=1,INDEX($F703:$J703,AI703)/MAX($P703:$S703),"")</f>
        <v/>
      </c>
      <c r="AL703" s="0" t="str">
        <f aca="false">IF(AJ703=1,1+COUNTIF($P703:$S703,"&gt;"&amp;INDEX($F703:$J703,AI703)),"")</f>
        <v/>
      </c>
      <c r="AM703" s="0" t="n">
        <f aca="false">AVERAGE($P703:$S703)/MAX($P703:$S703)</f>
        <v>0.714473684210526</v>
      </c>
      <c r="AN703" s="0" t="n">
        <f aca="false">100-INDEX($F703:$J703,$E703)</f>
        <v>57.2</v>
      </c>
    </row>
    <row r="704" customFormat="false" ht="15" hidden="false" customHeight="false" outlineLevel="0" collapsed="false">
      <c r="A704" s="0" t="s">
        <v>61</v>
      </c>
      <c r="B704" s="0" t="n">
        <v>2013</v>
      </c>
      <c r="C704" s="0" t="s">
        <v>49</v>
      </c>
      <c r="D704" s="0" t="s">
        <v>42</v>
      </c>
      <c r="E704" s="0" t="n">
        <v>1</v>
      </c>
      <c r="F704" s="0" t="n">
        <v>32.2</v>
      </c>
      <c r="G704" s="0" t="n">
        <v>11</v>
      </c>
      <c r="H704" s="0" t="n">
        <v>10.7</v>
      </c>
      <c r="I704" s="0" t="n">
        <v>9.6</v>
      </c>
      <c r="J704" s="0" t="n">
        <v>32.9</v>
      </c>
      <c r="K704" s="0" t="n">
        <v>9.39406527493</v>
      </c>
      <c r="L704" s="0" t="n">
        <v>83.7228558208</v>
      </c>
      <c r="M704" s="0" t="n">
        <v>4.38279019442</v>
      </c>
      <c r="N704" s="0" t="n">
        <v>0.880899670161</v>
      </c>
      <c r="O704" s="0" t="n">
        <v>1.61938903967</v>
      </c>
      <c r="P704" s="0" t="n">
        <f aca="false">INDEX($F704:$J704,IF(1&lt;$E704,1,1+1))</f>
        <v>11</v>
      </c>
      <c r="Q704" s="0" t="n">
        <f aca="false">INDEX($F704:$J704,IF(2&lt;$E704,2,2+1))</f>
        <v>10.7</v>
      </c>
      <c r="R704" s="0" t="n">
        <f aca="false">INDEX($F704:$J704,IF(3&lt;$E704,3,3+1))</f>
        <v>9.6</v>
      </c>
      <c r="S704" s="0" t="n">
        <f aca="false">INDEX($F704:$J704,IF(4&lt;$E704,4,4+1))</f>
        <v>32.9</v>
      </c>
      <c r="T704" s="0" t="n">
        <f aca="false">INDEX($K704:$O704,IF(1&lt;$E704,1,1+1))</f>
        <v>83.7228558208</v>
      </c>
      <c r="U704" s="0" t="n">
        <f aca="false">INDEX($K704:$O704,IF(2&lt;$E704,2,2+1))</f>
        <v>4.38279019442</v>
      </c>
      <c r="V704" s="0" t="n">
        <f aca="false">INDEX($K704:$O704,IF(3&lt;$E704,3,3+1))</f>
        <v>0.880899670161</v>
      </c>
      <c r="W704" s="0" t="n">
        <f aca="false">INDEX($K704:$O704,IF(4&lt;$E704,4,4+1))</f>
        <v>1.61938903967</v>
      </c>
      <c r="X704" s="0" t="n">
        <f aca="false">1+COUNTIF($P704:$S704,"&gt;"&amp;$P704)+(COUNTIF($P704:$S704,$P704)-1)/2</f>
        <v>2</v>
      </c>
      <c r="Y704" s="0" t="n">
        <f aca="false">1+COUNTIF($P704:$S704,"&gt;"&amp;$Q704)+(COUNTIF($P704:$S704,$Q704)-1)/2</f>
        <v>3</v>
      </c>
      <c r="Z704" s="0" t="n">
        <f aca="false">1+COUNTIF($P704:$S704,"&gt;"&amp;$R704)+(COUNTIF($P704:$S704,$R704)-1)/2</f>
        <v>4</v>
      </c>
      <c r="AA704" s="0" t="n">
        <f aca="false">1+COUNTIF($P704:$S704,"&gt;"&amp;$S704)+(COUNTIF($P704:$S704,$S704)-1)/2</f>
        <v>1</v>
      </c>
      <c r="AB704" s="0" t="n">
        <f aca="false">1+COUNTIF($T704:$W704,"&gt;"&amp;$T704)+(COUNTIF($T704:$W704,$T704)-1)/2</f>
        <v>1</v>
      </c>
      <c r="AC704" s="0" t="n">
        <f aca="false">1+COUNTIF($T704:$W704,"&gt;"&amp;$U704)+(COUNTIF($T704:$W704,$U704)-1)/2</f>
        <v>2</v>
      </c>
      <c r="AD704" s="0" t="n">
        <f aca="false">1+COUNTIF($T704:$W704,"&gt;"&amp;$V704)+(COUNTIF($T704:$W704,$V704)-1)/2</f>
        <v>4</v>
      </c>
      <c r="AE704" s="0" t="n">
        <f aca="false">1+COUNTIF($T704:$W704,"&gt;"&amp;$W704)+(COUNTIF($T704:$W704,$W704)-1)/2</f>
        <v>3</v>
      </c>
      <c r="AF704" s="0" t="n">
        <f aca="false">IFERROR(CORREL($P704:$S704,$T704:$W704),"")</f>
        <v>-0.308836271458584</v>
      </c>
      <c r="AG704" s="0" t="n">
        <f aca="false">IFERROR(CORREL($X704:$AA704,$AB704:$AE704),"")</f>
        <v>0.4</v>
      </c>
      <c r="AH704" s="0" t="n">
        <f aca="false">IFERROR((SIGN($P704-$Q704)*SIGN($T704-$U704)+SIGN($P704-$R704)*SIGN($T704-$V704)+SIGN($P704-$S704)*SIGN($T704-$W704)+SIGN($Q704-$R704)*SIGN($U704-$V704)+SIGN($Q704-$S704)*SIGN($U704-$W704)+SIGN($R704-$S704)*SIGN($V704-$W704))/SQRT((6-(($P704=$Q704)*1+($P704=$R704)*1+($P704=$S704)*1+($Q704=$R704)*1+($Q704=$S704)*1+($R704=$S704)*1))*(6-(($T704=$U704)*1+($T704=$V704)*1+($T704=$W704)*1+($U704=$V704)*1+($U704=$W704)*1+($V704=$W704)*1))),"")</f>
        <v>0.333333333333333</v>
      </c>
      <c r="AI704" s="0" t="n">
        <f aca="false">MATCH(MAX($K704:$O704),$K704:$O704,0)</f>
        <v>2</v>
      </c>
      <c r="AJ704" s="0" t="n">
        <f aca="false">IF(AI704&lt;&gt;$E704,1,0)</f>
        <v>1</v>
      </c>
      <c r="AK704" s="0" t="n">
        <f aca="false">IF(AJ704=1,INDEX($F704:$J704,AI704)/MAX($P704:$S704),"")</f>
        <v>0.334346504559271</v>
      </c>
      <c r="AL704" s="0" t="n">
        <f aca="false">IF(AJ704=1,1+COUNTIF($P704:$S704,"&gt;"&amp;INDEX($F704:$J704,AI704)),"")</f>
        <v>2</v>
      </c>
      <c r="AM704" s="0" t="n">
        <f aca="false">AVERAGE($P704:$S704)/MAX($P704:$S704)</f>
        <v>0.487841945288754</v>
      </c>
      <c r="AN704" s="0" t="n">
        <f aca="false">100-INDEX($F704:$J704,$E704)</f>
        <v>67.8</v>
      </c>
    </row>
    <row r="705" customFormat="false" ht="15" hidden="false" customHeight="false" outlineLevel="0" collapsed="false">
      <c r="A705" s="0" t="s">
        <v>61</v>
      </c>
      <c r="B705" s="0" t="n">
        <v>2013</v>
      </c>
      <c r="C705" s="0" t="s">
        <v>49</v>
      </c>
      <c r="D705" s="0" t="s">
        <v>43</v>
      </c>
      <c r="E705" s="0" t="n">
        <v>3</v>
      </c>
      <c r="F705" s="0" t="n">
        <v>24.3</v>
      </c>
      <c r="G705" s="0" t="n">
        <v>13.9</v>
      </c>
      <c r="H705" s="0" t="n">
        <v>34.5</v>
      </c>
      <c r="I705" s="0" t="n">
        <v>16</v>
      </c>
      <c r="J705" s="0" t="n">
        <v>7.8</v>
      </c>
      <c r="K705" s="0" t="n">
        <v>49.0120564568</v>
      </c>
      <c r="L705" s="0" t="n">
        <v>31.9460305602</v>
      </c>
      <c r="M705" s="0" t="n">
        <v>14.7963022961</v>
      </c>
      <c r="N705" s="0" t="n">
        <v>3.91704248403</v>
      </c>
      <c r="O705" s="0" t="n">
        <v>0.328568202908</v>
      </c>
      <c r="P705" s="0" t="n">
        <f aca="false">INDEX($F705:$J705,IF(1&lt;$E705,1,1+1))</f>
        <v>24.3</v>
      </c>
      <c r="Q705" s="0" t="n">
        <f aca="false">INDEX($F705:$J705,IF(2&lt;$E705,2,2+1))</f>
        <v>13.9</v>
      </c>
      <c r="R705" s="0" t="n">
        <f aca="false">INDEX($F705:$J705,IF(3&lt;$E705,3,3+1))</f>
        <v>16</v>
      </c>
      <c r="S705" s="0" t="n">
        <f aca="false">INDEX($F705:$J705,IF(4&lt;$E705,4,4+1))</f>
        <v>7.8</v>
      </c>
      <c r="T705" s="0" t="n">
        <f aca="false">INDEX($K705:$O705,IF(1&lt;$E705,1,1+1))</f>
        <v>49.0120564568</v>
      </c>
      <c r="U705" s="0" t="n">
        <f aca="false">INDEX($K705:$O705,IF(2&lt;$E705,2,2+1))</f>
        <v>31.9460305602</v>
      </c>
      <c r="V705" s="0" t="n">
        <f aca="false">INDEX($K705:$O705,IF(3&lt;$E705,3,3+1))</f>
        <v>3.91704248403</v>
      </c>
      <c r="W705" s="0" t="n">
        <f aca="false">INDEX($K705:$O705,IF(4&lt;$E705,4,4+1))</f>
        <v>0.328568202908</v>
      </c>
      <c r="X705" s="0" t="n">
        <f aca="false">1+COUNTIF($P705:$S705,"&gt;"&amp;$P705)+(COUNTIF($P705:$S705,$P705)-1)/2</f>
        <v>1</v>
      </c>
      <c r="Y705" s="0" t="n">
        <f aca="false">1+COUNTIF($P705:$S705,"&gt;"&amp;$Q705)+(COUNTIF($P705:$S705,$Q705)-1)/2</f>
        <v>3</v>
      </c>
      <c r="Z705" s="0" t="n">
        <f aca="false">1+COUNTIF($P705:$S705,"&gt;"&amp;$R705)+(COUNTIF($P705:$S705,$R705)-1)/2</f>
        <v>2</v>
      </c>
      <c r="AA705" s="0" t="n">
        <f aca="false">1+COUNTIF($P705:$S705,"&gt;"&amp;$S705)+(COUNTIF($P705:$S705,$S705)-1)/2</f>
        <v>4</v>
      </c>
      <c r="AB705" s="0" t="n">
        <f aca="false">1+COUNTIF($T705:$W705,"&gt;"&amp;$T705)+(COUNTIF($T705:$W705,$T705)-1)/2</f>
        <v>1</v>
      </c>
      <c r="AC705" s="0" t="n">
        <f aca="false">1+COUNTIF($T705:$W705,"&gt;"&amp;$U705)+(COUNTIF($T705:$W705,$U705)-1)/2</f>
        <v>2</v>
      </c>
      <c r="AD705" s="0" t="n">
        <f aca="false">1+COUNTIF($T705:$W705,"&gt;"&amp;$V705)+(COUNTIF($T705:$W705,$V705)-1)/2</f>
        <v>3</v>
      </c>
      <c r="AE705" s="0" t="n">
        <f aca="false">1+COUNTIF($T705:$W705,"&gt;"&amp;$W705)+(COUNTIF($T705:$W705,$W705)-1)/2</f>
        <v>4</v>
      </c>
      <c r="AF705" s="0" t="n">
        <f aca="false">IFERROR(CORREL($P705:$S705,$T705:$W705),"")</f>
        <v>0.797638774093239</v>
      </c>
      <c r="AG705" s="0" t="n">
        <f aca="false">IFERROR(CORREL($X705:$AA705,$AB705:$AE705),"")</f>
        <v>0.8</v>
      </c>
      <c r="AH705" s="0" t="n">
        <f aca="false">IFERROR((SIGN($P705-$Q705)*SIGN($T705-$U705)+SIGN($P705-$R705)*SIGN($T705-$V705)+SIGN($P705-$S705)*SIGN($T705-$W705)+SIGN($Q705-$R705)*SIGN($U705-$V705)+SIGN($Q705-$S705)*SIGN($U705-$W705)+SIGN($R705-$S705)*SIGN($V705-$W705))/SQRT((6-(($P705=$Q705)*1+($P705=$R705)*1+($P705=$S705)*1+($Q705=$R705)*1+($Q705=$S705)*1+($R705=$S705)*1))*(6-(($T705=$U705)*1+($T705=$V705)*1+($T705=$W705)*1+($U705=$V705)*1+($U705=$W705)*1+($V705=$W705)*1))),"")</f>
        <v>0.666666666666667</v>
      </c>
      <c r="AI705" s="0" t="n">
        <f aca="false">MATCH(MAX($K705:$O705),$K705:$O705,0)</f>
        <v>1</v>
      </c>
      <c r="AJ705" s="0" t="n">
        <f aca="false">IF(AI705&lt;&gt;$E705,1,0)</f>
        <v>1</v>
      </c>
      <c r="AK705" s="0" t="n">
        <f aca="false">IF(AJ705=1,INDEX($F705:$J705,AI705)/MAX($P705:$S705),"")</f>
        <v>1</v>
      </c>
      <c r="AL705" s="0" t="n">
        <f aca="false">IF(AJ705=1,1+COUNTIF($P705:$S705,"&gt;"&amp;INDEX($F705:$J705,AI705)),"")</f>
        <v>1</v>
      </c>
      <c r="AM705" s="0" t="n">
        <f aca="false">AVERAGE($P705:$S705)/MAX($P705:$S705)</f>
        <v>0.637860082304527</v>
      </c>
      <c r="AN705" s="0" t="n">
        <f aca="false">100-INDEX($F705:$J705,$E705)</f>
        <v>65.5</v>
      </c>
    </row>
    <row r="706" customFormat="false" ht="15" hidden="false" customHeight="false" outlineLevel="0" collapsed="false">
      <c r="A706" s="0" t="s">
        <v>61</v>
      </c>
      <c r="B706" s="0" t="n">
        <v>2013</v>
      </c>
      <c r="C706" s="0" t="s">
        <v>49</v>
      </c>
      <c r="D706" s="0" t="s">
        <v>44</v>
      </c>
      <c r="E706" s="0" t="n">
        <v>4</v>
      </c>
      <c r="F706" s="0" t="n">
        <v>11.5</v>
      </c>
      <c r="G706" s="0" t="n">
        <v>9.3</v>
      </c>
      <c r="H706" s="0" t="n">
        <v>10.8</v>
      </c>
      <c r="I706" s="0" t="n">
        <v>46.4</v>
      </c>
      <c r="J706" s="0" t="n">
        <v>18.4</v>
      </c>
      <c r="K706" s="0" t="n">
        <v>28.7412385568</v>
      </c>
      <c r="L706" s="0" t="n">
        <v>7.30229690464</v>
      </c>
      <c r="M706" s="0" t="n">
        <v>0.677010600539</v>
      </c>
      <c r="N706" s="0" t="n">
        <v>50.7012822451</v>
      </c>
      <c r="O706" s="0" t="n">
        <v>12.5781716929</v>
      </c>
      <c r="P706" s="0" t="n">
        <f aca="false">INDEX($F706:$J706,IF(1&lt;$E706,1,1+1))</f>
        <v>11.5</v>
      </c>
      <c r="Q706" s="0" t="n">
        <f aca="false">INDEX($F706:$J706,IF(2&lt;$E706,2,2+1))</f>
        <v>9.3</v>
      </c>
      <c r="R706" s="0" t="n">
        <f aca="false">INDEX($F706:$J706,IF(3&lt;$E706,3,3+1))</f>
        <v>10.8</v>
      </c>
      <c r="S706" s="0" t="n">
        <f aca="false">INDEX($F706:$J706,IF(4&lt;$E706,4,4+1))</f>
        <v>18.4</v>
      </c>
      <c r="T706" s="0" t="n">
        <f aca="false">INDEX($K706:$O706,IF(1&lt;$E706,1,1+1))</f>
        <v>28.7412385568</v>
      </c>
      <c r="U706" s="0" t="n">
        <f aca="false">INDEX($K706:$O706,IF(2&lt;$E706,2,2+1))</f>
        <v>7.30229690464</v>
      </c>
      <c r="V706" s="0" t="n">
        <f aca="false">INDEX($K706:$O706,IF(3&lt;$E706,3,3+1))</f>
        <v>0.677010600539</v>
      </c>
      <c r="W706" s="0" t="n">
        <f aca="false">INDEX($K706:$O706,IF(4&lt;$E706,4,4+1))</f>
        <v>12.5781716929</v>
      </c>
      <c r="X706" s="0" t="n">
        <f aca="false">1+COUNTIF($P706:$S706,"&gt;"&amp;$P706)+(COUNTIF($P706:$S706,$P706)-1)/2</f>
        <v>2</v>
      </c>
      <c r="Y706" s="0" t="n">
        <f aca="false">1+COUNTIF($P706:$S706,"&gt;"&amp;$Q706)+(COUNTIF($P706:$S706,$Q706)-1)/2</f>
        <v>4</v>
      </c>
      <c r="Z706" s="0" t="n">
        <f aca="false">1+COUNTIF($P706:$S706,"&gt;"&amp;$R706)+(COUNTIF($P706:$S706,$R706)-1)/2</f>
        <v>3</v>
      </c>
      <c r="AA706" s="0" t="n">
        <f aca="false">1+COUNTIF($P706:$S706,"&gt;"&amp;$S706)+(COUNTIF($P706:$S706,$S706)-1)/2</f>
        <v>1</v>
      </c>
      <c r="AB706" s="0" t="n">
        <f aca="false">1+COUNTIF($T706:$W706,"&gt;"&amp;$T706)+(COUNTIF($T706:$W706,$T706)-1)/2</f>
        <v>1</v>
      </c>
      <c r="AC706" s="0" t="n">
        <f aca="false">1+COUNTIF($T706:$W706,"&gt;"&amp;$U706)+(COUNTIF($T706:$W706,$U706)-1)/2</f>
        <v>3</v>
      </c>
      <c r="AD706" s="0" t="n">
        <f aca="false">1+COUNTIF($T706:$W706,"&gt;"&amp;$V706)+(COUNTIF($T706:$W706,$V706)-1)/2</f>
        <v>4</v>
      </c>
      <c r="AE706" s="0" t="n">
        <f aca="false">1+COUNTIF($T706:$W706,"&gt;"&amp;$W706)+(COUNTIF($T706:$W706,$W706)-1)/2</f>
        <v>2</v>
      </c>
      <c r="AF706" s="0" t="n">
        <f aca="false">IFERROR(CORREL($P706:$S706,$T706:$W706),"")</f>
        <v>0.144351373389116</v>
      </c>
      <c r="AG706" s="0" t="n">
        <f aca="false">IFERROR(CORREL($X706:$AA706,$AB706:$AE706),"")</f>
        <v>0.6</v>
      </c>
      <c r="AH706" s="0" t="n">
        <f aca="false">IFERROR((SIGN($P706-$Q706)*SIGN($T706-$U706)+SIGN($P706-$R706)*SIGN($T706-$V706)+SIGN($P706-$S706)*SIGN($T706-$W706)+SIGN($Q706-$R706)*SIGN($U706-$V706)+SIGN($Q706-$S706)*SIGN($U706-$W706)+SIGN($R706-$S706)*SIGN($V706-$W706))/SQRT((6-(($P706=$Q706)*1+($P706=$R706)*1+($P706=$S706)*1+($Q706=$R706)*1+($Q706=$S706)*1+($R706=$S706)*1))*(6-(($T706=$U706)*1+($T706=$V706)*1+($T706=$W706)*1+($U706=$V706)*1+($U706=$W706)*1+($V706=$W706)*1))),"")</f>
        <v>0.333333333333333</v>
      </c>
      <c r="AI706" s="0" t="n">
        <f aca="false">MATCH(MAX($K706:$O706),$K706:$O706,0)</f>
        <v>4</v>
      </c>
      <c r="AJ706" s="0" t="n">
        <f aca="false">IF(AI706&lt;&gt;$E706,1,0)</f>
        <v>0</v>
      </c>
      <c r="AK706" s="0" t="str">
        <f aca="false">IF(AJ706=1,INDEX($F706:$J706,AI706)/MAX($P706:$S706),"")</f>
        <v/>
      </c>
      <c r="AL706" s="0" t="str">
        <f aca="false">IF(AJ706=1,1+COUNTIF($P706:$S706,"&gt;"&amp;INDEX($F706:$J706,AI706)),"")</f>
        <v/>
      </c>
      <c r="AM706" s="0" t="n">
        <f aca="false">AVERAGE($P706:$S706)/MAX($P706:$S706)</f>
        <v>0.679347826086957</v>
      </c>
      <c r="AN706" s="0" t="n">
        <f aca="false">100-INDEX($F706:$J706,$E706)</f>
        <v>53.6</v>
      </c>
    </row>
    <row r="707" customFormat="false" ht="15" hidden="false" customHeight="false" outlineLevel="0" collapsed="false">
      <c r="A707" s="0" t="s">
        <v>61</v>
      </c>
      <c r="B707" s="0" t="n">
        <v>2013</v>
      </c>
      <c r="C707" s="0" t="s">
        <v>49</v>
      </c>
      <c r="D707" s="0" t="s">
        <v>45</v>
      </c>
      <c r="E707" s="0" t="n">
        <v>2</v>
      </c>
      <c r="F707" s="0" t="n">
        <v>14.7</v>
      </c>
      <c r="G707" s="0" t="n">
        <v>55.1</v>
      </c>
      <c r="H707" s="0" t="n">
        <v>13.8</v>
      </c>
      <c r="I707" s="0" t="n">
        <v>7.4</v>
      </c>
      <c r="J707" s="0" t="n">
        <v>5.4</v>
      </c>
      <c r="K707" s="0" t="n">
        <v>5.29503449825</v>
      </c>
      <c r="L707" s="0" t="n">
        <v>14.817602002</v>
      </c>
      <c r="M707" s="0" t="n">
        <v>38.9523937379</v>
      </c>
      <c r="N707" s="0" t="n">
        <v>1.60273964049</v>
      </c>
      <c r="O707" s="0" t="n">
        <v>39.3322301214</v>
      </c>
      <c r="P707" s="0" t="n">
        <f aca="false">INDEX($F707:$J707,IF(1&lt;$E707,1,1+1))</f>
        <v>14.7</v>
      </c>
      <c r="Q707" s="0" t="n">
        <f aca="false">INDEX($F707:$J707,IF(2&lt;$E707,2,2+1))</f>
        <v>13.8</v>
      </c>
      <c r="R707" s="0" t="n">
        <f aca="false">INDEX($F707:$J707,IF(3&lt;$E707,3,3+1))</f>
        <v>7.4</v>
      </c>
      <c r="S707" s="0" t="n">
        <f aca="false">INDEX($F707:$J707,IF(4&lt;$E707,4,4+1))</f>
        <v>5.4</v>
      </c>
      <c r="T707" s="0" t="n">
        <f aca="false">INDEX($K707:$O707,IF(1&lt;$E707,1,1+1))</f>
        <v>5.29503449825</v>
      </c>
      <c r="U707" s="0" t="n">
        <f aca="false">INDEX($K707:$O707,IF(2&lt;$E707,2,2+1))</f>
        <v>38.9523937379</v>
      </c>
      <c r="V707" s="0" t="n">
        <f aca="false">INDEX($K707:$O707,IF(3&lt;$E707,3,3+1))</f>
        <v>1.60273964049</v>
      </c>
      <c r="W707" s="0" t="n">
        <f aca="false">INDEX($K707:$O707,IF(4&lt;$E707,4,4+1))</f>
        <v>39.3322301214</v>
      </c>
      <c r="X707" s="0" t="n">
        <f aca="false">1+COUNTIF($P707:$S707,"&gt;"&amp;$P707)+(COUNTIF($P707:$S707,$P707)-1)/2</f>
        <v>1</v>
      </c>
      <c r="Y707" s="0" t="n">
        <f aca="false">1+COUNTIF($P707:$S707,"&gt;"&amp;$Q707)+(COUNTIF($P707:$S707,$Q707)-1)/2</f>
        <v>2</v>
      </c>
      <c r="Z707" s="0" t="n">
        <f aca="false">1+COUNTIF($P707:$S707,"&gt;"&amp;$R707)+(COUNTIF($P707:$S707,$R707)-1)/2</f>
        <v>3</v>
      </c>
      <c r="AA707" s="0" t="n">
        <f aca="false">1+COUNTIF($P707:$S707,"&gt;"&amp;$S707)+(COUNTIF($P707:$S707,$S707)-1)/2</f>
        <v>4</v>
      </c>
      <c r="AB707" s="0" t="n">
        <f aca="false">1+COUNTIF($T707:$W707,"&gt;"&amp;$T707)+(COUNTIF($T707:$W707,$T707)-1)/2</f>
        <v>3</v>
      </c>
      <c r="AC707" s="0" t="n">
        <f aca="false">1+COUNTIF($T707:$W707,"&gt;"&amp;$U707)+(COUNTIF($T707:$W707,$U707)-1)/2</f>
        <v>2</v>
      </c>
      <c r="AD707" s="0" t="n">
        <f aca="false">1+COUNTIF($T707:$W707,"&gt;"&amp;$V707)+(COUNTIF($T707:$W707,$V707)-1)/2</f>
        <v>4</v>
      </c>
      <c r="AE707" s="0" t="n">
        <f aca="false">1+COUNTIF($T707:$W707,"&gt;"&amp;$W707)+(COUNTIF($T707:$W707,$W707)-1)/2</f>
        <v>1</v>
      </c>
      <c r="AF707" s="0" t="n">
        <f aca="false">IFERROR(CORREL($P707:$S707,$T707:$W707),"")</f>
        <v>-0.13923431831406</v>
      </c>
      <c r="AG707" s="0" t="n">
        <f aca="false">IFERROR(CORREL($X707:$AA707,$AB707:$AE707),"")</f>
        <v>-0.4</v>
      </c>
      <c r="AH707" s="0" t="n">
        <f aca="false">IFERROR((SIGN($P707-$Q707)*SIGN($T707-$U707)+SIGN($P707-$R707)*SIGN($T707-$V707)+SIGN($P707-$S707)*SIGN($T707-$W707)+SIGN($Q707-$R707)*SIGN($U707-$V707)+SIGN($Q707-$S707)*SIGN($U707-$W707)+SIGN($R707-$S707)*SIGN($V707-$W707))/SQRT((6-(($P707=$Q707)*1+($P707=$R707)*1+($P707=$S707)*1+($Q707=$R707)*1+($Q707=$S707)*1+($R707=$S707)*1))*(6-(($T707=$U707)*1+($T707=$V707)*1+($T707=$W707)*1+($U707=$V707)*1+($U707=$W707)*1+($V707=$W707)*1))),"")</f>
        <v>-0.333333333333333</v>
      </c>
      <c r="AI707" s="0" t="n">
        <f aca="false">MATCH(MAX($K707:$O707),$K707:$O707,0)</f>
        <v>5</v>
      </c>
      <c r="AJ707" s="0" t="n">
        <f aca="false">IF(AI707&lt;&gt;$E707,1,0)</f>
        <v>1</v>
      </c>
      <c r="AK707" s="0" t="n">
        <f aca="false">IF(AJ707=1,INDEX($F707:$J707,AI707)/MAX($P707:$S707),"")</f>
        <v>0.36734693877551</v>
      </c>
      <c r="AL707" s="0" t="n">
        <f aca="false">IF(AJ707=1,1+COUNTIF($P707:$S707,"&gt;"&amp;INDEX($F707:$J707,AI707)),"")</f>
        <v>4</v>
      </c>
      <c r="AM707" s="0" t="n">
        <f aca="false">AVERAGE($P707:$S707)/MAX($P707:$S707)</f>
        <v>0.702380952380952</v>
      </c>
      <c r="AN707" s="0" t="n">
        <f aca="false">100-INDEX($F707:$J707,$E707)</f>
        <v>44.9</v>
      </c>
    </row>
    <row r="708" customFormat="false" ht="15" hidden="false" customHeight="false" outlineLevel="0" collapsed="false">
      <c r="A708" s="0" t="s">
        <v>61</v>
      </c>
      <c r="B708" s="0" t="n">
        <v>2013</v>
      </c>
      <c r="C708" s="0" t="s">
        <v>49</v>
      </c>
      <c r="D708" s="0" t="s">
        <v>55</v>
      </c>
      <c r="E708" s="0" t="n">
        <v>4</v>
      </c>
      <c r="F708" s="0" t="n">
        <v>20.6</v>
      </c>
      <c r="G708" s="0" t="n">
        <v>17.2</v>
      </c>
      <c r="H708" s="0" t="n">
        <v>7.7</v>
      </c>
      <c r="I708" s="0" t="n">
        <v>46.9</v>
      </c>
      <c r="J708" s="0" t="n">
        <v>4.1</v>
      </c>
      <c r="K708" s="0" t="n">
        <v>40.3381407437</v>
      </c>
      <c r="L708" s="0" t="n">
        <v>28.1755659433</v>
      </c>
      <c r="M708" s="0" t="n">
        <v>2.38795009087</v>
      </c>
      <c r="N708" s="0" t="n">
        <v>15.1020519919</v>
      </c>
      <c r="O708" s="0" t="n">
        <v>13.9962912301</v>
      </c>
      <c r="P708" s="0" t="n">
        <f aca="false">INDEX($F708:$J708,IF(1&lt;$E708,1,1+1))</f>
        <v>20.6</v>
      </c>
      <c r="Q708" s="0" t="n">
        <f aca="false">INDEX($F708:$J708,IF(2&lt;$E708,2,2+1))</f>
        <v>17.2</v>
      </c>
      <c r="R708" s="0" t="n">
        <f aca="false">INDEX($F708:$J708,IF(3&lt;$E708,3,3+1))</f>
        <v>7.7</v>
      </c>
      <c r="S708" s="0" t="n">
        <f aca="false">INDEX($F708:$J708,IF(4&lt;$E708,4,4+1))</f>
        <v>4.1</v>
      </c>
      <c r="T708" s="0" t="n">
        <f aca="false">INDEX($K708:$O708,IF(1&lt;$E708,1,1+1))</f>
        <v>40.3381407437</v>
      </c>
      <c r="U708" s="0" t="n">
        <f aca="false">INDEX($K708:$O708,IF(2&lt;$E708,2,2+1))</f>
        <v>28.1755659433</v>
      </c>
      <c r="V708" s="0" t="n">
        <f aca="false">INDEX($K708:$O708,IF(3&lt;$E708,3,3+1))</f>
        <v>2.38795009087</v>
      </c>
      <c r="W708" s="0" t="n">
        <f aca="false">INDEX($K708:$O708,IF(4&lt;$E708,4,4+1))</f>
        <v>13.9962912301</v>
      </c>
      <c r="X708" s="0" t="n">
        <f aca="false">1+COUNTIF($P708:$S708,"&gt;"&amp;$P708)+(COUNTIF($P708:$S708,$P708)-1)/2</f>
        <v>1</v>
      </c>
      <c r="Y708" s="0" t="n">
        <f aca="false">1+COUNTIF($P708:$S708,"&gt;"&amp;$Q708)+(COUNTIF($P708:$S708,$Q708)-1)/2</f>
        <v>2</v>
      </c>
      <c r="Z708" s="0" t="n">
        <f aca="false">1+COUNTIF($P708:$S708,"&gt;"&amp;$R708)+(COUNTIF($P708:$S708,$R708)-1)/2</f>
        <v>3</v>
      </c>
      <c r="AA708" s="0" t="n">
        <f aca="false">1+COUNTIF($P708:$S708,"&gt;"&amp;$S708)+(COUNTIF($P708:$S708,$S708)-1)/2</f>
        <v>4</v>
      </c>
      <c r="AB708" s="0" t="n">
        <f aca="false">1+COUNTIF($T708:$W708,"&gt;"&amp;$T708)+(COUNTIF($T708:$W708,$T708)-1)/2</f>
        <v>1</v>
      </c>
      <c r="AC708" s="0" t="n">
        <f aca="false">1+COUNTIF($T708:$W708,"&gt;"&amp;$U708)+(COUNTIF($T708:$W708,$U708)-1)/2</f>
        <v>2</v>
      </c>
      <c r="AD708" s="0" t="n">
        <f aca="false">1+COUNTIF($T708:$W708,"&gt;"&amp;$V708)+(COUNTIF($T708:$W708,$V708)-1)/2</f>
        <v>4</v>
      </c>
      <c r="AE708" s="0" t="n">
        <f aca="false">1+COUNTIF($T708:$W708,"&gt;"&amp;$W708)+(COUNTIF($T708:$W708,$W708)-1)/2</f>
        <v>3</v>
      </c>
      <c r="AF708" s="0" t="n">
        <f aca="false">IFERROR(CORREL($P708:$S708,$T708:$W708),"")</f>
        <v>0.87795072705484</v>
      </c>
      <c r="AG708" s="0" t="n">
        <f aca="false">IFERROR(CORREL($X708:$AA708,$AB708:$AE708),"")</f>
        <v>0.8</v>
      </c>
      <c r="AH708" s="0" t="n">
        <f aca="false">IFERROR((SIGN($P708-$Q708)*SIGN($T708-$U708)+SIGN($P708-$R708)*SIGN($T708-$V708)+SIGN($P708-$S708)*SIGN($T708-$W708)+SIGN($Q708-$R708)*SIGN($U708-$V708)+SIGN($Q708-$S708)*SIGN($U708-$W708)+SIGN($R708-$S708)*SIGN($V708-$W708))/SQRT((6-(($P708=$Q708)*1+($P708=$R708)*1+($P708=$S708)*1+($Q708=$R708)*1+($Q708=$S708)*1+($R708=$S708)*1))*(6-(($T708=$U708)*1+($T708=$V708)*1+($T708=$W708)*1+($U708=$V708)*1+($U708=$W708)*1+($V708=$W708)*1))),"")</f>
        <v>0.666666666666667</v>
      </c>
      <c r="AI708" s="0" t="n">
        <f aca="false">MATCH(MAX($K708:$O708),$K708:$O708,0)</f>
        <v>1</v>
      </c>
      <c r="AJ708" s="0" t="n">
        <f aca="false">IF(AI708&lt;&gt;$E708,1,0)</f>
        <v>1</v>
      </c>
      <c r="AK708" s="0" t="n">
        <f aca="false">IF(AJ708=1,INDEX($F708:$J708,AI708)/MAX($P708:$S708),"")</f>
        <v>1</v>
      </c>
      <c r="AL708" s="0" t="n">
        <f aca="false">IF(AJ708=1,1+COUNTIF($P708:$S708,"&gt;"&amp;INDEX($F708:$J708,AI708)),"")</f>
        <v>1</v>
      </c>
      <c r="AM708" s="0" t="n">
        <f aca="false">AVERAGE($P708:$S708)/MAX($P708:$S708)</f>
        <v>0.601941747572816</v>
      </c>
      <c r="AN708" s="0" t="n">
        <f aca="false">100-INDEX($F708:$J708,$E708)</f>
        <v>53.1</v>
      </c>
    </row>
    <row r="709" customFormat="false" ht="15" hidden="false" customHeight="false" outlineLevel="0" collapsed="false">
      <c r="A709" s="0" t="s">
        <v>61</v>
      </c>
      <c r="B709" s="0" t="n">
        <v>2013</v>
      </c>
      <c r="C709" s="0" t="s">
        <v>51</v>
      </c>
      <c r="D709" s="0" t="s">
        <v>45</v>
      </c>
      <c r="E709" s="0" t="n">
        <v>1</v>
      </c>
      <c r="F709" s="0" t="n">
        <v>40.1</v>
      </c>
      <c r="G709" s="0" t="n">
        <v>12.6</v>
      </c>
      <c r="H709" s="0" t="n">
        <v>13.1</v>
      </c>
      <c r="I709" s="0" t="n">
        <v>15.6</v>
      </c>
      <c r="J709" s="0" t="n">
        <v>16.5</v>
      </c>
      <c r="K709" s="0" t="n">
        <v>22.8209805268</v>
      </c>
      <c r="L709" s="0" t="n">
        <v>7.13191186616</v>
      </c>
      <c r="M709" s="0" t="n">
        <v>22.3932011646</v>
      </c>
      <c r="N709" s="0" t="n">
        <v>3.70093263249</v>
      </c>
      <c r="O709" s="0" t="n">
        <v>43.9529738099</v>
      </c>
      <c r="P709" s="0" t="n">
        <f aca="false">INDEX($F709:$J709,IF(1&lt;$E709,1,1+1))</f>
        <v>12.6</v>
      </c>
      <c r="Q709" s="0" t="n">
        <f aca="false">INDEX($F709:$J709,IF(2&lt;$E709,2,2+1))</f>
        <v>13.1</v>
      </c>
      <c r="R709" s="0" t="n">
        <f aca="false">INDEX($F709:$J709,IF(3&lt;$E709,3,3+1))</f>
        <v>15.6</v>
      </c>
      <c r="S709" s="0" t="n">
        <f aca="false">INDEX($F709:$J709,IF(4&lt;$E709,4,4+1))</f>
        <v>16.5</v>
      </c>
      <c r="T709" s="0" t="n">
        <f aca="false">INDEX($K709:$O709,IF(1&lt;$E709,1,1+1))</f>
        <v>7.13191186616</v>
      </c>
      <c r="U709" s="0" t="n">
        <f aca="false">INDEX($K709:$O709,IF(2&lt;$E709,2,2+1))</f>
        <v>22.3932011646</v>
      </c>
      <c r="V709" s="0" t="n">
        <f aca="false">INDEX($K709:$O709,IF(3&lt;$E709,3,3+1))</f>
        <v>3.70093263249</v>
      </c>
      <c r="W709" s="0" t="n">
        <f aca="false">INDEX($K709:$O709,IF(4&lt;$E709,4,4+1))</f>
        <v>43.9529738099</v>
      </c>
      <c r="X709" s="0" t="n">
        <f aca="false">1+COUNTIF($P709:$S709,"&gt;"&amp;$P709)+(COUNTIF($P709:$S709,$P709)-1)/2</f>
        <v>4</v>
      </c>
      <c r="Y709" s="0" t="n">
        <f aca="false">1+COUNTIF($P709:$S709,"&gt;"&amp;$Q709)+(COUNTIF($P709:$S709,$Q709)-1)/2</f>
        <v>3</v>
      </c>
      <c r="Z709" s="0" t="n">
        <f aca="false">1+COUNTIF($P709:$S709,"&gt;"&amp;$R709)+(COUNTIF($P709:$S709,$R709)-1)/2</f>
        <v>2</v>
      </c>
      <c r="AA709" s="0" t="n">
        <f aca="false">1+COUNTIF($P709:$S709,"&gt;"&amp;$S709)+(COUNTIF($P709:$S709,$S709)-1)/2</f>
        <v>1</v>
      </c>
      <c r="AB709" s="0" t="n">
        <f aca="false">1+COUNTIF($T709:$W709,"&gt;"&amp;$T709)+(COUNTIF($T709:$W709,$T709)-1)/2</f>
        <v>3</v>
      </c>
      <c r="AC709" s="0" t="n">
        <f aca="false">1+COUNTIF($T709:$W709,"&gt;"&amp;$U709)+(COUNTIF($T709:$W709,$U709)-1)/2</f>
        <v>2</v>
      </c>
      <c r="AD709" s="0" t="n">
        <f aca="false">1+COUNTIF($T709:$W709,"&gt;"&amp;$V709)+(COUNTIF($T709:$W709,$V709)-1)/2</f>
        <v>4</v>
      </c>
      <c r="AE709" s="0" t="n">
        <f aca="false">1+COUNTIF($T709:$W709,"&gt;"&amp;$W709)+(COUNTIF($T709:$W709,$W709)-1)/2</f>
        <v>1</v>
      </c>
      <c r="AF709" s="0" t="n">
        <f aca="false">IFERROR(CORREL($P709:$S709,$T709:$W709),"")</f>
        <v>0.488674115737563</v>
      </c>
      <c r="AG709" s="0" t="n">
        <f aca="false">IFERROR(CORREL($X709:$AA709,$AB709:$AE709),"")</f>
        <v>0.4</v>
      </c>
      <c r="AH709" s="0" t="n">
        <f aca="false">IFERROR((SIGN($P709-$Q709)*SIGN($T709-$U709)+SIGN($P709-$R709)*SIGN($T709-$V709)+SIGN($P709-$S709)*SIGN($T709-$W709)+SIGN($Q709-$R709)*SIGN($U709-$V709)+SIGN($Q709-$S709)*SIGN($U709-$W709)+SIGN($R709-$S709)*SIGN($V709-$W709))/SQRT((6-(($P709=$Q709)*1+($P709=$R709)*1+($P709=$S709)*1+($Q709=$R709)*1+($Q709=$S709)*1+($R709=$S709)*1))*(6-(($T709=$U709)*1+($T709=$V709)*1+($T709=$W709)*1+($U709=$V709)*1+($U709=$W709)*1+($V709=$W709)*1))),"")</f>
        <v>0.333333333333333</v>
      </c>
      <c r="AI709" s="0" t="n">
        <f aca="false">MATCH(MAX($K709:$O709),$K709:$O709,0)</f>
        <v>5</v>
      </c>
      <c r="AJ709" s="0" t="n">
        <f aca="false">IF(AI709&lt;&gt;$E709,1,0)</f>
        <v>1</v>
      </c>
      <c r="AK709" s="0" t="n">
        <f aca="false">IF(AJ709=1,INDEX($F709:$J709,AI709)/MAX($P709:$S709),"")</f>
        <v>1</v>
      </c>
      <c r="AL709" s="0" t="n">
        <f aca="false">IF(AJ709=1,1+COUNTIF($P709:$S709,"&gt;"&amp;INDEX($F709:$J709,AI709)),"")</f>
        <v>1</v>
      </c>
      <c r="AM709" s="0" t="n">
        <f aca="false">AVERAGE($P709:$S709)/MAX($P709:$S709)</f>
        <v>0.875757575757576</v>
      </c>
      <c r="AN709" s="0" t="n">
        <f aca="false">100-INDEX($F709:$J709,$E709)</f>
        <v>59.9</v>
      </c>
    </row>
    <row r="710" customFormat="false" ht="15" hidden="false" customHeight="false" outlineLevel="0" collapsed="false">
      <c r="A710" s="0" t="s">
        <v>61</v>
      </c>
      <c r="B710" s="0" t="n">
        <v>2013</v>
      </c>
      <c r="C710" s="0" t="s">
        <v>51</v>
      </c>
      <c r="D710" s="0" t="s">
        <v>53</v>
      </c>
      <c r="E710" s="0" t="n">
        <v>1</v>
      </c>
      <c r="F710" s="0" t="n">
        <v>63.6</v>
      </c>
      <c r="G710" s="0" t="n">
        <v>10.5</v>
      </c>
      <c r="H710" s="0" t="n">
        <v>6.3</v>
      </c>
      <c r="I710" s="0" t="n">
        <v>12.9</v>
      </c>
      <c r="J710" s="0" t="n">
        <v>4.4</v>
      </c>
      <c r="K710" s="0" t="n">
        <v>5.86181812603</v>
      </c>
      <c r="L710" s="0" t="n">
        <v>38.6674630061</v>
      </c>
      <c r="M710" s="0" t="n">
        <v>18.1619626172</v>
      </c>
      <c r="N710" s="0" t="n">
        <v>31.8417606811</v>
      </c>
      <c r="O710" s="0" t="n">
        <v>5.46699556958</v>
      </c>
      <c r="P710" s="0" t="n">
        <f aca="false">INDEX($F710:$J710,IF(1&lt;$E710,1,1+1))</f>
        <v>10.5</v>
      </c>
      <c r="Q710" s="0" t="n">
        <f aca="false">INDEX($F710:$J710,IF(2&lt;$E710,2,2+1))</f>
        <v>6.3</v>
      </c>
      <c r="R710" s="0" t="n">
        <f aca="false">INDEX($F710:$J710,IF(3&lt;$E710,3,3+1))</f>
        <v>12.9</v>
      </c>
      <c r="S710" s="0" t="n">
        <f aca="false">INDEX($F710:$J710,IF(4&lt;$E710,4,4+1))</f>
        <v>4.4</v>
      </c>
      <c r="T710" s="0" t="n">
        <f aca="false">INDEX($K710:$O710,IF(1&lt;$E710,1,1+1))</f>
        <v>38.6674630061</v>
      </c>
      <c r="U710" s="0" t="n">
        <f aca="false">INDEX($K710:$O710,IF(2&lt;$E710,2,2+1))</f>
        <v>18.1619626172</v>
      </c>
      <c r="V710" s="0" t="n">
        <f aca="false">INDEX($K710:$O710,IF(3&lt;$E710,3,3+1))</f>
        <v>31.8417606811</v>
      </c>
      <c r="W710" s="0" t="n">
        <f aca="false">INDEX($K710:$O710,IF(4&lt;$E710,4,4+1))</f>
        <v>5.46699556958</v>
      </c>
      <c r="X710" s="0" t="n">
        <f aca="false">1+COUNTIF($P710:$S710,"&gt;"&amp;$P710)+(COUNTIF($P710:$S710,$P710)-1)/2</f>
        <v>2</v>
      </c>
      <c r="Y710" s="0" t="n">
        <f aca="false">1+COUNTIF($P710:$S710,"&gt;"&amp;$Q710)+(COUNTIF($P710:$S710,$Q710)-1)/2</f>
        <v>3</v>
      </c>
      <c r="Z710" s="0" t="n">
        <f aca="false">1+COUNTIF($P710:$S710,"&gt;"&amp;$R710)+(COUNTIF($P710:$S710,$R710)-1)/2</f>
        <v>1</v>
      </c>
      <c r="AA710" s="0" t="n">
        <f aca="false">1+COUNTIF($P710:$S710,"&gt;"&amp;$S710)+(COUNTIF($P710:$S710,$S710)-1)/2</f>
        <v>4</v>
      </c>
      <c r="AB710" s="0" t="n">
        <f aca="false">1+COUNTIF($T710:$W710,"&gt;"&amp;$T710)+(COUNTIF($T710:$W710,$T710)-1)/2</f>
        <v>1</v>
      </c>
      <c r="AC710" s="0" t="n">
        <f aca="false">1+COUNTIF($T710:$W710,"&gt;"&amp;$U710)+(COUNTIF($T710:$W710,$U710)-1)/2</f>
        <v>3</v>
      </c>
      <c r="AD710" s="0" t="n">
        <f aca="false">1+COUNTIF($T710:$W710,"&gt;"&amp;$V710)+(COUNTIF($T710:$W710,$V710)-1)/2</f>
        <v>2</v>
      </c>
      <c r="AE710" s="0" t="n">
        <f aca="false">1+COUNTIF($T710:$W710,"&gt;"&amp;$W710)+(COUNTIF($T710:$W710,$W710)-1)/2</f>
        <v>4</v>
      </c>
      <c r="AF710" s="0" t="n">
        <f aca="false">IFERROR(CORREL($P710:$S710,$T710:$W710),"")</f>
        <v>0.890584997695573</v>
      </c>
      <c r="AG710" s="0" t="n">
        <f aca="false">IFERROR(CORREL($X710:$AA710,$AB710:$AE710),"")</f>
        <v>0.8</v>
      </c>
      <c r="AH710" s="0" t="n">
        <f aca="false">IFERROR((SIGN($P710-$Q710)*SIGN($T710-$U710)+SIGN($P710-$R710)*SIGN($T710-$V710)+SIGN($P710-$S710)*SIGN($T710-$W710)+SIGN($Q710-$R710)*SIGN($U710-$V710)+SIGN($Q710-$S710)*SIGN($U710-$W710)+SIGN($R710-$S710)*SIGN($V710-$W710))/SQRT((6-(($P710=$Q710)*1+($P710=$R710)*1+($P710=$S710)*1+($Q710=$R710)*1+($Q710=$S710)*1+($R710=$S710)*1))*(6-(($T710=$U710)*1+($T710=$V710)*1+($T710=$W710)*1+($U710=$V710)*1+($U710=$W710)*1+($V710=$W710)*1))),"")</f>
        <v>0.666666666666667</v>
      </c>
      <c r="AI710" s="0" t="n">
        <f aca="false">MATCH(MAX($K710:$O710),$K710:$O710,0)</f>
        <v>2</v>
      </c>
      <c r="AJ710" s="0" t="n">
        <f aca="false">IF(AI710&lt;&gt;$E710,1,0)</f>
        <v>1</v>
      </c>
      <c r="AK710" s="0" t="n">
        <f aca="false">IF(AJ710=1,INDEX($F710:$J710,AI710)/MAX($P710:$S710),"")</f>
        <v>0.813953488372093</v>
      </c>
      <c r="AL710" s="0" t="n">
        <f aca="false">IF(AJ710=1,1+COUNTIF($P710:$S710,"&gt;"&amp;INDEX($F710:$J710,AI710)),"")</f>
        <v>2</v>
      </c>
      <c r="AM710" s="0" t="n">
        <f aca="false">AVERAGE($P710:$S710)/MAX($P710:$S710)</f>
        <v>0.660852713178295</v>
      </c>
      <c r="AN710" s="0" t="n">
        <f aca="false">100-INDEX($F710:$J710,$E710)</f>
        <v>36.4</v>
      </c>
    </row>
    <row r="711" customFormat="false" ht="15" hidden="false" customHeight="false" outlineLevel="0" collapsed="false">
      <c r="A711" s="0" t="s">
        <v>61</v>
      </c>
      <c r="B711" s="0" t="n">
        <v>2013</v>
      </c>
      <c r="C711" s="0" t="s">
        <v>51</v>
      </c>
      <c r="D711" s="0" t="s">
        <v>55</v>
      </c>
      <c r="E711" s="0" t="n">
        <v>5</v>
      </c>
      <c r="F711" s="0" t="n">
        <v>13.4</v>
      </c>
      <c r="G711" s="0" t="n">
        <v>8.5</v>
      </c>
      <c r="H711" s="0" t="n">
        <v>7</v>
      </c>
      <c r="I711" s="0" t="n">
        <v>4.8</v>
      </c>
      <c r="J711" s="0" t="n">
        <v>64.1</v>
      </c>
      <c r="K711" s="0" t="n">
        <v>6.93104726898</v>
      </c>
      <c r="L711" s="0" t="n">
        <v>2.99005776779</v>
      </c>
      <c r="M711" s="0" t="n">
        <v>21.2880715232</v>
      </c>
      <c r="N711" s="0" t="n">
        <v>35.4440942307</v>
      </c>
      <c r="O711" s="0" t="n">
        <v>33.3467292094</v>
      </c>
      <c r="P711" s="0" t="n">
        <f aca="false">INDEX($F711:$J711,IF(1&lt;$E711,1,1+1))</f>
        <v>13.4</v>
      </c>
      <c r="Q711" s="0" t="n">
        <f aca="false">INDEX($F711:$J711,IF(2&lt;$E711,2,2+1))</f>
        <v>8.5</v>
      </c>
      <c r="R711" s="0" t="n">
        <f aca="false">INDEX($F711:$J711,IF(3&lt;$E711,3,3+1))</f>
        <v>7</v>
      </c>
      <c r="S711" s="0" t="n">
        <f aca="false">INDEX($F711:$J711,IF(4&lt;$E711,4,4+1))</f>
        <v>4.8</v>
      </c>
      <c r="T711" s="0" t="n">
        <f aca="false">INDEX($K711:$O711,IF(1&lt;$E711,1,1+1))</f>
        <v>6.93104726898</v>
      </c>
      <c r="U711" s="0" t="n">
        <f aca="false">INDEX($K711:$O711,IF(2&lt;$E711,2,2+1))</f>
        <v>2.99005776779</v>
      </c>
      <c r="V711" s="0" t="n">
        <f aca="false">INDEX($K711:$O711,IF(3&lt;$E711,3,3+1))</f>
        <v>21.2880715232</v>
      </c>
      <c r="W711" s="0" t="n">
        <f aca="false">INDEX($K711:$O711,IF(4&lt;$E711,4,4+1))</f>
        <v>35.4440942307</v>
      </c>
      <c r="X711" s="0" t="n">
        <f aca="false">1+COUNTIF($P711:$S711,"&gt;"&amp;$P711)+(COUNTIF($P711:$S711,$P711)-1)/2</f>
        <v>1</v>
      </c>
      <c r="Y711" s="0" t="n">
        <f aca="false">1+COUNTIF($P711:$S711,"&gt;"&amp;$Q711)+(COUNTIF($P711:$S711,$Q711)-1)/2</f>
        <v>2</v>
      </c>
      <c r="Z711" s="0" t="n">
        <f aca="false">1+COUNTIF($P711:$S711,"&gt;"&amp;$R711)+(COUNTIF($P711:$S711,$R711)-1)/2</f>
        <v>3</v>
      </c>
      <c r="AA711" s="0" t="n">
        <f aca="false">1+COUNTIF($P711:$S711,"&gt;"&amp;$S711)+(COUNTIF($P711:$S711,$S711)-1)/2</f>
        <v>4</v>
      </c>
      <c r="AB711" s="0" t="n">
        <f aca="false">1+COUNTIF($T711:$W711,"&gt;"&amp;$T711)+(COUNTIF($T711:$W711,$T711)-1)/2</f>
        <v>3</v>
      </c>
      <c r="AC711" s="0" t="n">
        <f aca="false">1+COUNTIF($T711:$W711,"&gt;"&amp;$U711)+(COUNTIF($T711:$W711,$U711)-1)/2</f>
        <v>4</v>
      </c>
      <c r="AD711" s="0" t="n">
        <f aca="false">1+COUNTIF($T711:$W711,"&gt;"&amp;$V711)+(COUNTIF($T711:$W711,$V711)-1)/2</f>
        <v>2</v>
      </c>
      <c r="AE711" s="0" t="n">
        <f aca="false">1+COUNTIF($T711:$W711,"&gt;"&amp;$W711)+(COUNTIF($T711:$W711,$W711)-1)/2</f>
        <v>1</v>
      </c>
      <c r="AF711" s="0" t="n">
        <f aca="false">IFERROR(CORREL($P711:$S711,$T711:$W711),"")</f>
        <v>-0.767018319300822</v>
      </c>
      <c r="AG711" s="0" t="n">
        <f aca="false">IFERROR(CORREL($X711:$AA711,$AB711:$AE711),"")</f>
        <v>-0.8</v>
      </c>
      <c r="AH711" s="0" t="n">
        <f aca="false">IFERROR((SIGN($P711-$Q711)*SIGN($T711-$U711)+SIGN($P711-$R711)*SIGN($T711-$V711)+SIGN($P711-$S711)*SIGN($T711-$W711)+SIGN($Q711-$R711)*SIGN($U711-$V711)+SIGN($Q711-$S711)*SIGN($U711-$W711)+SIGN($R711-$S711)*SIGN($V711-$W711))/SQRT((6-(($P711=$Q711)*1+($P711=$R711)*1+($P711=$S711)*1+($Q711=$R711)*1+($Q711=$S711)*1+($R711=$S711)*1))*(6-(($T711=$U711)*1+($T711=$V711)*1+($T711=$W711)*1+($U711=$V711)*1+($U711=$W711)*1+($V711=$W711)*1))),"")</f>
        <v>-0.666666666666667</v>
      </c>
      <c r="AI711" s="0" t="n">
        <f aca="false">MATCH(MAX($K711:$O711),$K711:$O711,0)</f>
        <v>4</v>
      </c>
      <c r="AJ711" s="0" t="n">
        <f aca="false">IF(AI711&lt;&gt;$E711,1,0)</f>
        <v>1</v>
      </c>
      <c r="AK711" s="0" t="n">
        <f aca="false">IF(AJ711=1,INDEX($F711:$J711,AI711)/MAX($P711:$S711),"")</f>
        <v>0.358208955223881</v>
      </c>
      <c r="AL711" s="0" t="n">
        <f aca="false">IF(AJ711=1,1+COUNTIF($P711:$S711,"&gt;"&amp;INDEX($F711:$J711,AI711)),"")</f>
        <v>4</v>
      </c>
      <c r="AM711" s="0" t="n">
        <f aca="false">AVERAGE($P711:$S711)/MAX($P711:$S711)</f>
        <v>0.628731343283582</v>
      </c>
      <c r="AN711" s="0" t="n">
        <f aca="false">100-INDEX($F711:$J711,$E711)</f>
        <v>35.9</v>
      </c>
    </row>
    <row r="712" customFormat="false" ht="15" hidden="false" customHeight="false" outlineLevel="0" collapsed="false">
      <c r="A712" s="0" t="s">
        <v>61</v>
      </c>
      <c r="B712" s="0" t="n">
        <v>2013</v>
      </c>
      <c r="C712" s="0" t="s">
        <v>46</v>
      </c>
      <c r="D712" s="0" t="s">
        <v>42</v>
      </c>
      <c r="E712" s="0" t="n">
        <v>3</v>
      </c>
      <c r="F712" s="0" t="n">
        <v>22.6</v>
      </c>
      <c r="G712" s="0" t="n">
        <v>10.7</v>
      </c>
      <c r="H712" s="0" t="n">
        <v>46.2</v>
      </c>
      <c r="I712" s="0" t="n">
        <v>11</v>
      </c>
      <c r="J712" s="0" t="n">
        <v>5.2</v>
      </c>
      <c r="K712" s="0" t="n">
        <v>0.0186077979124</v>
      </c>
      <c r="L712" s="0" t="n">
        <v>0.0842459500748</v>
      </c>
      <c r="M712" s="0" t="n">
        <v>99.8611173507</v>
      </c>
      <c r="N712" s="0" t="n">
        <v>0.0334036865812</v>
      </c>
      <c r="O712" s="0" t="n">
        <v>0.00262521472188</v>
      </c>
      <c r="P712" s="0" t="n">
        <f aca="false">INDEX($F712:$J712,IF(1&lt;$E712,1,1+1))</f>
        <v>22.6</v>
      </c>
      <c r="Q712" s="0" t="n">
        <f aca="false">INDEX($F712:$J712,IF(2&lt;$E712,2,2+1))</f>
        <v>10.7</v>
      </c>
      <c r="R712" s="0" t="n">
        <f aca="false">INDEX($F712:$J712,IF(3&lt;$E712,3,3+1))</f>
        <v>11</v>
      </c>
      <c r="S712" s="0" t="n">
        <f aca="false">INDEX($F712:$J712,IF(4&lt;$E712,4,4+1))</f>
        <v>5.2</v>
      </c>
      <c r="T712" s="0" t="n">
        <f aca="false">INDEX($K712:$O712,IF(1&lt;$E712,1,1+1))</f>
        <v>0.0186077979124</v>
      </c>
      <c r="U712" s="0" t="n">
        <f aca="false">INDEX($K712:$O712,IF(2&lt;$E712,2,2+1))</f>
        <v>0.0842459500748</v>
      </c>
      <c r="V712" s="0" t="n">
        <f aca="false">INDEX($K712:$O712,IF(3&lt;$E712,3,3+1))</f>
        <v>0.0334036865812</v>
      </c>
      <c r="W712" s="0" t="n">
        <f aca="false">INDEX($K712:$O712,IF(4&lt;$E712,4,4+1))</f>
        <v>0.00262521472188</v>
      </c>
      <c r="X712" s="0" t="n">
        <f aca="false">1+COUNTIF($P712:$S712,"&gt;"&amp;$P712)+(COUNTIF($P712:$S712,$P712)-1)/2</f>
        <v>1</v>
      </c>
      <c r="Y712" s="0" t="n">
        <f aca="false">1+COUNTIF($P712:$S712,"&gt;"&amp;$Q712)+(COUNTIF($P712:$S712,$Q712)-1)/2</f>
        <v>3</v>
      </c>
      <c r="Z712" s="0" t="n">
        <f aca="false">1+COUNTIF($P712:$S712,"&gt;"&amp;$R712)+(COUNTIF($P712:$S712,$R712)-1)/2</f>
        <v>2</v>
      </c>
      <c r="AA712" s="0" t="n">
        <f aca="false">1+COUNTIF($P712:$S712,"&gt;"&amp;$S712)+(COUNTIF($P712:$S712,$S712)-1)/2</f>
        <v>4</v>
      </c>
      <c r="AB712" s="0" t="n">
        <f aca="false">1+COUNTIF($T712:$W712,"&gt;"&amp;$T712)+(COUNTIF($T712:$W712,$T712)-1)/2</f>
        <v>3</v>
      </c>
      <c r="AC712" s="0" t="n">
        <f aca="false">1+COUNTIF($T712:$W712,"&gt;"&amp;$U712)+(COUNTIF($T712:$W712,$U712)-1)/2</f>
        <v>1</v>
      </c>
      <c r="AD712" s="0" t="n">
        <f aca="false">1+COUNTIF($T712:$W712,"&gt;"&amp;$V712)+(COUNTIF($T712:$W712,$V712)-1)/2</f>
        <v>2</v>
      </c>
      <c r="AE712" s="0" t="n">
        <f aca="false">1+COUNTIF($T712:$W712,"&gt;"&amp;$W712)+(COUNTIF($T712:$W712,$W712)-1)/2</f>
        <v>4</v>
      </c>
      <c r="AF712" s="0" t="n">
        <f aca="false">IFERROR(CORREL($P712:$S712,$T712:$W712),"")</f>
        <v>-0.0201263959174851</v>
      </c>
      <c r="AG712" s="0" t="n">
        <f aca="false">IFERROR(CORREL($X712:$AA712,$AB712:$AE712),"")</f>
        <v>0.2</v>
      </c>
      <c r="AH712" s="0" t="n">
        <f aca="false">IFERROR((SIGN($P712-$Q712)*SIGN($T712-$U712)+SIGN($P712-$R712)*SIGN($T712-$V712)+SIGN($P712-$S712)*SIGN($T712-$W712)+SIGN($Q712-$R712)*SIGN($U712-$V712)+SIGN($Q712-$S712)*SIGN($U712-$W712)+SIGN($R712-$S712)*SIGN($V712-$W712))/SQRT((6-(($P712=$Q712)*1+($P712=$R712)*1+($P712=$S712)*1+($Q712=$R712)*1+($Q712=$S712)*1+($R712=$S712)*1))*(6-(($T712=$U712)*1+($T712=$V712)*1+($T712=$W712)*1+($U712=$V712)*1+($U712=$W712)*1+($V712=$W712)*1))),"")</f>
        <v>0</v>
      </c>
      <c r="AI712" s="0" t="n">
        <f aca="false">MATCH(MAX($K712:$O712),$K712:$O712,0)</f>
        <v>3</v>
      </c>
      <c r="AJ712" s="0" t="n">
        <f aca="false">IF(AI712&lt;&gt;$E712,1,0)</f>
        <v>0</v>
      </c>
      <c r="AK712" s="0" t="str">
        <f aca="false">IF(AJ712=1,INDEX($F712:$J712,AI712)/MAX($P712:$S712),"")</f>
        <v/>
      </c>
      <c r="AL712" s="0" t="str">
        <f aca="false">IF(AJ712=1,1+COUNTIF($P712:$S712,"&gt;"&amp;INDEX($F712:$J712,AI712)),"")</f>
        <v/>
      </c>
      <c r="AM712" s="0" t="n">
        <f aca="false">AVERAGE($P712:$S712)/MAX($P712:$S712)</f>
        <v>0.547566371681416</v>
      </c>
      <c r="AN712" s="0" t="n">
        <f aca="false">100-INDEX($F712:$J712,$E712)</f>
        <v>53.8</v>
      </c>
    </row>
    <row r="713" customFormat="false" ht="15" hidden="false" customHeight="false" outlineLevel="0" collapsed="false">
      <c r="A713" s="0" t="s">
        <v>61</v>
      </c>
      <c r="B713" s="0" t="n">
        <v>2013</v>
      </c>
      <c r="C713" s="0" t="s">
        <v>46</v>
      </c>
      <c r="D713" s="0" t="s">
        <v>43</v>
      </c>
      <c r="E713" s="0" t="n">
        <v>3</v>
      </c>
      <c r="F713" s="0" t="n">
        <v>12.1</v>
      </c>
      <c r="G713" s="0" t="n">
        <v>11.2</v>
      </c>
      <c r="H713" s="0" t="n">
        <v>57.6</v>
      </c>
      <c r="I713" s="0" t="n">
        <v>6.6</v>
      </c>
      <c r="J713" s="0" t="n">
        <v>8.2</v>
      </c>
      <c r="K713" s="0" t="n">
        <v>0.762851364403</v>
      </c>
      <c r="L713" s="0" t="n">
        <v>0.168132891841</v>
      </c>
      <c r="M713" s="0" t="n">
        <v>15.4739959018</v>
      </c>
      <c r="N713" s="0" t="n">
        <v>0.00412546910389</v>
      </c>
      <c r="O713" s="0" t="n">
        <v>83.5908943729</v>
      </c>
      <c r="P713" s="0" t="n">
        <f aca="false">INDEX($F713:$J713,IF(1&lt;$E713,1,1+1))</f>
        <v>12.1</v>
      </c>
      <c r="Q713" s="0" t="n">
        <f aca="false">INDEX($F713:$J713,IF(2&lt;$E713,2,2+1))</f>
        <v>11.2</v>
      </c>
      <c r="R713" s="0" t="n">
        <f aca="false">INDEX($F713:$J713,IF(3&lt;$E713,3,3+1))</f>
        <v>6.6</v>
      </c>
      <c r="S713" s="0" t="n">
        <f aca="false">INDEX($F713:$J713,IF(4&lt;$E713,4,4+1))</f>
        <v>8.2</v>
      </c>
      <c r="T713" s="0" t="n">
        <f aca="false">INDEX($K713:$O713,IF(1&lt;$E713,1,1+1))</f>
        <v>0.762851364403</v>
      </c>
      <c r="U713" s="0" t="n">
        <f aca="false">INDEX($K713:$O713,IF(2&lt;$E713,2,2+1))</f>
        <v>0.168132891841</v>
      </c>
      <c r="V713" s="0" t="n">
        <f aca="false">INDEX($K713:$O713,IF(3&lt;$E713,3,3+1))</f>
        <v>0.00412546910389</v>
      </c>
      <c r="W713" s="0" t="n">
        <f aca="false">INDEX($K713:$O713,IF(4&lt;$E713,4,4+1))</f>
        <v>83.5908943729</v>
      </c>
      <c r="X713" s="0" t="n">
        <f aca="false">1+COUNTIF($P713:$S713,"&gt;"&amp;$P713)+(COUNTIF($P713:$S713,$P713)-1)/2</f>
        <v>1</v>
      </c>
      <c r="Y713" s="0" t="n">
        <f aca="false">1+COUNTIF($P713:$S713,"&gt;"&amp;$Q713)+(COUNTIF($P713:$S713,$Q713)-1)/2</f>
        <v>2</v>
      </c>
      <c r="Z713" s="0" t="n">
        <f aca="false">1+COUNTIF($P713:$S713,"&gt;"&amp;$R713)+(COUNTIF($P713:$S713,$R713)-1)/2</f>
        <v>4</v>
      </c>
      <c r="AA713" s="0" t="n">
        <f aca="false">1+COUNTIF($P713:$S713,"&gt;"&amp;$S713)+(COUNTIF($P713:$S713,$S713)-1)/2</f>
        <v>3</v>
      </c>
      <c r="AB713" s="0" t="n">
        <f aca="false">1+COUNTIF($T713:$W713,"&gt;"&amp;$T713)+(COUNTIF($T713:$W713,$T713)-1)/2</f>
        <v>2</v>
      </c>
      <c r="AC713" s="0" t="n">
        <f aca="false">1+COUNTIF($T713:$W713,"&gt;"&amp;$U713)+(COUNTIF($T713:$W713,$U713)-1)/2</f>
        <v>3</v>
      </c>
      <c r="AD713" s="0" t="n">
        <f aca="false">1+COUNTIF($T713:$W713,"&gt;"&amp;$V713)+(COUNTIF($T713:$W713,$V713)-1)/2</f>
        <v>4</v>
      </c>
      <c r="AE713" s="0" t="n">
        <f aca="false">1+COUNTIF($T713:$W713,"&gt;"&amp;$W713)+(COUNTIF($T713:$W713,$W713)-1)/2</f>
        <v>1</v>
      </c>
      <c r="AF713" s="0" t="n">
        <f aca="false">IFERROR(CORREL($P713:$S713,$T713:$W713),"")</f>
        <v>-0.338601941436765</v>
      </c>
      <c r="AG713" s="0" t="n">
        <f aca="false">IFERROR(CORREL($X713:$AA713,$AB713:$AE713),"")</f>
        <v>0.4</v>
      </c>
      <c r="AH713" s="0" t="n">
        <f aca="false">IFERROR((SIGN($P713-$Q713)*SIGN($T713-$U713)+SIGN($P713-$R713)*SIGN($T713-$V713)+SIGN($P713-$S713)*SIGN($T713-$W713)+SIGN($Q713-$R713)*SIGN($U713-$V713)+SIGN($Q713-$S713)*SIGN($U713-$W713)+SIGN($R713-$S713)*SIGN($V713-$W713))/SQRT((6-(($P713=$Q713)*1+($P713=$R713)*1+($P713=$S713)*1+($Q713=$R713)*1+($Q713=$S713)*1+($R713=$S713)*1))*(6-(($T713=$U713)*1+($T713=$V713)*1+($T713=$W713)*1+($U713=$V713)*1+($U713=$W713)*1+($V713=$W713)*1))),"")</f>
        <v>0.333333333333333</v>
      </c>
      <c r="AI713" s="0" t="n">
        <f aca="false">MATCH(MAX($K713:$O713),$K713:$O713,0)</f>
        <v>5</v>
      </c>
      <c r="AJ713" s="0" t="n">
        <f aca="false">IF(AI713&lt;&gt;$E713,1,0)</f>
        <v>1</v>
      </c>
      <c r="AK713" s="0" t="n">
        <f aca="false">IF(AJ713=1,INDEX($F713:$J713,AI713)/MAX($P713:$S713),"")</f>
        <v>0.677685950413223</v>
      </c>
      <c r="AL713" s="0" t="n">
        <f aca="false">IF(AJ713=1,1+COUNTIF($P713:$S713,"&gt;"&amp;INDEX($F713:$J713,AI713)),"")</f>
        <v>3</v>
      </c>
      <c r="AM713" s="0" t="n">
        <f aca="false">AVERAGE($P713:$S713)/MAX($P713:$S713)</f>
        <v>0.787190082644628</v>
      </c>
      <c r="AN713" s="0" t="n">
        <f aca="false">100-INDEX($F713:$J713,$E713)</f>
        <v>42.4</v>
      </c>
    </row>
    <row r="714" customFormat="false" ht="15" hidden="false" customHeight="false" outlineLevel="0" collapsed="false">
      <c r="A714" s="0" t="s">
        <v>61</v>
      </c>
      <c r="B714" s="0" t="n">
        <v>2013</v>
      </c>
      <c r="C714" s="0" t="s">
        <v>46</v>
      </c>
      <c r="D714" s="0" t="s">
        <v>44</v>
      </c>
      <c r="E714" s="0" t="n">
        <v>4</v>
      </c>
      <c r="F714" s="0" t="n">
        <v>16.2</v>
      </c>
      <c r="G714" s="0" t="n">
        <v>12.8</v>
      </c>
      <c r="H714" s="0" t="n">
        <v>10.4</v>
      </c>
      <c r="I714" s="0" t="n">
        <v>47.3</v>
      </c>
      <c r="J714" s="0" t="n">
        <v>9</v>
      </c>
      <c r="K714" s="0" t="n">
        <v>0.730924461331</v>
      </c>
      <c r="L714" s="0" t="n">
        <v>2.52134619363</v>
      </c>
      <c r="M714" s="0" t="n">
        <v>1.07013604865</v>
      </c>
      <c r="N714" s="0" t="n">
        <v>95.1871037749</v>
      </c>
      <c r="O714" s="0" t="n">
        <v>0.490489521521</v>
      </c>
      <c r="P714" s="0" t="n">
        <f aca="false">INDEX($F714:$J714,IF(1&lt;$E714,1,1+1))</f>
        <v>16.2</v>
      </c>
      <c r="Q714" s="0" t="n">
        <f aca="false">INDEX($F714:$J714,IF(2&lt;$E714,2,2+1))</f>
        <v>12.8</v>
      </c>
      <c r="R714" s="0" t="n">
        <f aca="false">INDEX($F714:$J714,IF(3&lt;$E714,3,3+1))</f>
        <v>10.4</v>
      </c>
      <c r="S714" s="0" t="n">
        <f aca="false">INDEX($F714:$J714,IF(4&lt;$E714,4,4+1))</f>
        <v>9</v>
      </c>
      <c r="T714" s="0" t="n">
        <f aca="false">INDEX($K714:$O714,IF(1&lt;$E714,1,1+1))</f>
        <v>0.730924461331</v>
      </c>
      <c r="U714" s="0" t="n">
        <f aca="false">INDEX($K714:$O714,IF(2&lt;$E714,2,2+1))</f>
        <v>2.52134619363</v>
      </c>
      <c r="V714" s="0" t="n">
        <f aca="false">INDEX($K714:$O714,IF(3&lt;$E714,3,3+1))</f>
        <v>1.07013604865</v>
      </c>
      <c r="W714" s="0" t="n">
        <f aca="false">INDEX($K714:$O714,IF(4&lt;$E714,4,4+1))</f>
        <v>0.490489521521</v>
      </c>
      <c r="X714" s="0" t="n">
        <f aca="false">1+COUNTIF($P714:$S714,"&gt;"&amp;$P714)+(COUNTIF($P714:$S714,$P714)-1)/2</f>
        <v>1</v>
      </c>
      <c r="Y714" s="0" t="n">
        <f aca="false">1+COUNTIF($P714:$S714,"&gt;"&amp;$Q714)+(COUNTIF($P714:$S714,$Q714)-1)/2</f>
        <v>2</v>
      </c>
      <c r="Z714" s="0" t="n">
        <f aca="false">1+COUNTIF($P714:$S714,"&gt;"&amp;$R714)+(COUNTIF($P714:$S714,$R714)-1)/2</f>
        <v>3</v>
      </c>
      <c r="AA714" s="0" t="n">
        <f aca="false">1+COUNTIF($P714:$S714,"&gt;"&amp;$S714)+(COUNTIF($P714:$S714,$S714)-1)/2</f>
        <v>4</v>
      </c>
      <c r="AB714" s="0" t="n">
        <f aca="false">1+COUNTIF($T714:$W714,"&gt;"&amp;$T714)+(COUNTIF($T714:$W714,$T714)-1)/2</f>
        <v>3</v>
      </c>
      <c r="AC714" s="0" t="n">
        <f aca="false">1+COUNTIF($T714:$W714,"&gt;"&amp;$U714)+(COUNTIF($T714:$W714,$U714)-1)/2</f>
        <v>1</v>
      </c>
      <c r="AD714" s="0" t="n">
        <f aca="false">1+COUNTIF($T714:$W714,"&gt;"&amp;$V714)+(COUNTIF($T714:$W714,$V714)-1)/2</f>
        <v>2</v>
      </c>
      <c r="AE714" s="0" t="n">
        <f aca="false">1+COUNTIF($T714:$W714,"&gt;"&amp;$W714)+(COUNTIF($T714:$W714,$W714)-1)/2</f>
        <v>4</v>
      </c>
      <c r="AF714" s="0" t="n">
        <f aca="false">IFERROR(CORREL($P714:$S714,$T714:$W714),"")</f>
        <v>0.165202689391957</v>
      </c>
      <c r="AG714" s="0" t="n">
        <f aca="false">IFERROR(CORREL($X714:$AA714,$AB714:$AE714),"")</f>
        <v>0.4</v>
      </c>
      <c r="AH714" s="0" t="n">
        <f aca="false">IFERROR((SIGN($P714-$Q714)*SIGN($T714-$U714)+SIGN($P714-$R714)*SIGN($T714-$V714)+SIGN($P714-$S714)*SIGN($T714-$W714)+SIGN($Q714-$R714)*SIGN($U714-$V714)+SIGN($Q714-$S714)*SIGN($U714-$W714)+SIGN($R714-$S714)*SIGN($V714-$W714))/SQRT((6-(($P714=$Q714)*1+($P714=$R714)*1+($P714=$S714)*1+($Q714=$R714)*1+($Q714=$S714)*1+($R714=$S714)*1))*(6-(($T714=$U714)*1+($T714=$V714)*1+($T714=$W714)*1+($U714=$V714)*1+($U714=$W714)*1+($V714=$W714)*1))),"")</f>
        <v>0.333333333333333</v>
      </c>
      <c r="AI714" s="0" t="n">
        <f aca="false">MATCH(MAX($K714:$O714),$K714:$O714,0)</f>
        <v>4</v>
      </c>
      <c r="AJ714" s="0" t="n">
        <f aca="false">IF(AI714&lt;&gt;$E714,1,0)</f>
        <v>0</v>
      </c>
      <c r="AK714" s="0" t="str">
        <f aca="false">IF(AJ714=1,INDEX($F714:$J714,AI714)/MAX($P714:$S714),"")</f>
        <v/>
      </c>
      <c r="AL714" s="0" t="str">
        <f aca="false">IF(AJ714=1,1+COUNTIF($P714:$S714,"&gt;"&amp;INDEX($F714:$J714,AI714)),"")</f>
        <v/>
      </c>
      <c r="AM714" s="0" t="n">
        <f aca="false">AVERAGE($P714:$S714)/MAX($P714:$S714)</f>
        <v>0.746913580246914</v>
      </c>
      <c r="AN714" s="0" t="n">
        <f aca="false">100-INDEX($F714:$J714,$E714)</f>
        <v>52.7</v>
      </c>
    </row>
    <row r="715" customFormat="false" ht="15" hidden="false" customHeight="false" outlineLevel="0" collapsed="false">
      <c r="A715" s="0" t="s">
        <v>61</v>
      </c>
      <c r="B715" s="0" t="n">
        <v>2013</v>
      </c>
      <c r="C715" s="0" t="s">
        <v>46</v>
      </c>
      <c r="D715" s="0" t="s">
        <v>45</v>
      </c>
      <c r="E715" s="0" t="n">
        <v>4</v>
      </c>
      <c r="F715" s="0" t="n">
        <v>13.5</v>
      </c>
      <c r="G715" s="0" t="n">
        <v>19.8</v>
      </c>
      <c r="H715" s="0" t="n">
        <v>10.3</v>
      </c>
      <c r="I715" s="0" t="n">
        <v>42.5</v>
      </c>
      <c r="J715" s="0" t="n">
        <v>9.4</v>
      </c>
      <c r="K715" s="0" t="n">
        <v>0.600076975444</v>
      </c>
      <c r="L715" s="0" t="n">
        <v>54.1849196038</v>
      </c>
      <c r="M715" s="0" t="n">
        <v>20.6664614058</v>
      </c>
      <c r="N715" s="0" t="n">
        <v>22.4745368589</v>
      </c>
      <c r="O715" s="0" t="n">
        <v>2.0740051561</v>
      </c>
      <c r="P715" s="0" t="n">
        <f aca="false">INDEX($F715:$J715,IF(1&lt;$E715,1,1+1))</f>
        <v>13.5</v>
      </c>
      <c r="Q715" s="0" t="n">
        <f aca="false">INDEX($F715:$J715,IF(2&lt;$E715,2,2+1))</f>
        <v>19.8</v>
      </c>
      <c r="R715" s="0" t="n">
        <f aca="false">INDEX($F715:$J715,IF(3&lt;$E715,3,3+1))</f>
        <v>10.3</v>
      </c>
      <c r="S715" s="0" t="n">
        <f aca="false">INDEX($F715:$J715,IF(4&lt;$E715,4,4+1))</f>
        <v>9.4</v>
      </c>
      <c r="T715" s="0" t="n">
        <f aca="false">INDEX($K715:$O715,IF(1&lt;$E715,1,1+1))</f>
        <v>0.600076975444</v>
      </c>
      <c r="U715" s="0" t="n">
        <f aca="false">INDEX($K715:$O715,IF(2&lt;$E715,2,2+1))</f>
        <v>54.1849196038</v>
      </c>
      <c r="V715" s="0" t="n">
        <f aca="false">INDEX($K715:$O715,IF(3&lt;$E715,3,3+1))</f>
        <v>20.6664614058</v>
      </c>
      <c r="W715" s="0" t="n">
        <f aca="false">INDEX($K715:$O715,IF(4&lt;$E715,4,4+1))</f>
        <v>2.0740051561</v>
      </c>
      <c r="X715" s="0" t="n">
        <f aca="false">1+COUNTIF($P715:$S715,"&gt;"&amp;$P715)+(COUNTIF($P715:$S715,$P715)-1)/2</f>
        <v>2</v>
      </c>
      <c r="Y715" s="0" t="n">
        <f aca="false">1+COUNTIF($P715:$S715,"&gt;"&amp;$Q715)+(COUNTIF($P715:$S715,$Q715)-1)/2</f>
        <v>1</v>
      </c>
      <c r="Z715" s="0" t="n">
        <f aca="false">1+COUNTIF($P715:$S715,"&gt;"&amp;$R715)+(COUNTIF($P715:$S715,$R715)-1)/2</f>
        <v>3</v>
      </c>
      <c r="AA715" s="0" t="n">
        <f aca="false">1+COUNTIF($P715:$S715,"&gt;"&amp;$S715)+(COUNTIF($P715:$S715,$S715)-1)/2</f>
        <v>4</v>
      </c>
      <c r="AB715" s="0" t="n">
        <f aca="false">1+COUNTIF($T715:$W715,"&gt;"&amp;$T715)+(COUNTIF($T715:$W715,$T715)-1)/2</f>
        <v>4</v>
      </c>
      <c r="AC715" s="0" t="n">
        <f aca="false">1+COUNTIF($T715:$W715,"&gt;"&amp;$U715)+(COUNTIF($T715:$W715,$U715)-1)/2</f>
        <v>1</v>
      </c>
      <c r="AD715" s="0" t="n">
        <f aca="false">1+COUNTIF($T715:$W715,"&gt;"&amp;$V715)+(COUNTIF($T715:$W715,$V715)-1)/2</f>
        <v>2</v>
      </c>
      <c r="AE715" s="0" t="n">
        <f aca="false">1+COUNTIF($T715:$W715,"&gt;"&amp;$W715)+(COUNTIF($T715:$W715,$W715)-1)/2</f>
        <v>3</v>
      </c>
      <c r="AF715" s="0" t="n">
        <f aca="false">IFERROR(CORREL($P715:$S715,$T715:$W715),"")</f>
        <v>0.812437934065221</v>
      </c>
      <c r="AG715" s="0" t="n">
        <f aca="false">IFERROR(CORREL($X715:$AA715,$AB715:$AE715),"")</f>
        <v>0.4</v>
      </c>
      <c r="AH715" s="0" t="n">
        <f aca="false">IFERROR((SIGN($P715-$Q715)*SIGN($T715-$U715)+SIGN($P715-$R715)*SIGN($T715-$V715)+SIGN($P715-$S715)*SIGN($T715-$W715)+SIGN($Q715-$R715)*SIGN($U715-$V715)+SIGN($Q715-$S715)*SIGN($U715-$W715)+SIGN($R715-$S715)*SIGN($V715-$W715))/SQRT((6-(($P715=$Q715)*1+($P715=$R715)*1+($P715=$S715)*1+($Q715=$R715)*1+($Q715=$S715)*1+($R715=$S715)*1))*(6-(($T715=$U715)*1+($T715=$V715)*1+($T715=$W715)*1+($U715=$V715)*1+($U715=$W715)*1+($V715=$W715)*1))),"")</f>
        <v>0.333333333333333</v>
      </c>
      <c r="AI715" s="0" t="n">
        <f aca="false">MATCH(MAX($K715:$O715),$K715:$O715,0)</f>
        <v>2</v>
      </c>
      <c r="AJ715" s="0" t="n">
        <f aca="false">IF(AI715&lt;&gt;$E715,1,0)</f>
        <v>1</v>
      </c>
      <c r="AK715" s="0" t="n">
        <f aca="false">IF(AJ715=1,INDEX($F715:$J715,AI715)/MAX($P715:$S715),"")</f>
        <v>1</v>
      </c>
      <c r="AL715" s="0" t="n">
        <f aca="false">IF(AJ715=1,1+COUNTIF($P715:$S715,"&gt;"&amp;INDEX($F715:$J715,AI715)),"")</f>
        <v>1</v>
      </c>
      <c r="AM715" s="0" t="n">
        <f aca="false">AVERAGE($P715:$S715)/MAX($P715:$S715)</f>
        <v>0.669191919191919</v>
      </c>
      <c r="AN715" s="0" t="n">
        <f aca="false">100-INDEX($F715:$J715,$E715)</f>
        <v>57.5</v>
      </c>
    </row>
    <row r="716" customFormat="false" ht="15" hidden="false" customHeight="false" outlineLevel="0" collapsed="false">
      <c r="A716" s="0" t="s">
        <v>61</v>
      </c>
      <c r="B716" s="0" t="n">
        <v>2013</v>
      </c>
      <c r="C716" s="0" t="s">
        <v>46</v>
      </c>
      <c r="D716" s="0" t="s">
        <v>55</v>
      </c>
      <c r="E716" s="0" t="n">
        <v>3</v>
      </c>
      <c r="F716" s="0" t="n">
        <v>17.4</v>
      </c>
      <c r="G716" s="0" t="n">
        <v>12.3</v>
      </c>
      <c r="H716" s="0" t="n">
        <v>46.7</v>
      </c>
      <c r="I716" s="0" t="n">
        <v>5.5</v>
      </c>
      <c r="J716" s="0" t="n">
        <v>13.6</v>
      </c>
      <c r="K716" s="0" t="n">
        <v>10.5989016353</v>
      </c>
      <c r="L716" s="0" t="n">
        <v>1.57531775394</v>
      </c>
      <c r="M716" s="0" t="n">
        <v>60.5410948621</v>
      </c>
      <c r="N716" s="0" t="n">
        <v>12.2028215336</v>
      </c>
      <c r="O716" s="0" t="n">
        <v>15.081864215</v>
      </c>
      <c r="P716" s="0" t="n">
        <f aca="false">INDEX($F716:$J716,IF(1&lt;$E716,1,1+1))</f>
        <v>17.4</v>
      </c>
      <c r="Q716" s="0" t="n">
        <f aca="false">INDEX($F716:$J716,IF(2&lt;$E716,2,2+1))</f>
        <v>12.3</v>
      </c>
      <c r="R716" s="0" t="n">
        <f aca="false">INDEX($F716:$J716,IF(3&lt;$E716,3,3+1))</f>
        <v>5.5</v>
      </c>
      <c r="S716" s="0" t="n">
        <f aca="false">INDEX($F716:$J716,IF(4&lt;$E716,4,4+1))</f>
        <v>13.6</v>
      </c>
      <c r="T716" s="0" t="n">
        <f aca="false">INDEX($K716:$O716,IF(1&lt;$E716,1,1+1))</f>
        <v>10.5989016353</v>
      </c>
      <c r="U716" s="0" t="n">
        <f aca="false">INDEX($K716:$O716,IF(2&lt;$E716,2,2+1))</f>
        <v>1.57531775394</v>
      </c>
      <c r="V716" s="0" t="n">
        <f aca="false">INDEX($K716:$O716,IF(3&lt;$E716,3,3+1))</f>
        <v>12.2028215336</v>
      </c>
      <c r="W716" s="0" t="n">
        <f aca="false">INDEX($K716:$O716,IF(4&lt;$E716,4,4+1))</f>
        <v>15.081864215</v>
      </c>
      <c r="X716" s="0" t="n">
        <f aca="false">1+COUNTIF($P716:$S716,"&gt;"&amp;$P716)+(COUNTIF($P716:$S716,$P716)-1)/2</f>
        <v>1</v>
      </c>
      <c r="Y716" s="0" t="n">
        <f aca="false">1+COUNTIF($P716:$S716,"&gt;"&amp;$Q716)+(COUNTIF($P716:$S716,$Q716)-1)/2</f>
        <v>3</v>
      </c>
      <c r="Z716" s="0" t="n">
        <f aca="false">1+COUNTIF($P716:$S716,"&gt;"&amp;$R716)+(COUNTIF($P716:$S716,$R716)-1)/2</f>
        <v>4</v>
      </c>
      <c r="AA716" s="0" t="n">
        <f aca="false">1+COUNTIF($P716:$S716,"&gt;"&amp;$S716)+(COUNTIF($P716:$S716,$S716)-1)/2</f>
        <v>2</v>
      </c>
      <c r="AB716" s="0" t="n">
        <f aca="false">1+COUNTIF($T716:$W716,"&gt;"&amp;$T716)+(COUNTIF($T716:$W716,$T716)-1)/2</f>
        <v>3</v>
      </c>
      <c r="AC716" s="0" t="n">
        <f aca="false">1+COUNTIF($T716:$W716,"&gt;"&amp;$U716)+(COUNTIF($T716:$W716,$U716)-1)/2</f>
        <v>4</v>
      </c>
      <c r="AD716" s="0" t="n">
        <f aca="false">1+COUNTIF($T716:$W716,"&gt;"&amp;$V716)+(COUNTIF($T716:$W716,$V716)-1)/2</f>
        <v>2</v>
      </c>
      <c r="AE716" s="0" t="n">
        <f aca="false">1+COUNTIF($T716:$W716,"&gt;"&amp;$W716)+(COUNTIF($T716:$W716,$W716)-1)/2</f>
        <v>1</v>
      </c>
      <c r="AF716" s="0" t="n">
        <f aca="false">IFERROR(CORREL($P716:$S716,$T716:$W716),"")</f>
        <v>-0.0618989010530785</v>
      </c>
      <c r="AG716" s="0" t="n">
        <f aca="false">IFERROR(CORREL($X716:$AA716,$AB716:$AE716),"")</f>
        <v>0</v>
      </c>
      <c r="AH716" s="0" t="n">
        <f aca="false">IFERROR((SIGN($P716-$Q716)*SIGN($T716-$U716)+SIGN($P716-$R716)*SIGN($T716-$V716)+SIGN($P716-$S716)*SIGN($T716-$W716)+SIGN($Q716-$R716)*SIGN($U716-$V716)+SIGN($Q716-$S716)*SIGN($U716-$W716)+SIGN($R716-$S716)*SIGN($V716-$W716))/SQRT((6-(($P716=$Q716)*1+($P716=$R716)*1+($P716=$S716)*1+($Q716=$R716)*1+($Q716=$S716)*1+($R716=$S716)*1))*(6-(($T716=$U716)*1+($T716=$V716)*1+($T716=$W716)*1+($U716=$V716)*1+($U716=$W716)*1+($V716=$W716)*1))),"")</f>
        <v>0</v>
      </c>
      <c r="AI716" s="0" t="n">
        <f aca="false">MATCH(MAX($K716:$O716),$K716:$O716,0)</f>
        <v>3</v>
      </c>
      <c r="AJ716" s="0" t="n">
        <f aca="false">IF(AI716&lt;&gt;$E716,1,0)</f>
        <v>0</v>
      </c>
      <c r="AK716" s="0" t="str">
        <f aca="false">IF(AJ716=1,INDEX($F716:$J716,AI716)/MAX($P716:$S716),"")</f>
        <v/>
      </c>
      <c r="AL716" s="0" t="str">
        <f aca="false">IF(AJ716=1,1+COUNTIF($P716:$S716,"&gt;"&amp;INDEX($F716:$J716,AI716)),"")</f>
        <v/>
      </c>
      <c r="AM716" s="0" t="n">
        <f aca="false">AVERAGE($P716:$S716)/MAX($P716:$S716)</f>
        <v>0.701149425287356</v>
      </c>
      <c r="AN716" s="0" t="n">
        <f aca="false">100-INDEX($F716:$J716,$E716)</f>
        <v>53.3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7.15" hidden="false" customHeight="false" outlineLevel="0" collapsed="false">
      <c r="A1" s="3" t="s">
        <v>62</v>
      </c>
    </row>
    <row r="2" customFormat="false" ht="28.35" hidden="false" customHeight="false" outlineLevel="0" collapsed="false">
      <c r="A2" s="1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customFormat="false" ht="15" hidden="false" customHeight="false" outlineLevel="0" collapsed="false">
      <c r="A3" s="0" t="s">
        <v>68</v>
      </c>
      <c r="B3" s="0" t="n">
        <f aca="false">AVERAGE(Data!$AF$2:$AF$716)</f>
        <v>0.133370553081746</v>
      </c>
      <c r="C3" s="0" t="n">
        <f aca="false">AVERAGE(Data!$AG$2:$AG$716)</f>
        <v>0.139922290551133</v>
      </c>
      <c r="D3" s="0" t="n">
        <f aca="false">AVERAGE(Data!$AH$2:$AH$716)</f>
        <v>0.117153958906221</v>
      </c>
      <c r="E3" s="0" t="n">
        <f aca="false">COUNT(Data!$AF$2:$AF$716)</f>
        <v>715</v>
      </c>
    </row>
    <row r="5" customFormat="false" ht="17.15" hidden="false" customHeight="false" outlineLevel="0" collapsed="false">
      <c r="A5" s="3" t="s">
        <v>69</v>
      </c>
    </row>
    <row r="6" customFormat="false" ht="61.9" hidden="false" customHeight="false" outlineLevel="0" collapsed="false">
      <c r="A6" s="1" t="s">
        <v>63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1" t="s">
        <v>77</v>
      </c>
      <c r="J6" s="2" t="s">
        <v>78</v>
      </c>
    </row>
    <row r="7" customFormat="false" ht="15" hidden="false" customHeight="false" outlineLevel="0" collapsed="false">
      <c r="A7" s="0" t="s">
        <v>68</v>
      </c>
      <c r="B7" s="0" t="n">
        <f aca="false">SUM(Data!$AJ$2:$AJ$716)</f>
        <v>376</v>
      </c>
      <c r="C7" s="0" t="n">
        <f aca="false">AVERAGE(Data!$AK$2:$AK$716)</f>
        <v>0.739312664624644</v>
      </c>
      <c r="D7" s="0" t="n">
        <f aca="false">COUNTIF(Data!$AL$2:$AL$716,1)/$B$7*100</f>
        <v>30.3191489361702</v>
      </c>
      <c r="E7" s="0" t="n">
        <f aca="false">COUNTIF(Data!$AL$2:$AL$716,2)/$B$7*100</f>
        <v>25</v>
      </c>
      <c r="F7" s="0" t="n">
        <f aca="false">COUNTIF(Data!$AL$2:$AL$716,3)/$B$7*100</f>
        <v>25.7978723404255</v>
      </c>
      <c r="G7" s="0" t="n">
        <f aca="false">COUNTIF(Data!$AL$2:$AL$716,4)/$B$7*100</f>
        <v>18.8829787234043</v>
      </c>
      <c r="H7" s="0" t="n">
        <f aca="false">COUNTIF(Data!$AL$2:$AL$716,1)</f>
        <v>114</v>
      </c>
      <c r="I7" s="0" t="n">
        <f aca="false">SUM(D7:G7)</f>
        <v>100</v>
      </c>
      <c r="J7" s="0" t="n">
        <f aca="false">1-BINOMDIST(H7-1,B7,0.25,TRUE())</f>
        <v>0.0112025991450112</v>
      </c>
    </row>
    <row r="8" customFormat="false" ht="15" hidden="false" customHeight="false" outlineLevel="0" collapsed="false">
      <c r="A8" s="3" t="s">
        <v>79</v>
      </c>
      <c r="C8" s="0" t="n">
        <f aca="false">AVERAGE(Data!$AM$2:$AM$716)</f>
        <v>0.710228816364979</v>
      </c>
      <c r="D8" s="0" t="n">
        <v>25</v>
      </c>
      <c r="E8" s="0" t="n">
        <v>25</v>
      </c>
      <c r="F8" s="0" t="n">
        <v>25</v>
      </c>
      <c r="G8" s="0" t="n">
        <v>25</v>
      </c>
      <c r="I8" s="0" t="n">
        <v>100</v>
      </c>
    </row>
    <row r="10" customFormat="false" ht="17.15" hidden="false" customHeight="false" outlineLevel="0" collapsed="false">
      <c r="A10" s="3" t="s">
        <v>80</v>
      </c>
    </row>
    <row r="11" customFormat="false" ht="17.15" hidden="false" customHeight="false" outlineLevel="0" collapsed="false">
      <c r="A11" s="1" t="s">
        <v>63</v>
      </c>
      <c r="B11" s="2" t="s">
        <v>81</v>
      </c>
      <c r="C11" s="2" t="s">
        <v>67</v>
      </c>
    </row>
    <row r="12" customFormat="false" ht="15" hidden="false" customHeight="false" outlineLevel="0" collapsed="false">
      <c r="A12" s="0" t="s">
        <v>68</v>
      </c>
      <c r="B12" s="0" t="n">
        <f aca="false">CORREL(Data!$AN$2:$AN$716,Helper!$B$2:$B$716)</f>
        <v>-0.120311365780341</v>
      </c>
      <c r="C12" s="0" t="n">
        <f aca="false">COUNT(Helper!$B$2:$B$716)</f>
        <v>715</v>
      </c>
    </row>
    <row r="14" customFormat="false" ht="17.15" hidden="false" customHeight="false" outlineLevel="0" collapsed="false">
      <c r="A14" s="3" t="s">
        <v>82</v>
      </c>
    </row>
    <row r="15" customFormat="false" ht="17.15" hidden="false" customHeight="false" outlineLevel="0" collapsed="false">
      <c r="A15" s="3" t="s">
        <v>83</v>
      </c>
    </row>
    <row r="16" customFormat="false" ht="17.15" hidden="false" customHeight="false" outlineLevel="0" collapsed="false">
      <c r="A1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57.45" hidden="false" customHeight="false" outlineLevel="0" collapsed="false">
      <c r="A1" s="1" t="s">
        <v>39</v>
      </c>
      <c r="B1" s="2" t="s">
        <v>85</v>
      </c>
    </row>
    <row r="2" customFormat="false" ht="15" hidden="false" customHeight="false" outlineLevel="0" collapsed="false">
      <c r="A2" s="0" t="n">
        <f aca="false">Data!AN2</f>
        <v>38</v>
      </c>
      <c r="B2" s="0" t="n">
        <f aca="false">INDEX(Data!$K2:$O2,Data!$E2)</f>
        <v>15.1224575901</v>
      </c>
    </row>
    <row r="3" customFormat="false" ht="15" hidden="false" customHeight="false" outlineLevel="0" collapsed="false">
      <c r="A3" s="0" t="n">
        <f aca="false">Data!AN3</f>
        <v>51.9</v>
      </c>
      <c r="B3" s="0" t="n">
        <f aca="false">INDEX(Data!$K3:$O3,Data!$E3)</f>
        <v>25.6145599898</v>
      </c>
    </row>
    <row r="4" customFormat="false" ht="15" hidden="false" customHeight="false" outlineLevel="0" collapsed="false">
      <c r="A4" s="0" t="n">
        <f aca="false">Data!AN4</f>
        <v>52.9</v>
      </c>
      <c r="B4" s="0" t="n">
        <f aca="false">INDEX(Data!$K4:$O4,Data!$E4)</f>
        <v>49.2038926655</v>
      </c>
    </row>
    <row r="5" customFormat="false" ht="15" hidden="false" customHeight="false" outlineLevel="0" collapsed="false">
      <c r="A5" s="0" t="n">
        <f aca="false">Data!AN5</f>
        <v>61.1</v>
      </c>
      <c r="B5" s="0" t="n">
        <f aca="false">INDEX(Data!$K5:$O5,Data!$E5)</f>
        <v>29.6188570276</v>
      </c>
    </row>
    <row r="6" customFormat="false" ht="15" hidden="false" customHeight="false" outlineLevel="0" collapsed="false">
      <c r="A6" s="0" t="n">
        <f aca="false">Data!AN6</f>
        <v>59.8</v>
      </c>
      <c r="B6" s="0" t="n">
        <f aca="false">INDEX(Data!$K6:$O6,Data!$E6)</f>
        <v>18.4189347462</v>
      </c>
    </row>
    <row r="7" customFormat="false" ht="15" hidden="false" customHeight="false" outlineLevel="0" collapsed="false">
      <c r="A7" s="0" t="n">
        <f aca="false">Data!AN7</f>
        <v>55.5</v>
      </c>
      <c r="B7" s="0" t="n">
        <f aca="false">INDEX(Data!$K7:$O7,Data!$E7)</f>
        <v>47.4046118666</v>
      </c>
    </row>
    <row r="8" customFormat="false" ht="15" hidden="false" customHeight="false" outlineLevel="0" collapsed="false">
      <c r="A8" s="0" t="n">
        <f aca="false">Data!AN8</f>
        <v>63.5</v>
      </c>
      <c r="B8" s="0" t="n">
        <f aca="false">INDEX(Data!$K8:$O8,Data!$E8)</f>
        <v>14.940552009</v>
      </c>
    </row>
    <row r="9" customFormat="false" ht="15" hidden="false" customHeight="false" outlineLevel="0" collapsed="false">
      <c r="A9" s="0" t="n">
        <f aca="false">Data!AN9</f>
        <v>54</v>
      </c>
      <c r="B9" s="0" t="n">
        <f aca="false">INDEX(Data!$K9:$O9,Data!$E9)</f>
        <v>58.6597387476</v>
      </c>
    </row>
    <row r="10" customFormat="false" ht="15" hidden="false" customHeight="false" outlineLevel="0" collapsed="false">
      <c r="A10" s="0" t="n">
        <f aca="false">Data!AN10</f>
        <v>60.2</v>
      </c>
      <c r="B10" s="0" t="n">
        <f aca="false">INDEX(Data!$K10:$O10,Data!$E10)</f>
        <v>98.1661189792</v>
      </c>
    </row>
    <row r="11" customFormat="false" ht="15" hidden="false" customHeight="false" outlineLevel="0" collapsed="false">
      <c r="A11" s="0" t="n">
        <f aca="false">Data!AN11</f>
        <v>80.1</v>
      </c>
      <c r="B11" s="0" t="n">
        <f aca="false">INDEX(Data!$K11:$O11,Data!$E11)</f>
        <v>12.5161281691</v>
      </c>
    </row>
    <row r="12" customFormat="false" ht="15" hidden="false" customHeight="false" outlineLevel="0" collapsed="false">
      <c r="A12" s="0" t="n">
        <f aca="false">Data!AN12</f>
        <v>81.6</v>
      </c>
      <c r="B12" s="0" t="n">
        <f aca="false">INDEX(Data!$K12:$O12,Data!$E12)</f>
        <v>26.8039486084</v>
      </c>
    </row>
    <row r="13" customFormat="false" ht="15" hidden="false" customHeight="false" outlineLevel="0" collapsed="false">
      <c r="A13" s="0" t="n">
        <f aca="false">Data!AN13</f>
        <v>80.5</v>
      </c>
      <c r="B13" s="0" t="n">
        <f aca="false">INDEX(Data!$K13:$O13,Data!$E13)</f>
        <v>55.6476642666</v>
      </c>
    </row>
    <row r="14" customFormat="false" ht="15" hidden="false" customHeight="false" outlineLevel="0" collapsed="false">
      <c r="A14" s="0" t="n">
        <f aca="false">Data!AN14</f>
        <v>50.4</v>
      </c>
      <c r="B14" s="0" t="n">
        <f aca="false">INDEX(Data!$K14:$O14,Data!$E14)</f>
        <v>21.6104839207</v>
      </c>
    </row>
    <row r="15" customFormat="false" ht="15" hidden="false" customHeight="false" outlineLevel="0" collapsed="false">
      <c r="A15" s="0" t="n">
        <f aca="false">Data!AN15</f>
        <v>55.1</v>
      </c>
      <c r="B15" s="0" t="n">
        <f aca="false">INDEX(Data!$K15:$O15,Data!$E15)</f>
        <v>69.7173656593</v>
      </c>
    </row>
    <row r="16" customFormat="false" ht="15" hidden="false" customHeight="false" outlineLevel="0" collapsed="false">
      <c r="A16" s="0" t="n">
        <f aca="false">Data!AN16</f>
        <v>67</v>
      </c>
      <c r="B16" s="0" t="n">
        <f aca="false">INDEX(Data!$K16:$O16,Data!$E16)</f>
        <v>26.200359848</v>
      </c>
    </row>
    <row r="17" customFormat="false" ht="15" hidden="false" customHeight="false" outlineLevel="0" collapsed="false">
      <c r="A17" s="0" t="n">
        <f aca="false">Data!AN17</f>
        <v>77.3</v>
      </c>
      <c r="B17" s="0" t="n">
        <f aca="false">INDEX(Data!$K17:$O17,Data!$E17)</f>
        <v>9.37748902604</v>
      </c>
    </row>
    <row r="18" customFormat="false" ht="15" hidden="false" customHeight="false" outlineLevel="0" collapsed="false">
      <c r="A18" s="0" t="n">
        <f aca="false">Data!AN18</f>
        <v>66.8</v>
      </c>
      <c r="B18" s="0" t="n">
        <f aca="false">INDEX(Data!$K18:$O18,Data!$E18)</f>
        <v>38.1557753843</v>
      </c>
    </row>
    <row r="19" customFormat="false" ht="15" hidden="false" customHeight="false" outlineLevel="0" collapsed="false">
      <c r="A19" s="0" t="n">
        <f aca="false">Data!AN19</f>
        <v>78.9</v>
      </c>
      <c r="B19" s="0" t="n">
        <f aca="false">INDEX(Data!$K19:$O19,Data!$E19)</f>
        <v>38.7936775369</v>
      </c>
    </row>
    <row r="20" customFormat="false" ht="15" hidden="false" customHeight="false" outlineLevel="0" collapsed="false">
      <c r="A20" s="0" t="n">
        <f aca="false">Data!AN20</f>
        <v>73.2</v>
      </c>
      <c r="B20" s="0" t="n">
        <f aca="false">INDEX(Data!$K20:$O20,Data!$E20)</f>
        <v>46.8040752298</v>
      </c>
    </row>
    <row r="21" customFormat="false" ht="15" hidden="false" customHeight="false" outlineLevel="0" collapsed="false">
      <c r="A21" s="0" t="n">
        <f aca="false">Data!AN21</f>
        <v>59.6</v>
      </c>
      <c r="B21" s="0" t="n">
        <f aca="false">INDEX(Data!$K21:$O21,Data!$E21)</f>
        <v>53.2522752018</v>
      </c>
    </row>
    <row r="22" customFormat="false" ht="15" hidden="false" customHeight="false" outlineLevel="0" collapsed="false">
      <c r="A22" s="0" t="n">
        <f aca="false">Data!AN22</f>
        <v>51.4</v>
      </c>
      <c r="B22" s="0" t="n">
        <f aca="false">INDEX(Data!$K22:$O22,Data!$E22)</f>
        <v>54.007304003</v>
      </c>
    </row>
    <row r="23" customFormat="false" ht="15" hidden="false" customHeight="false" outlineLevel="0" collapsed="false">
      <c r="A23" s="0" t="n">
        <f aca="false">Data!AN23</f>
        <v>48.5</v>
      </c>
      <c r="B23" s="0" t="n">
        <f aca="false">INDEX(Data!$K23:$O23,Data!$E23)</f>
        <v>48.9775543775</v>
      </c>
    </row>
    <row r="24" customFormat="false" ht="15" hidden="false" customHeight="false" outlineLevel="0" collapsed="false">
      <c r="A24" s="0" t="n">
        <f aca="false">Data!AN24</f>
        <v>73.2</v>
      </c>
      <c r="B24" s="0" t="n">
        <f aca="false">INDEX(Data!$K24:$O24,Data!$E24)</f>
        <v>45.5628625086</v>
      </c>
    </row>
    <row r="25" customFormat="false" ht="15" hidden="false" customHeight="false" outlineLevel="0" collapsed="false">
      <c r="A25" s="0" t="n">
        <f aca="false">Data!AN25</f>
        <v>55.4</v>
      </c>
      <c r="B25" s="0" t="n">
        <f aca="false">INDEX(Data!$K25:$O25,Data!$E25)</f>
        <v>89.8639059474</v>
      </c>
    </row>
    <row r="26" customFormat="false" ht="15" hidden="false" customHeight="false" outlineLevel="0" collapsed="false">
      <c r="A26" s="0" t="n">
        <f aca="false">Data!AN26</f>
        <v>56.1</v>
      </c>
      <c r="B26" s="0" t="n">
        <f aca="false">INDEX(Data!$K26:$O26,Data!$E26)</f>
        <v>59.6178392032</v>
      </c>
    </row>
    <row r="27" customFormat="false" ht="15" hidden="false" customHeight="false" outlineLevel="0" collapsed="false">
      <c r="A27" s="0" t="n">
        <f aca="false">Data!AN27</f>
        <v>61.9</v>
      </c>
      <c r="B27" s="0" t="n">
        <f aca="false">INDEX(Data!$K27:$O27,Data!$E27)</f>
        <v>47.1580326614</v>
      </c>
    </row>
    <row r="28" customFormat="false" ht="15" hidden="false" customHeight="false" outlineLevel="0" collapsed="false">
      <c r="A28" s="0" t="n">
        <f aca="false">Data!AN28</f>
        <v>55.6</v>
      </c>
      <c r="B28" s="0" t="n">
        <f aca="false">INDEX(Data!$K28:$O28,Data!$E28)</f>
        <v>29.3029180417</v>
      </c>
    </row>
    <row r="29" customFormat="false" ht="15" hidden="false" customHeight="false" outlineLevel="0" collapsed="false">
      <c r="A29" s="0" t="n">
        <f aca="false">Data!AN29</f>
        <v>61.8</v>
      </c>
      <c r="B29" s="0" t="n">
        <f aca="false">INDEX(Data!$K29:$O29,Data!$E29)</f>
        <v>0.045034356751</v>
      </c>
    </row>
    <row r="30" customFormat="false" ht="15" hidden="false" customHeight="false" outlineLevel="0" collapsed="false">
      <c r="A30" s="0" t="n">
        <f aca="false">Data!AN30</f>
        <v>65</v>
      </c>
      <c r="B30" s="0" t="n">
        <f aca="false">INDEX(Data!$K30:$O30,Data!$E30)</f>
        <v>2.06870569365</v>
      </c>
    </row>
    <row r="31" customFormat="false" ht="15" hidden="false" customHeight="false" outlineLevel="0" collapsed="false">
      <c r="A31" s="0" t="n">
        <f aca="false">Data!AN31</f>
        <v>64.4</v>
      </c>
      <c r="B31" s="0" t="n">
        <f aca="false">INDEX(Data!$K31:$O31,Data!$E31)</f>
        <v>71.0155942414</v>
      </c>
    </row>
    <row r="32" customFormat="false" ht="15" hidden="false" customHeight="false" outlineLevel="0" collapsed="false">
      <c r="A32" s="0" t="n">
        <f aca="false">Data!AN32</f>
        <v>79.4</v>
      </c>
      <c r="B32" s="0" t="n">
        <f aca="false">INDEX(Data!$K32:$O32,Data!$E32)</f>
        <v>17.6732241201</v>
      </c>
    </row>
    <row r="33" customFormat="false" ht="15" hidden="false" customHeight="false" outlineLevel="0" collapsed="false">
      <c r="A33" s="0" t="n">
        <f aca="false">Data!AN33</f>
        <v>51.4</v>
      </c>
      <c r="B33" s="0" t="n">
        <f aca="false">INDEX(Data!$K33:$O33,Data!$E33)</f>
        <v>16.8131249573</v>
      </c>
    </row>
    <row r="34" customFormat="false" ht="15" hidden="false" customHeight="false" outlineLevel="0" collapsed="false">
      <c r="A34" s="0" t="n">
        <f aca="false">Data!AN34</f>
        <v>64.2</v>
      </c>
      <c r="B34" s="0" t="n">
        <f aca="false">INDEX(Data!$K34:$O34,Data!$E34)</f>
        <v>17.4589187655</v>
      </c>
    </row>
    <row r="35" customFormat="false" ht="15" hidden="false" customHeight="false" outlineLevel="0" collapsed="false">
      <c r="A35" s="0" t="n">
        <f aca="false">Data!AN35</f>
        <v>63.4</v>
      </c>
      <c r="B35" s="0" t="n">
        <f aca="false">INDEX(Data!$K35:$O35,Data!$E35)</f>
        <v>45.2610436572</v>
      </c>
    </row>
    <row r="36" customFormat="false" ht="15" hidden="false" customHeight="false" outlineLevel="0" collapsed="false">
      <c r="A36" s="0" t="n">
        <f aca="false">Data!AN36</f>
        <v>73.6</v>
      </c>
      <c r="B36" s="0" t="n">
        <f aca="false">INDEX(Data!$K36:$O36,Data!$E36)</f>
        <v>12.8758691856</v>
      </c>
    </row>
    <row r="37" customFormat="false" ht="15" hidden="false" customHeight="false" outlineLevel="0" collapsed="false">
      <c r="A37" s="0" t="n">
        <f aca="false">Data!AN37</f>
        <v>82.6</v>
      </c>
      <c r="B37" s="0" t="n">
        <f aca="false">INDEX(Data!$K37:$O37,Data!$E37)</f>
        <v>52.7029956064</v>
      </c>
    </row>
    <row r="38" customFormat="false" ht="15" hidden="false" customHeight="false" outlineLevel="0" collapsed="false">
      <c r="A38" s="0" t="n">
        <f aca="false">Data!AN38</f>
        <v>64.3</v>
      </c>
      <c r="B38" s="0" t="n">
        <f aca="false">INDEX(Data!$K38:$O38,Data!$E38)</f>
        <v>10.3749583789</v>
      </c>
    </row>
    <row r="39" customFormat="false" ht="15" hidden="false" customHeight="false" outlineLevel="0" collapsed="false">
      <c r="A39" s="0" t="n">
        <f aca="false">Data!AN39</f>
        <v>73.2</v>
      </c>
      <c r="B39" s="0" t="n">
        <f aca="false">INDEX(Data!$K39:$O39,Data!$E39)</f>
        <v>9.85758763211</v>
      </c>
    </row>
    <row r="40" customFormat="false" ht="15" hidden="false" customHeight="false" outlineLevel="0" collapsed="false">
      <c r="A40" s="0" t="n">
        <f aca="false">Data!AN40</f>
        <v>54.5</v>
      </c>
      <c r="B40" s="0" t="n">
        <f aca="false">INDEX(Data!$K40:$O40,Data!$E40)</f>
        <v>43.7401564519</v>
      </c>
    </row>
    <row r="41" customFormat="false" ht="15" hidden="false" customHeight="false" outlineLevel="0" collapsed="false">
      <c r="A41" s="0" t="n">
        <f aca="false">Data!AN41</f>
        <v>47.5</v>
      </c>
      <c r="B41" s="0" t="n">
        <f aca="false">INDEX(Data!$K41:$O41,Data!$E41)</f>
        <v>35.4592807934</v>
      </c>
    </row>
    <row r="42" customFormat="false" ht="15" hidden="false" customHeight="false" outlineLevel="0" collapsed="false">
      <c r="A42" s="0" t="n">
        <f aca="false">Data!AN42</f>
        <v>53.7</v>
      </c>
      <c r="B42" s="0" t="n">
        <f aca="false">INDEX(Data!$K42:$O42,Data!$E42)</f>
        <v>29.0599786972</v>
      </c>
    </row>
    <row r="43" customFormat="false" ht="15" hidden="false" customHeight="false" outlineLevel="0" collapsed="false">
      <c r="A43" s="0" t="n">
        <f aca="false">Data!AN43</f>
        <v>59.9</v>
      </c>
      <c r="B43" s="0" t="n">
        <f aca="false">INDEX(Data!$K43:$O43,Data!$E43)</f>
        <v>50.9901514787</v>
      </c>
    </row>
    <row r="44" customFormat="false" ht="15" hidden="false" customHeight="false" outlineLevel="0" collapsed="false">
      <c r="A44" s="0" t="n">
        <f aca="false">Data!AN44</f>
        <v>46.4</v>
      </c>
      <c r="B44" s="0" t="n">
        <f aca="false">INDEX(Data!$K44:$O44,Data!$E44)</f>
        <v>50.0845072825</v>
      </c>
    </row>
    <row r="45" customFormat="false" ht="15" hidden="false" customHeight="false" outlineLevel="0" collapsed="false">
      <c r="A45" s="0" t="n">
        <f aca="false">Data!AN45</f>
        <v>66.3</v>
      </c>
      <c r="B45" s="0" t="n">
        <f aca="false">INDEX(Data!$K45:$O45,Data!$E45)</f>
        <v>34.8144360802</v>
      </c>
    </row>
    <row r="46" customFormat="false" ht="15" hidden="false" customHeight="false" outlineLevel="0" collapsed="false">
      <c r="A46" s="0" t="n">
        <f aca="false">Data!AN46</f>
        <v>66.7</v>
      </c>
      <c r="B46" s="0" t="n">
        <f aca="false">INDEX(Data!$K46:$O46,Data!$E46)</f>
        <v>11.3105437361</v>
      </c>
    </row>
    <row r="47" customFormat="false" ht="15" hidden="false" customHeight="false" outlineLevel="0" collapsed="false">
      <c r="A47" s="0" t="n">
        <f aca="false">Data!AN47</f>
        <v>73.8</v>
      </c>
      <c r="B47" s="0" t="n">
        <f aca="false">INDEX(Data!$K47:$O47,Data!$E47)</f>
        <v>20.6233236997</v>
      </c>
    </row>
    <row r="48" customFormat="false" ht="15" hidden="false" customHeight="false" outlineLevel="0" collapsed="false">
      <c r="A48" s="0" t="n">
        <f aca="false">Data!AN48</f>
        <v>62.2</v>
      </c>
      <c r="B48" s="0" t="n">
        <f aca="false">INDEX(Data!$K48:$O48,Data!$E48)</f>
        <v>3.21916050954</v>
      </c>
    </row>
    <row r="49" customFormat="false" ht="15" hidden="false" customHeight="false" outlineLevel="0" collapsed="false">
      <c r="A49" s="0" t="n">
        <f aca="false">Data!AN49</f>
        <v>51.7</v>
      </c>
      <c r="B49" s="0" t="n">
        <f aca="false">INDEX(Data!$K49:$O49,Data!$E49)</f>
        <v>52.9549013415</v>
      </c>
    </row>
    <row r="50" customFormat="false" ht="15" hidden="false" customHeight="false" outlineLevel="0" collapsed="false">
      <c r="A50" s="0" t="n">
        <f aca="false">Data!AN50</f>
        <v>79.6</v>
      </c>
      <c r="B50" s="0" t="n">
        <f aca="false">INDEX(Data!$K50:$O50,Data!$E50)</f>
        <v>11.4481828454</v>
      </c>
    </row>
    <row r="51" customFormat="false" ht="15" hidden="false" customHeight="false" outlineLevel="0" collapsed="false">
      <c r="A51" s="0" t="n">
        <f aca="false">Data!AN51</f>
        <v>83</v>
      </c>
      <c r="B51" s="0" t="n">
        <f aca="false">INDEX(Data!$K51:$O51,Data!$E51)</f>
        <v>74.9518532885</v>
      </c>
    </row>
    <row r="52" customFormat="false" ht="15" hidden="false" customHeight="false" outlineLevel="0" collapsed="false">
      <c r="A52" s="0" t="n">
        <f aca="false">Data!AN52</f>
        <v>62.7</v>
      </c>
      <c r="B52" s="0" t="n">
        <f aca="false">INDEX(Data!$K52:$O52,Data!$E52)</f>
        <v>34.6640926374</v>
      </c>
    </row>
    <row r="53" customFormat="false" ht="15" hidden="false" customHeight="false" outlineLevel="0" collapsed="false">
      <c r="A53" s="0" t="n">
        <f aca="false">Data!AN53</f>
        <v>62.6</v>
      </c>
      <c r="B53" s="0" t="n">
        <f aca="false">INDEX(Data!$K53:$O53,Data!$E53)</f>
        <v>17.3486643832</v>
      </c>
    </row>
    <row r="54" customFormat="false" ht="15" hidden="false" customHeight="false" outlineLevel="0" collapsed="false">
      <c r="A54" s="0" t="n">
        <f aca="false">Data!AN54</f>
        <v>79.1</v>
      </c>
      <c r="B54" s="0" t="n">
        <f aca="false">INDEX(Data!$K54:$O54,Data!$E54)</f>
        <v>78.1865827371</v>
      </c>
    </row>
    <row r="55" customFormat="false" ht="15" hidden="false" customHeight="false" outlineLevel="0" collapsed="false">
      <c r="A55" s="0" t="n">
        <f aca="false">Data!AN55</f>
        <v>55</v>
      </c>
      <c r="B55" s="0" t="n">
        <f aca="false">INDEX(Data!$K55:$O55,Data!$E55)</f>
        <v>14.3945615702</v>
      </c>
    </row>
    <row r="56" customFormat="false" ht="15" hidden="false" customHeight="false" outlineLevel="0" collapsed="false">
      <c r="A56" s="0" t="n">
        <f aca="false">Data!AN56</f>
        <v>65</v>
      </c>
      <c r="B56" s="0" t="n">
        <f aca="false">INDEX(Data!$K56:$O56,Data!$E56)</f>
        <v>8.41276431395</v>
      </c>
    </row>
    <row r="57" customFormat="false" ht="15" hidden="false" customHeight="false" outlineLevel="0" collapsed="false">
      <c r="A57" s="0" t="n">
        <f aca="false">Data!AN57</f>
        <v>71.4</v>
      </c>
      <c r="B57" s="0" t="n">
        <f aca="false">INDEX(Data!$K57:$O57,Data!$E57)</f>
        <v>2.4298726148</v>
      </c>
    </row>
    <row r="58" customFormat="false" ht="15" hidden="false" customHeight="false" outlineLevel="0" collapsed="false">
      <c r="A58" s="0" t="n">
        <f aca="false">Data!AN58</f>
        <v>55.2</v>
      </c>
      <c r="B58" s="0" t="n">
        <f aca="false">INDEX(Data!$K58:$O58,Data!$E58)</f>
        <v>48.4343210794</v>
      </c>
    </row>
    <row r="59" customFormat="false" ht="15" hidden="false" customHeight="false" outlineLevel="0" collapsed="false">
      <c r="A59" s="0" t="n">
        <f aca="false">Data!AN59</f>
        <v>71</v>
      </c>
      <c r="B59" s="0" t="n">
        <f aca="false">INDEX(Data!$K59:$O59,Data!$E59)</f>
        <v>18.2340373368</v>
      </c>
    </row>
    <row r="60" customFormat="false" ht="15" hidden="false" customHeight="false" outlineLevel="0" collapsed="false">
      <c r="A60" s="0" t="n">
        <f aca="false">Data!AN60</f>
        <v>66.3</v>
      </c>
      <c r="B60" s="0" t="n">
        <f aca="false">INDEX(Data!$K60:$O60,Data!$E60)</f>
        <v>65.0064515829</v>
      </c>
    </row>
    <row r="61" customFormat="false" ht="15" hidden="false" customHeight="false" outlineLevel="0" collapsed="false">
      <c r="A61" s="0" t="n">
        <f aca="false">Data!AN61</f>
        <v>56.1</v>
      </c>
      <c r="B61" s="0" t="n">
        <f aca="false">INDEX(Data!$K61:$O61,Data!$E61)</f>
        <v>39.8968043796</v>
      </c>
    </row>
    <row r="62" customFormat="false" ht="15" hidden="false" customHeight="false" outlineLevel="0" collapsed="false">
      <c r="A62" s="0" t="n">
        <f aca="false">Data!AN62</f>
        <v>71.9</v>
      </c>
      <c r="B62" s="0" t="n">
        <f aca="false">INDEX(Data!$K62:$O62,Data!$E62)</f>
        <v>4.31940516405</v>
      </c>
    </row>
    <row r="63" customFormat="false" ht="15" hidden="false" customHeight="false" outlineLevel="0" collapsed="false">
      <c r="A63" s="0" t="n">
        <f aca="false">Data!AN63</f>
        <v>61.6</v>
      </c>
      <c r="B63" s="0" t="n">
        <f aca="false">INDEX(Data!$K63:$O63,Data!$E63)</f>
        <v>15.8799400843</v>
      </c>
    </row>
    <row r="64" customFormat="false" ht="15" hidden="false" customHeight="false" outlineLevel="0" collapsed="false">
      <c r="A64" s="0" t="n">
        <f aca="false">Data!AN64</f>
        <v>85.7</v>
      </c>
      <c r="B64" s="0" t="n">
        <f aca="false">INDEX(Data!$K64:$O64,Data!$E64)</f>
        <v>45.9051007207</v>
      </c>
    </row>
    <row r="65" customFormat="false" ht="15" hidden="false" customHeight="false" outlineLevel="0" collapsed="false">
      <c r="A65" s="0" t="n">
        <f aca="false">Data!AN65</f>
        <v>77.9</v>
      </c>
      <c r="B65" s="0" t="n">
        <f aca="false">INDEX(Data!$K65:$O65,Data!$E65)</f>
        <v>6.38275697113</v>
      </c>
    </row>
    <row r="66" customFormat="false" ht="15" hidden="false" customHeight="false" outlineLevel="0" collapsed="false">
      <c r="A66" s="0" t="n">
        <f aca="false">Data!AN66</f>
        <v>46.9</v>
      </c>
      <c r="B66" s="0" t="n">
        <f aca="false">INDEX(Data!$K66:$O66,Data!$E66)</f>
        <v>4.98566113708</v>
      </c>
    </row>
    <row r="67" customFormat="false" ht="15" hidden="false" customHeight="false" outlineLevel="0" collapsed="false">
      <c r="A67" s="0" t="n">
        <f aca="false">Data!AN67</f>
        <v>40.7</v>
      </c>
      <c r="B67" s="0" t="n">
        <f aca="false">INDEX(Data!$K67:$O67,Data!$E67)</f>
        <v>82.7746569742</v>
      </c>
    </row>
    <row r="68" customFormat="false" ht="15" hidden="false" customHeight="false" outlineLevel="0" collapsed="false">
      <c r="A68" s="0" t="n">
        <f aca="false">Data!AN68</f>
        <v>60.3</v>
      </c>
      <c r="B68" s="0" t="n">
        <f aca="false">INDEX(Data!$K68:$O68,Data!$E68)</f>
        <v>16.9071514908</v>
      </c>
    </row>
    <row r="69" customFormat="false" ht="15" hidden="false" customHeight="false" outlineLevel="0" collapsed="false">
      <c r="A69" s="0" t="n">
        <f aca="false">Data!AN69</f>
        <v>66.2</v>
      </c>
      <c r="B69" s="0" t="n">
        <f aca="false">INDEX(Data!$K69:$O69,Data!$E69)</f>
        <v>50.9328674792</v>
      </c>
    </row>
    <row r="70" customFormat="false" ht="15" hidden="false" customHeight="false" outlineLevel="0" collapsed="false">
      <c r="A70" s="0" t="n">
        <f aca="false">Data!AN70</f>
        <v>55.2</v>
      </c>
      <c r="B70" s="0" t="n">
        <f aca="false">INDEX(Data!$K70:$O70,Data!$E70)</f>
        <v>56.3226562819</v>
      </c>
    </row>
    <row r="71" customFormat="false" ht="15" hidden="false" customHeight="false" outlineLevel="0" collapsed="false">
      <c r="A71" s="0" t="n">
        <f aca="false">Data!AN71</f>
        <v>61.2</v>
      </c>
      <c r="B71" s="0" t="n">
        <f aca="false">INDEX(Data!$K71:$O71,Data!$E71)</f>
        <v>47.8253884966</v>
      </c>
    </row>
    <row r="72" customFormat="false" ht="15" hidden="false" customHeight="false" outlineLevel="0" collapsed="false">
      <c r="A72" s="0" t="n">
        <f aca="false">Data!AN72</f>
        <v>79.8</v>
      </c>
      <c r="B72" s="0" t="n">
        <f aca="false">INDEX(Data!$K72:$O72,Data!$E72)</f>
        <v>63.6601625024</v>
      </c>
    </row>
    <row r="73" customFormat="false" ht="15" hidden="false" customHeight="false" outlineLevel="0" collapsed="false">
      <c r="A73" s="0" t="n">
        <f aca="false">Data!AN73</f>
        <v>84.2</v>
      </c>
      <c r="B73" s="0" t="n">
        <f aca="false">INDEX(Data!$K73:$O73,Data!$E73)</f>
        <v>3.20732594954</v>
      </c>
    </row>
    <row r="74" customFormat="false" ht="15" hidden="false" customHeight="false" outlineLevel="0" collapsed="false">
      <c r="A74" s="0" t="n">
        <f aca="false">Data!AN74</f>
        <v>40</v>
      </c>
      <c r="B74" s="0" t="n">
        <f aca="false">INDEX(Data!$K74:$O74,Data!$E74)</f>
        <v>14.8179622354</v>
      </c>
    </row>
    <row r="75" customFormat="false" ht="15" hidden="false" customHeight="false" outlineLevel="0" collapsed="false">
      <c r="A75" s="0" t="n">
        <f aca="false">Data!AN75</f>
        <v>76.4</v>
      </c>
      <c r="B75" s="0" t="n">
        <f aca="false">INDEX(Data!$K75:$O75,Data!$E75)</f>
        <v>12.3046025028</v>
      </c>
    </row>
    <row r="76" customFormat="false" ht="15" hidden="false" customHeight="false" outlineLevel="0" collapsed="false">
      <c r="A76" s="0" t="n">
        <f aca="false">Data!AN76</f>
        <v>63.5</v>
      </c>
      <c r="B76" s="0" t="n">
        <f aca="false">INDEX(Data!$K76:$O76,Data!$E76)</f>
        <v>67.7068802377</v>
      </c>
    </row>
    <row r="77" customFormat="false" ht="15" hidden="false" customHeight="false" outlineLevel="0" collapsed="false">
      <c r="A77" s="0" t="n">
        <f aca="false">Data!AN77</f>
        <v>68</v>
      </c>
      <c r="B77" s="0" t="n">
        <f aca="false">INDEX(Data!$K77:$O77,Data!$E77)</f>
        <v>21.4565320443</v>
      </c>
    </row>
    <row r="78" customFormat="false" ht="15" hidden="false" customHeight="false" outlineLevel="0" collapsed="false">
      <c r="A78" s="0" t="n">
        <f aca="false">Data!AN78</f>
        <v>64.7</v>
      </c>
      <c r="B78" s="0" t="n">
        <f aca="false">INDEX(Data!$K78:$O78,Data!$E78)</f>
        <v>3.49130263492</v>
      </c>
    </row>
    <row r="79" customFormat="false" ht="15" hidden="false" customHeight="false" outlineLevel="0" collapsed="false">
      <c r="A79" s="0" t="n">
        <f aca="false">Data!AN79</f>
        <v>48.1</v>
      </c>
      <c r="B79" s="0" t="n">
        <f aca="false">INDEX(Data!$K79:$O79,Data!$E79)</f>
        <v>1.88907534653</v>
      </c>
    </row>
    <row r="80" customFormat="false" ht="15" hidden="false" customHeight="false" outlineLevel="0" collapsed="false">
      <c r="A80" s="0" t="n">
        <f aca="false">Data!AN80</f>
        <v>78</v>
      </c>
      <c r="B80" s="0" t="n">
        <f aca="false">INDEX(Data!$K80:$O80,Data!$E80)</f>
        <v>10.7117932499</v>
      </c>
    </row>
    <row r="81" customFormat="false" ht="15" hidden="false" customHeight="false" outlineLevel="0" collapsed="false">
      <c r="A81" s="0" t="n">
        <f aca="false">Data!AN81</f>
        <v>73.5</v>
      </c>
      <c r="B81" s="0" t="n">
        <f aca="false">INDEX(Data!$K81:$O81,Data!$E81)</f>
        <v>39.8710379398</v>
      </c>
    </row>
    <row r="82" customFormat="false" ht="15" hidden="false" customHeight="false" outlineLevel="0" collapsed="false">
      <c r="A82" s="0" t="n">
        <f aca="false">Data!AN82</f>
        <v>48.4</v>
      </c>
      <c r="B82" s="0" t="n">
        <f aca="false">INDEX(Data!$K82:$O82,Data!$E82)</f>
        <v>9.19285612485</v>
      </c>
    </row>
    <row r="83" customFormat="false" ht="15" hidden="false" customHeight="false" outlineLevel="0" collapsed="false">
      <c r="A83" s="0" t="n">
        <f aca="false">Data!AN83</f>
        <v>51.1</v>
      </c>
      <c r="B83" s="0" t="n">
        <f aca="false">INDEX(Data!$K83:$O83,Data!$E83)</f>
        <v>22.2325404676</v>
      </c>
    </row>
    <row r="84" customFormat="false" ht="15" hidden="false" customHeight="false" outlineLevel="0" collapsed="false">
      <c r="A84" s="0" t="n">
        <f aca="false">Data!AN84</f>
        <v>52.5</v>
      </c>
      <c r="B84" s="0" t="n">
        <f aca="false">INDEX(Data!$K84:$O84,Data!$E84)</f>
        <v>22.6137244101</v>
      </c>
    </row>
    <row r="85" customFormat="false" ht="15" hidden="false" customHeight="false" outlineLevel="0" collapsed="false">
      <c r="A85" s="0" t="n">
        <f aca="false">Data!AN85</f>
        <v>66</v>
      </c>
      <c r="B85" s="0" t="n">
        <f aca="false">INDEX(Data!$K85:$O85,Data!$E85)</f>
        <v>38.2667457594</v>
      </c>
    </row>
    <row r="86" customFormat="false" ht="15" hidden="false" customHeight="false" outlineLevel="0" collapsed="false">
      <c r="A86" s="0" t="n">
        <f aca="false">Data!AN86</f>
        <v>46.4</v>
      </c>
      <c r="B86" s="0" t="n">
        <f aca="false">INDEX(Data!$K86:$O86,Data!$E86)</f>
        <v>37.0727332441</v>
      </c>
    </row>
    <row r="87" customFormat="false" ht="15" hidden="false" customHeight="false" outlineLevel="0" collapsed="false">
      <c r="A87" s="0" t="n">
        <f aca="false">Data!AN87</f>
        <v>58.9</v>
      </c>
      <c r="B87" s="0" t="n">
        <f aca="false">INDEX(Data!$K87:$O87,Data!$E87)</f>
        <v>12.1787752129</v>
      </c>
    </row>
    <row r="88" customFormat="false" ht="15" hidden="false" customHeight="false" outlineLevel="0" collapsed="false">
      <c r="A88" s="0" t="n">
        <f aca="false">Data!AN88</f>
        <v>62.9</v>
      </c>
      <c r="B88" s="0" t="n">
        <f aca="false">INDEX(Data!$K88:$O88,Data!$E88)</f>
        <v>33.1622975198</v>
      </c>
    </row>
    <row r="89" customFormat="false" ht="15" hidden="false" customHeight="false" outlineLevel="0" collapsed="false">
      <c r="A89" s="0" t="n">
        <f aca="false">Data!AN89</f>
        <v>67.5</v>
      </c>
      <c r="B89" s="0" t="n">
        <f aca="false">INDEX(Data!$K89:$O89,Data!$E89)</f>
        <v>60.303061075</v>
      </c>
    </row>
    <row r="90" customFormat="false" ht="15" hidden="false" customHeight="false" outlineLevel="0" collapsed="false">
      <c r="A90" s="0" t="n">
        <f aca="false">Data!AN90</f>
        <v>60.8</v>
      </c>
      <c r="B90" s="0" t="n">
        <f aca="false">INDEX(Data!$K90:$O90,Data!$E90)</f>
        <v>0.299032518516</v>
      </c>
    </row>
    <row r="91" customFormat="false" ht="15" hidden="false" customHeight="false" outlineLevel="0" collapsed="false">
      <c r="A91" s="0" t="n">
        <f aca="false">Data!AN91</f>
        <v>44.9</v>
      </c>
      <c r="B91" s="0" t="n">
        <f aca="false">INDEX(Data!$K91:$O91,Data!$E91)</f>
        <v>74.1351827048</v>
      </c>
    </row>
    <row r="92" customFormat="false" ht="15" hidden="false" customHeight="false" outlineLevel="0" collapsed="false">
      <c r="A92" s="0" t="n">
        <f aca="false">Data!AN92</f>
        <v>60.3</v>
      </c>
      <c r="B92" s="0" t="n">
        <f aca="false">INDEX(Data!$K92:$O92,Data!$E92)</f>
        <v>66.4154961835</v>
      </c>
    </row>
    <row r="93" customFormat="false" ht="15" hidden="false" customHeight="false" outlineLevel="0" collapsed="false">
      <c r="A93" s="0" t="n">
        <f aca="false">Data!AN93</f>
        <v>83</v>
      </c>
      <c r="B93" s="0" t="n">
        <f aca="false">INDEX(Data!$K93:$O93,Data!$E93)</f>
        <v>17.8799731473</v>
      </c>
    </row>
    <row r="94" customFormat="false" ht="15" hidden="false" customHeight="false" outlineLevel="0" collapsed="false">
      <c r="A94" s="0" t="n">
        <f aca="false">Data!AN94</f>
        <v>53.2</v>
      </c>
      <c r="B94" s="0" t="n">
        <f aca="false">INDEX(Data!$K94:$O94,Data!$E94)</f>
        <v>31.9709558683</v>
      </c>
    </row>
    <row r="95" customFormat="false" ht="15" hidden="false" customHeight="false" outlineLevel="0" collapsed="false">
      <c r="A95" s="0" t="n">
        <f aca="false">Data!AN95</f>
        <v>79.9</v>
      </c>
      <c r="B95" s="0" t="n">
        <f aca="false">INDEX(Data!$K95:$O95,Data!$E95)</f>
        <v>39.1113938552</v>
      </c>
    </row>
    <row r="96" customFormat="false" ht="15" hidden="false" customHeight="false" outlineLevel="0" collapsed="false">
      <c r="A96" s="0" t="n">
        <f aca="false">Data!AN96</f>
        <v>74.5</v>
      </c>
      <c r="B96" s="0" t="n">
        <f aca="false">INDEX(Data!$K96:$O96,Data!$E96)</f>
        <v>31.0660104034</v>
      </c>
    </row>
    <row r="97" customFormat="false" ht="15" hidden="false" customHeight="false" outlineLevel="0" collapsed="false">
      <c r="A97" s="0" t="n">
        <f aca="false">Data!AN97</f>
        <v>66.2</v>
      </c>
      <c r="B97" s="0" t="n">
        <f aca="false">INDEX(Data!$K97:$O97,Data!$E97)</f>
        <v>11.2217955673</v>
      </c>
    </row>
    <row r="98" customFormat="false" ht="15" hidden="false" customHeight="false" outlineLevel="0" collapsed="false">
      <c r="A98" s="0" t="n">
        <f aca="false">Data!AN98</f>
        <v>44.3</v>
      </c>
      <c r="B98" s="0" t="n">
        <f aca="false">INDEX(Data!$K98:$O98,Data!$E98)</f>
        <v>6.82382939571</v>
      </c>
    </row>
    <row r="99" customFormat="false" ht="15" hidden="false" customHeight="false" outlineLevel="0" collapsed="false">
      <c r="A99" s="0" t="n">
        <f aca="false">Data!AN99</f>
        <v>47.8</v>
      </c>
      <c r="B99" s="0" t="n">
        <f aca="false">INDEX(Data!$K99:$O99,Data!$E99)</f>
        <v>72.1220730393</v>
      </c>
    </row>
    <row r="100" customFormat="false" ht="15" hidden="false" customHeight="false" outlineLevel="0" collapsed="false">
      <c r="A100" s="0" t="n">
        <f aca="false">Data!AN100</f>
        <v>56.7</v>
      </c>
      <c r="B100" s="0" t="n">
        <f aca="false">INDEX(Data!$K100:$O100,Data!$E100)</f>
        <v>73.8867253768</v>
      </c>
    </row>
    <row r="101" customFormat="false" ht="15" hidden="false" customHeight="false" outlineLevel="0" collapsed="false">
      <c r="A101" s="0" t="n">
        <f aca="false">Data!AN101</f>
        <v>60.7</v>
      </c>
      <c r="B101" s="0" t="n">
        <f aca="false">INDEX(Data!$K101:$O101,Data!$E101)</f>
        <v>57.8717267778</v>
      </c>
    </row>
    <row r="102" customFormat="false" ht="15" hidden="false" customHeight="false" outlineLevel="0" collapsed="false">
      <c r="A102" s="0" t="n">
        <f aca="false">Data!AN102</f>
        <v>46.9</v>
      </c>
      <c r="B102" s="0" t="n">
        <f aca="false">INDEX(Data!$K102:$O102,Data!$E102)</f>
        <v>59.0519165407</v>
      </c>
    </row>
    <row r="103" customFormat="false" ht="15" hidden="false" customHeight="false" outlineLevel="0" collapsed="false">
      <c r="A103" s="0" t="n">
        <f aca="false">Data!AN103</f>
        <v>64.3</v>
      </c>
      <c r="B103" s="0" t="n">
        <f aca="false">INDEX(Data!$K103:$O103,Data!$E103)</f>
        <v>52.584811067</v>
      </c>
    </row>
    <row r="104" customFormat="false" ht="15" hidden="false" customHeight="false" outlineLevel="0" collapsed="false">
      <c r="A104" s="0" t="n">
        <f aca="false">Data!AN104</f>
        <v>65.4</v>
      </c>
      <c r="B104" s="0" t="n">
        <f aca="false">INDEX(Data!$K104:$O104,Data!$E104)</f>
        <v>24.9950275161</v>
      </c>
    </row>
    <row r="105" customFormat="false" ht="15" hidden="false" customHeight="false" outlineLevel="0" collapsed="false">
      <c r="A105" s="0" t="n">
        <f aca="false">Data!AN105</f>
        <v>66.6</v>
      </c>
      <c r="B105" s="0" t="n">
        <f aca="false">INDEX(Data!$K105:$O105,Data!$E105)</f>
        <v>16.5758943158</v>
      </c>
    </row>
    <row r="106" customFormat="false" ht="15" hidden="false" customHeight="false" outlineLevel="0" collapsed="false">
      <c r="A106" s="0" t="n">
        <f aca="false">Data!AN106</f>
        <v>74.5</v>
      </c>
      <c r="B106" s="0" t="n">
        <f aca="false">INDEX(Data!$K106:$O106,Data!$E106)</f>
        <v>39.627151525</v>
      </c>
    </row>
    <row r="107" customFormat="false" ht="15" hidden="false" customHeight="false" outlineLevel="0" collapsed="false">
      <c r="A107" s="0" t="n">
        <f aca="false">Data!AN107</f>
        <v>66.2</v>
      </c>
      <c r="B107" s="0" t="n">
        <f aca="false">INDEX(Data!$K107:$O107,Data!$E107)</f>
        <v>30.0588688773</v>
      </c>
    </row>
    <row r="108" customFormat="false" ht="15" hidden="false" customHeight="false" outlineLevel="0" collapsed="false">
      <c r="A108" s="0" t="n">
        <f aca="false">Data!AN108</f>
        <v>70.4</v>
      </c>
      <c r="B108" s="0" t="n">
        <f aca="false">INDEX(Data!$K108:$O108,Data!$E108)</f>
        <v>9.67398893532</v>
      </c>
    </row>
    <row r="109" customFormat="false" ht="15" hidden="false" customHeight="false" outlineLevel="0" collapsed="false">
      <c r="A109" s="0" t="n">
        <f aca="false">Data!AN109</f>
        <v>72.7</v>
      </c>
      <c r="B109" s="0" t="n">
        <f aca="false">INDEX(Data!$K109:$O109,Data!$E109)</f>
        <v>59.2040614953</v>
      </c>
    </row>
    <row r="110" customFormat="false" ht="15" hidden="false" customHeight="false" outlineLevel="0" collapsed="false">
      <c r="A110" s="0" t="n">
        <f aca="false">Data!AN110</f>
        <v>73.5</v>
      </c>
      <c r="B110" s="0" t="n">
        <f aca="false">INDEX(Data!$K110:$O110,Data!$E110)</f>
        <v>0.862960192799</v>
      </c>
    </row>
    <row r="111" customFormat="false" ht="15" hidden="false" customHeight="false" outlineLevel="0" collapsed="false">
      <c r="A111" s="0" t="n">
        <f aca="false">Data!AN111</f>
        <v>64.7</v>
      </c>
      <c r="B111" s="0" t="n">
        <f aca="false">INDEX(Data!$K111:$O111,Data!$E111)</f>
        <v>56.9320638875</v>
      </c>
    </row>
    <row r="112" customFormat="false" ht="15" hidden="false" customHeight="false" outlineLevel="0" collapsed="false">
      <c r="A112" s="0" t="n">
        <f aca="false">Data!AN112</f>
        <v>69.9</v>
      </c>
      <c r="B112" s="0" t="n">
        <f aca="false">INDEX(Data!$K112:$O112,Data!$E112)</f>
        <v>17.9752660621</v>
      </c>
    </row>
    <row r="113" customFormat="false" ht="15" hidden="false" customHeight="false" outlineLevel="0" collapsed="false">
      <c r="A113" s="0" t="n">
        <f aca="false">Data!AN113</f>
        <v>79</v>
      </c>
      <c r="B113" s="0" t="n">
        <f aca="false">INDEX(Data!$K113:$O113,Data!$E113)</f>
        <v>26.2557123795</v>
      </c>
    </row>
    <row r="114" customFormat="false" ht="15" hidden="false" customHeight="false" outlineLevel="0" collapsed="false">
      <c r="A114" s="0" t="n">
        <f aca="false">Data!AN114</f>
        <v>75.7</v>
      </c>
      <c r="B114" s="0" t="n">
        <f aca="false">INDEX(Data!$K114:$O114,Data!$E114)</f>
        <v>46.7791662166</v>
      </c>
    </row>
    <row r="115" customFormat="false" ht="15" hidden="false" customHeight="false" outlineLevel="0" collapsed="false">
      <c r="A115" s="0" t="n">
        <f aca="false">Data!AN115</f>
        <v>70.8</v>
      </c>
      <c r="B115" s="0" t="n">
        <f aca="false">INDEX(Data!$K115:$O115,Data!$E115)</f>
        <v>41.2352666577</v>
      </c>
    </row>
    <row r="116" customFormat="false" ht="15" hidden="false" customHeight="false" outlineLevel="0" collapsed="false">
      <c r="A116" s="0" t="n">
        <f aca="false">Data!AN116</f>
        <v>61.4</v>
      </c>
      <c r="B116" s="0" t="n">
        <f aca="false">INDEX(Data!$K116:$O116,Data!$E116)</f>
        <v>70.1638186622</v>
      </c>
    </row>
    <row r="117" customFormat="false" ht="15" hidden="false" customHeight="false" outlineLevel="0" collapsed="false">
      <c r="A117" s="0" t="n">
        <f aca="false">Data!AN117</f>
        <v>65.5</v>
      </c>
      <c r="B117" s="0" t="n">
        <f aca="false">INDEX(Data!$K117:$O117,Data!$E117)</f>
        <v>27.983492813</v>
      </c>
    </row>
    <row r="118" customFormat="false" ht="15" hidden="false" customHeight="false" outlineLevel="0" collapsed="false">
      <c r="A118" s="0" t="n">
        <f aca="false">Data!AN118</f>
        <v>50.2</v>
      </c>
      <c r="B118" s="0" t="n">
        <f aca="false">INDEX(Data!$K118:$O118,Data!$E118)</f>
        <v>27.4008777383</v>
      </c>
    </row>
    <row r="119" customFormat="false" ht="15" hidden="false" customHeight="false" outlineLevel="0" collapsed="false">
      <c r="A119" s="0" t="n">
        <f aca="false">Data!AN119</f>
        <v>66.6</v>
      </c>
      <c r="B119" s="0" t="n">
        <f aca="false">INDEX(Data!$K119:$O119,Data!$E119)</f>
        <v>30.4635713505</v>
      </c>
    </row>
    <row r="120" customFormat="false" ht="15" hidden="false" customHeight="false" outlineLevel="0" collapsed="false">
      <c r="A120" s="0" t="n">
        <f aca="false">Data!AN120</f>
        <v>56.6</v>
      </c>
      <c r="B120" s="0" t="n">
        <f aca="false">INDEX(Data!$K120:$O120,Data!$E120)</f>
        <v>37.9472434914</v>
      </c>
    </row>
    <row r="121" customFormat="false" ht="15" hidden="false" customHeight="false" outlineLevel="0" collapsed="false">
      <c r="A121" s="0" t="n">
        <f aca="false">Data!AN121</f>
        <v>72.7</v>
      </c>
      <c r="B121" s="0" t="n">
        <f aca="false">INDEX(Data!$K121:$O121,Data!$E121)</f>
        <v>6.21350342747</v>
      </c>
    </row>
    <row r="122" customFormat="false" ht="15" hidden="false" customHeight="false" outlineLevel="0" collapsed="false">
      <c r="A122" s="0" t="n">
        <f aca="false">Data!AN122</f>
        <v>56.6</v>
      </c>
      <c r="B122" s="0" t="n">
        <f aca="false">INDEX(Data!$K122:$O122,Data!$E122)</f>
        <v>31.2053608312</v>
      </c>
    </row>
    <row r="123" customFormat="false" ht="15" hidden="false" customHeight="false" outlineLevel="0" collapsed="false">
      <c r="A123" s="0" t="n">
        <f aca="false">Data!AN123</f>
        <v>63.2</v>
      </c>
      <c r="B123" s="0" t="n">
        <f aca="false">INDEX(Data!$K123:$O123,Data!$E123)</f>
        <v>28.7261260053</v>
      </c>
    </row>
    <row r="124" customFormat="false" ht="15" hidden="false" customHeight="false" outlineLevel="0" collapsed="false">
      <c r="A124" s="0" t="n">
        <f aca="false">Data!AN124</f>
        <v>54.4</v>
      </c>
      <c r="B124" s="0" t="n">
        <f aca="false">INDEX(Data!$K124:$O124,Data!$E124)</f>
        <v>66.7268029048</v>
      </c>
    </row>
    <row r="125" customFormat="false" ht="15" hidden="false" customHeight="false" outlineLevel="0" collapsed="false">
      <c r="A125" s="0" t="n">
        <f aca="false">Data!AN125</f>
        <v>59.1</v>
      </c>
      <c r="B125" s="0" t="n">
        <f aca="false">INDEX(Data!$K125:$O125,Data!$E125)</f>
        <v>34.8248759401</v>
      </c>
    </row>
    <row r="126" customFormat="false" ht="15" hidden="false" customHeight="false" outlineLevel="0" collapsed="false">
      <c r="A126" s="0" t="n">
        <f aca="false">Data!AN126</f>
        <v>67.7</v>
      </c>
      <c r="B126" s="0" t="n">
        <f aca="false">INDEX(Data!$K126:$O126,Data!$E126)</f>
        <v>72.9384241563</v>
      </c>
    </row>
    <row r="127" customFormat="false" ht="15" hidden="false" customHeight="false" outlineLevel="0" collapsed="false">
      <c r="A127" s="0" t="n">
        <f aca="false">Data!AN127</f>
        <v>53.9</v>
      </c>
      <c r="B127" s="0" t="n">
        <f aca="false">INDEX(Data!$K127:$O127,Data!$E127)</f>
        <v>23.6568908134</v>
      </c>
    </row>
    <row r="128" customFormat="false" ht="15" hidden="false" customHeight="false" outlineLevel="0" collapsed="false">
      <c r="A128" s="0" t="n">
        <f aca="false">Data!AN128</f>
        <v>69.7</v>
      </c>
      <c r="B128" s="0" t="n">
        <f aca="false">INDEX(Data!$K128:$O128,Data!$E128)</f>
        <v>58.9082230689</v>
      </c>
    </row>
    <row r="129" customFormat="false" ht="15" hidden="false" customHeight="false" outlineLevel="0" collapsed="false">
      <c r="A129" s="0" t="n">
        <f aca="false">Data!AN129</f>
        <v>66.9</v>
      </c>
      <c r="B129" s="0" t="n">
        <f aca="false">INDEX(Data!$K129:$O129,Data!$E129)</f>
        <v>58.2241064264</v>
      </c>
    </row>
    <row r="130" customFormat="false" ht="15" hidden="false" customHeight="false" outlineLevel="0" collapsed="false">
      <c r="A130" s="0" t="n">
        <f aca="false">Data!AN130</f>
        <v>57.9</v>
      </c>
      <c r="B130" s="0" t="n">
        <f aca="false">INDEX(Data!$K130:$O130,Data!$E130)</f>
        <v>78.9043237291</v>
      </c>
    </row>
    <row r="131" customFormat="false" ht="15" hidden="false" customHeight="false" outlineLevel="0" collapsed="false">
      <c r="A131" s="0" t="n">
        <f aca="false">Data!AN131</f>
        <v>49.1</v>
      </c>
      <c r="B131" s="0" t="n">
        <f aca="false">INDEX(Data!$K131:$O131,Data!$E131)</f>
        <v>23.1921227804</v>
      </c>
    </row>
    <row r="132" customFormat="false" ht="15" hidden="false" customHeight="false" outlineLevel="0" collapsed="false">
      <c r="A132" s="0" t="n">
        <f aca="false">Data!AN132</f>
        <v>72.3</v>
      </c>
      <c r="B132" s="0" t="n">
        <f aca="false">INDEX(Data!$K132:$O132,Data!$E132)</f>
        <v>7.84646227049</v>
      </c>
    </row>
    <row r="133" customFormat="false" ht="15" hidden="false" customHeight="false" outlineLevel="0" collapsed="false">
      <c r="A133" s="0" t="n">
        <f aca="false">Data!AN133</f>
        <v>67.4</v>
      </c>
      <c r="B133" s="0" t="n">
        <f aca="false">INDEX(Data!$K133:$O133,Data!$E133)</f>
        <v>56.4415904527</v>
      </c>
    </row>
    <row r="134" customFormat="false" ht="15" hidden="false" customHeight="false" outlineLevel="0" collapsed="false">
      <c r="A134" s="0" t="n">
        <f aca="false">Data!AN134</f>
        <v>78.5</v>
      </c>
      <c r="B134" s="0" t="n">
        <f aca="false">INDEX(Data!$K134:$O134,Data!$E134)</f>
        <v>78.5500912386</v>
      </c>
    </row>
    <row r="135" customFormat="false" ht="15" hidden="false" customHeight="false" outlineLevel="0" collapsed="false">
      <c r="A135" s="0" t="n">
        <f aca="false">Data!AN135</f>
        <v>58.7</v>
      </c>
      <c r="B135" s="0" t="n">
        <f aca="false">INDEX(Data!$K135:$O135,Data!$E135)</f>
        <v>10.5546447964</v>
      </c>
    </row>
    <row r="136" customFormat="false" ht="15" hidden="false" customHeight="false" outlineLevel="0" collapsed="false">
      <c r="A136" s="0" t="n">
        <f aca="false">Data!AN136</f>
        <v>66</v>
      </c>
      <c r="B136" s="0" t="n">
        <f aca="false">INDEX(Data!$K136:$O136,Data!$E136)</f>
        <v>39.3828857397</v>
      </c>
    </row>
    <row r="137" customFormat="false" ht="15" hidden="false" customHeight="false" outlineLevel="0" collapsed="false">
      <c r="A137" s="0" t="n">
        <f aca="false">Data!AN137</f>
        <v>68</v>
      </c>
      <c r="B137" s="0" t="n">
        <f aca="false">INDEX(Data!$K137:$O137,Data!$E137)</f>
        <v>19.5077887902</v>
      </c>
    </row>
    <row r="138" customFormat="false" ht="15" hidden="false" customHeight="false" outlineLevel="0" collapsed="false">
      <c r="A138" s="0" t="n">
        <f aca="false">Data!AN138</f>
        <v>62.2</v>
      </c>
      <c r="B138" s="0" t="n">
        <f aca="false">INDEX(Data!$K138:$O138,Data!$E138)</f>
        <v>67.7819762362</v>
      </c>
    </row>
    <row r="139" customFormat="false" ht="15" hidden="false" customHeight="false" outlineLevel="0" collapsed="false">
      <c r="A139" s="0" t="n">
        <f aca="false">Data!AN139</f>
        <v>67.9</v>
      </c>
      <c r="B139" s="0" t="n">
        <f aca="false">INDEX(Data!$K139:$O139,Data!$E139)</f>
        <v>9.54259377538</v>
      </c>
    </row>
    <row r="140" customFormat="false" ht="15" hidden="false" customHeight="false" outlineLevel="0" collapsed="false">
      <c r="A140" s="0" t="n">
        <f aca="false">Data!AN140</f>
        <v>75.7</v>
      </c>
      <c r="B140" s="0" t="n">
        <f aca="false">INDEX(Data!$K140:$O140,Data!$E140)</f>
        <v>36.7917486603</v>
      </c>
    </row>
    <row r="141" customFormat="false" ht="15" hidden="false" customHeight="false" outlineLevel="0" collapsed="false">
      <c r="A141" s="0" t="n">
        <f aca="false">Data!AN141</f>
        <v>64.9</v>
      </c>
      <c r="B141" s="0" t="n">
        <f aca="false">INDEX(Data!$K141:$O141,Data!$E141)</f>
        <v>29.1620206311</v>
      </c>
    </row>
    <row r="142" customFormat="false" ht="15" hidden="false" customHeight="false" outlineLevel="0" collapsed="false">
      <c r="A142" s="0" t="n">
        <f aca="false">Data!AN142</f>
        <v>61</v>
      </c>
      <c r="B142" s="0" t="n">
        <f aca="false">INDEX(Data!$K142:$O142,Data!$E142)</f>
        <v>16.6432048625</v>
      </c>
    </row>
    <row r="143" customFormat="false" ht="15" hidden="false" customHeight="false" outlineLevel="0" collapsed="false">
      <c r="A143" s="0" t="n">
        <f aca="false">Data!AN143</f>
        <v>63.6</v>
      </c>
      <c r="B143" s="0" t="n">
        <f aca="false">INDEX(Data!$K143:$O143,Data!$E143)</f>
        <v>58.7824608701</v>
      </c>
    </row>
    <row r="144" customFormat="false" ht="15" hidden="false" customHeight="false" outlineLevel="0" collapsed="false">
      <c r="A144" s="0" t="n">
        <f aca="false">Data!AN144</f>
        <v>67.2</v>
      </c>
      <c r="B144" s="0" t="n">
        <f aca="false">INDEX(Data!$K144:$O144,Data!$E144)</f>
        <v>23.7734608768</v>
      </c>
    </row>
    <row r="145" customFormat="false" ht="15" hidden="false" customHeight="false" outlineLevel="0" collapsed="false">
      <c r="A145" s="0" t="n">
        <f aca="false">Data!AN145</f>
        <v>58</v>
      </c>
      <c r="B145" s="0" t="n">
        <f aca="false">INDEX(Data!$K145:$O145,Data!$E145)</f>
        <v>16.5317570824</v>
      </c>
    </row>
    <row r="146" customFormat="false" ht="15" hidden="false" customHeight="false" outlineLevel="0" collapsed="false">
      <c r="A146" s="0" t="n">
        <f aca="false">Data!AN146</f>
        <v>57.2</v>
      </c>
      <c r="B146" s="0" t="n">
        <f aca="false">INDEX(Data!$K146:$O146,Data!$E146)</f>
        <v>51.5567374858</v>
      </c>
    </row>
    <row r="147" customFormat="false" ht="15" hidden="false" customHeight="false" outlineLevel="0" collapsed="false">
      <c r="A147" s="0" t="n">
        <f aca="false">Data!AN147</f>
        <v>59.2</v>
      </c>
      <c r="B147" s="0" t="n">
        <f aca="false">INDEX(Data!$K147:$O147,Data!$E147)</f>
        <v>35.045312071</v>
      </c>
    </row>
    <row r="148" customFormat="false" ht="15" hidden="false" customHeight="false" outlineLevel="0" collapsed="false">
      <c r="A148" s="0" t="n">
        <f aca="false">Data!AN148</f>
        <v>65.2</v>
      </c>
      <c r="B148" s="0" t="n">
        <f aca="false">INDEX(Data!$K148:$O148,Data!$E148)</f>
        <v>55.4036679517</v>
      </c>
    </row>
    <row r="149" customFormat="false" ht="15" hidden="false" customHeight="false" outlineLevel="0" collapsed="false">
      <c r="A149" s="0" t="n">
        <f aca="false">Data!AN149</f>
        <v>56.8</v>
      </c>
      <c r="B149" s="0" t="n">
        <f aca="false">INDEX(Data!$K149:$O149,Data!$E149)</f>
        <v>13.5429316113</v>
      </c>
    </row>
    <row r="150" customFormat="false" ht="15" hidden="false" customHeight="false" outlineLevel="0" collapsed="false">
      <c r="A150" s="0" t="n">
        <f aca="false">Data!AN150</f>
        <v>55.3</v>
      </c>
      <c r="B150" s="0" t="n">
        <f aca="false">INDEX(Data!$K150:$O150,Data!$E150)</f>
        <v>14.8850180676</v>
      </c>
    </row>
    <row r="151" customFormat="false" ht="15" hidden="false" customHeight="false" outlineLevel="0" collapsed="false">
      <c r="A151" s="0" t="n">
        <f aca="false">Data!AN151</f>
        <v>76.6</v>
      </c>
      <c r="B151" s="0" t="n">
        <f aca="false">INDEX(Data!$K151:$O151,Data!$E151)</f>
        <v>18.6286286151</v>
      </c>
    </row>
    <row r="152" customFormat="false" ht="15" hidden="false" customHeight="false" outlineLevel="0" collapsed="false">
      <c r="A152" s="0" t="n">
        <f aca="false">Data!AN152</f>
        <v>70.4</v>
      </c>
      <c r="B152" s="0" t="n">
        <f aca="false">INDEX(Data!$K152:$O152,Data!$E152)</f>
        <v>55.4036679517</v>
      </c>
    </row>
    <row r="153" customFormat="false" ht="15" hidden="false" customHeight="false" outlineLevel="0" collapsed="false">
      <c r="A153" s="0" t="n">
        <f aca="false">Data!AN153</f>
        <v>69.7</v>
      </c>
      <c r="B153" s="0" t="n">
        <f aca="false">INDEX(Data!$K153:$O153,Data!$E153)</f>
        <v>2.53422636209</v>
      </c>
    </row>
    <row r="154" customFormat="false" ht="15" hidden="false" customHeight="false" outlineLevel="0" collapsed="false">
      <c r="A154" s="0" t="n">
        <f aca="false">Data!AN154</f>
        <v>70.9</v>
      </c>
      <c r="B154" s="0" t="n">
        <f aca="false">INDEX(Data!$K154:$O154,Data!$E154)</f>
        <v>18.9216375205</v>
      </c>
    </row>
    <row r="155" customFormat="false" ht="15" hidden="false" customHeight="false" outlineLevel="0" collapsed="false">
      <c r="A155" s="0" t="n">
        <f aca="false">Data!AN155</f>
        <v>58.9</v>
      </c>
      <c r="B155" s="0" t="n">
        <f aca="false">INDEX(Data!$K155:$O155,Data!$E155)</f>
        <v>54.1707043016</v>
      </c>
    </row>
    <row r="156" customFormat="false" ht="15" hidden="false" customHeight="false" outlineLevel="0" collapsed="false">
      <c r="A156" s="0" t="n">
        <f aca="false">Data!AN156</f>
        <v>70</v>
      </c>
      <c r="B156" s="0" t="n">
        <f aca="false">INDEX(Data!$K156:$O156,Data!$E156)</f>
        <v>13.8770875395</v>
      </c>
    </row>
    <row r="157" customFormat="false" ht="15" hidden="false" customHeight="false" outlineLevel="0" collapsed="false">
      <c r="A157" s="0" t="n">
        <f aca="false">Data!AN157</f>
        <v>69.5</v>
      </c>
      <c r="B157" s="0" t="n">
        <f aca="false">INDEX(Data!$K157:$O157,Data!$E157)</f>
        <v>49.7868206842</v>
      </c>
    </row>
    <row r="158" customFormat="false" ht="15" hidden="false" customHeight="false" outlineLevel="0" collapsed="false">
      <c r="A158" s="0" t="n">
        <f aca="false">Data!AN158</f>
        <v>65.7</v>
      </c>
      <c r="B158" s="0" t="n">
        <f aca="false">INDEX(Data!$K158:$O158,Data!$E158)</f>
        <v>40.2155663984</v>
      </c>
    </row>
    <row r="159" customFormat="false" ht="15" hidden="false" customHeight="false" outlineLevel="0" collapsed="false">
      <c r="A159" s="0" t="n">
        <f aca="false">Data!AN159</f>
        <v>61.1</v>
      </c>
      <c r="B159" s="0" t="n">
        <f aca="false">INDEX(Data!$K159:$O159,Data!$E159)</f>
        <v>30.0750224151</v>
      </c>
    </row>
    <row r="160" customFormat="false" ht="15" hidden="false" customHeight="false" outlineLevel="0" collapsed="false">
      <c r="A160" s="0" t="n">
        <f aca="false">Data!AN160</f>
        <v>67.3</v>
      </c>
      <c r="B160" s="0" t="n">
        <f aca="false">INDEX(Data!$K160:$O160,Data!$E160)</f>
        <v>21.2219441053</v>
      </c>
    </row>
    <row r="161" customFormat="false" ht="15" hidden="false" customHeight="false" outlineLevel="0" collapsed="false">
      <c r="A161" s="0" t="n">
        <f aca="false">Data!AN161</f>
        <v>74.2</v>
      </c>
      <c r="B161" s="0" t="n">
        <f aca="false">INDEX(Data!$K161:$O161,Data!$E161)</f>
        <v>16.5030533974</v>
      </c>
    </row>
    <row r="162" customFormat="false" ht="15" hidden="false" customHeight="false" outlineLevel="0" collapsed="false">
      <c r="A162" s="0" t="n">
        <f aca="false">Data!AN162</f>
        <v>73.7</v>
      </c>
      <c r="B162" s="0" t="n">
        <f aca="false">INDEX(Data!$K162:$O162,Data!$E162)</f>
        <v>12.1601884907</v>
      </c>
    </row>
    <row r="163" customFormat="false" ht="15" hidden="false" customHeight="false" outlineLevel="0" collapsed="false">
      <c r="A163" s="0" t="n">
        <f aca="false">Data!AN163</f>
        <v>69.1</v>
      </c>
      <c r="B163" s="0" t="n">
        <f aca="false">INDEX(Data!$K163:$O163,Data!$E163)</f>
        <v>8.12848304478</v>
      </c>
    </row>
    <row r="164" customFormat="false" ht="15" hidden="false" customHeight="false" outlineLevel="0" collapsed="false">
      <c r="A164" s="0" t="n">
        <f aca="false">Data!AN164</f>
        <v>63.9</v>
      </c>
      <c r="B164" s="0" t="n">
        <f aca="false">INDEX(Data!$K164:$O164,Data!$E164)</f>
        <v>22.6778895821</v>
      </c>
    </row>
    <row r="165" customFormat="false" ht="15" hidden="false" customHeight="false" outlineLevel="0" collapsed="false">
      <c r="A165" s="0" t="n">
        <f aca="false">Data!AN165</f>
        <v>61.6</v>
      </c>
      <c r="B165" s="0" t="n">
        <f aca="false">INDEX(Data!$K165:$O165,Data!$E165)</f>
        <v>66.8615852662</v>
      </c>
    </row>
    <row r="166" customFormat="false" ht="15" hidden="false" customHeight="false" outlineLevel="0" collapsed="false">
      <c r="A166" s="0" t="n">
        <f aca="false">Data!AN166</f>
        <v>63.4</v>
      </c>
      <c r="B166" s="0" t="n">
        <f aca="false">INDEX(Data!$K166:$O166,Data!$E166)</f>
        <v>26.06915181</v>
      </c>
    </row>
    <row r="167" customFormat="false" ht="15" hidden="false" customHeight="false" outlineLevel="0" collapsed="false">
      <c r="A167" s="0" t="n">
        <f aca="false">Data!AN167</f>
        <v>65.6</v>
      </c>
      <c r="B167" s="0" t="n">
        <f aca="false">INDEX(Data!$K167:$O167,Data!$E167)</f>
        <v>68.8437686068</v>
      </c>
    </row>
    <row r="168" customFormat="false" ht="15" hidden="false" customHeight="false" outlineLevel="0" collapsed="false">
      <c r="A168" s="0" t="n">
        <f aca="false">Data!AN168</f>
        <v>68.3</v>
      </c>
      <c r="B168" s="0" t="n">
        <f aca="false">INDEX(Data!$K168:$O168,Data!$E168)</f>
        <v>63.9742545321</v>
      </c>
    </row>
    <row r="169" customFormat="false" ht="15" hidden="false" customHeight="false" outlineLevel="0" collapsed="false">
      <c r="A169" s="0" t="n">
        <f aca="false">Data!AN169</f>
        <v>49.4</v>
      </c>
      <c r="B169" s="0" t="n">
        <f aca="false">INDEX(Data!$K169:$O169,Data!$E169)</f>
        <v>57.8776851595</v>
      </c>
    </row>
    <row r="170" customFormat="false" ht="15" hidden="false" customHeight="false" outlineLevel="0" collapsed="false">
      <c r="A170" s="0" t="n">
        <f aca="false">Data!AN170</f>
        <v>52.8</v>
      </c>
      <c r="B170" s="0" t="n">
        <f aca="false">INDEX(Data!$K170:$O170,Data!$E170)</f>
        <v>11.468993128</v>
      </c>
    </row>
    <row r="171" customFormat="false" ht="15" hidden="false" customHeight="false" outlineLevel="0" collapsed="false">
      <c r="A171" s="0" t="n">
        <f aca="false">Data!AN171</f>
        <v>55.1</v>
      </c>
      <c r="B171" s="0" t="n">
        <f aca="false">INDEX(Data!$K171:$O171,Data!$E171)</f>
        <v>49.997349281</v>
      </c>
    </row>
    <row r="172" customFormat="false" ht="15" hidden="false" customHeight="false" outlineLevel="0" collapsed="false">
      <c r="A172" s="0" t="n">
        <f aca="false">Data!AN172</f>
        <v>67.4</v>
      </c>
      <c r="B172" s="0" t="n">
        <f aca="false">INDEX(Data!$K172:$O172,Data!$E172)</f>
        <v>7.92211591068</v>
      </c>
    </row>
    <row r="173" customFormat="false" ht="15" hidden="false" customHeight="false" outlineLevel="0" collapsed="false">
      <c r="A173" s="0" t="n">
        <f aca="false">Data!AN173</f>
        <v>71.1</v>
      </c>
      <c r="B173" s="0" t="n">
        <f aca="false">INDEX(Data!$K173:$O173,Data!$E173)</f>
        <v>99.651922274</v>
      </c>
    </row>
    <row r="174" customFormat="false" ht="15" hidden="false" customHeight="false" outlineLevel="0" collapsed="false">
      <c r="A174" s="0" t="n">
        <f aca="false">Data!AN174</f>
        <v>50.7</v>
      </c>
      <c r="B174" s="0" t="n">
        <f aca="false">INDEX(Data!$K174:$O174,Data!$E174)</f>
        <v>25.122133999</v>
      </c>
    </row>
    <row r="175" customFormat="false" ht="15" hidden="false" customHeight="false" outlineLevel="0" collapsed="false">
      <c r="A175" s="0" t="n">
        <f aca="false">Data!AN175</f>
        <v>60.6</v>
      </c>
      <c r="B175" s="0" t="n">
        <f aca="false">INDEX(Data!$K175:$O175,Data!$E175)</f>
        <v>24.2629906997</v>
      </c>
    </row>
    <row r="176" customFormat="false" ht="15" hidden="false" customHeight="false" outlineLevel="0" collapsed="false">
      <c r="A176" s="0" t="n">
        <f aca="false">Data!AN176</f>
        <v>65.1</v>
      </c>
      <c r="B176" s="0" t="n">
        <f aca="false">INDEX(Data!$K176:$O176,Data!$E176)</f>
        <v>45.3076793362</v>
      </c>
    </row>
    <row r="177" customFormat="false" ht="15" hidden="false" customHeight="false" outlineLevel="0" collapsed="false">
      <c r="A177" s="0" t="n">
        <f aca="false">Data!AN177</f>
        <v>54</v>
      </c>
      <c r="B177" s="0" t="n">
        <f aca="false">INDEX(Data!$K177:$O177,Data!$E177)</f>
        <v>0.628184800854</v>
      </c>
    </row>
    <row r="178" customFormat="false" ht="15" hidden="false" customHeight="false" outlineLevel="0" collapsed="false">
      <c r="A178" s="0" t="n">
        <f aca="false">Data!AN178</f>
        <v>66.3</v>
      </c>
      <c r="B178" s="0" t="n">
        <f aca="false">INDEX(Data!$K178:$O178,Data!$E178)</f>
        <v>37.8310445583</v>
      </c>
    </row>
    <row r="179" customFormat="false" ht="15" hidden="false" customHeight="false" outlineLevel="0" collapsed="false">
      <c r="A179" s="0" t="n">
        <f aca="false">Data!AN179</f>
        <v>61.2</v>
      </c>
      <c r="B179" s="0" t="n">
        <f aca="false">INDEX(Data!$K179:$O179,Data!$E179)</f>
        <v>72.5918863387</v>
      </c>
    </row>
    <row r="180" customFormat="false" ht="15" hidden="false" customHeight="false" outlineLevel="0" collapsed="false">
      <c r="A180" s="0" t="n">
        <f aca="false">Data!AN180</f>
        <v>68.4</v>
      </c>
      <c r="B180" s="0" t="n">
        <f aca="false">INDEX(Data!$K180:$O180,Data!$E180)</f>
        <v>28.4792082361</v>
      </c>
    </row>
    <row r="181" customFormat="false" ht="15" hidden="false" customHeight="false" outlineLevel="0" collapsed="false">
      <c r="A181" s="0" t="n">
        <f aca="false">Data!AN181</f>
        <v>66.1</v>
      </c>
      <c r="B181" s="0" t="n">
        <f aca="false">INDEX(Data!$K181:$O181,Data!$E181)</f>
        <v>94.381590471</v>
      </c>
    </row>
    <row r="182" customFormat="false" ht="15" hidden="false" customHeight="false" outlineLevel="0" collapsed="false">
      <c r="A182" s="0" t="n">
        <f aca="false">Data!AN182</f>
        <v>57.8</v>
      </c>
      <c r="B182" s="0" t="n">
        <f aca="false">INDEX(Data!$K182:$O182,Data!$E182)</f>
        <v>59.9127911815</v>
      </c>
    </row>
    <row r="183" customFormat="false" ht="15" hidden="false" customHeight="false" outlineLevel="0" collapsed="false">
      <c r="A183" s="0" t="n">
        <f aca="false">Data!AN183</f>
        <v>58.2</v>
      </c>
      <c r="B183" s="0" t="n">
        <f aca="false">INDEX(Data!$K183:$O183,Data!$E183)</f>
        <v>82.6735762475</v>
      </c>
    </row>
    <row r="184" customFormat="false" ht="15" hidden="false" customHeight="false" outlineLevel="0" collapsed="false">
      <c r="A184" s="0" t="n">
        <f aca="false">Data!AN184</f>
        <v>73.3</v>
      </c>
      <c r="B184" s="0" t="n">
        <f aca="false">INDEX(Data!$K184:$O184,Data!$E184)</f>
        <v>38.9757990599</v>
      </c>
    </row>
    <row r="185" customFormat="false" ht="15" hidden="false" customHeight="false" outlineLevel="0" collapsed="false">
      <c r="A185" s="0" t="n">
        <f aca="false">Data!AN185</f>
        <v>79.3</v>
      </c>
      <c r="B185" s="0" t="n">
        <f aca="false">INDEX(Data!$K185:$O185,Data!$E185)</f>
        <v>18.908654917</v>
      </c>
    </row>
    <row r="186" customFormat="false" ht="15" hidden="false" customHeight="false" outlineLevel="0" collapsed="false">
      <c r="A186" s="0" t="n">
        <f aca="false">Data!AN186</f>
        <v>75.2</v>
      </c>
      <c r="B186" s="0" t="n">
        <f aca="false">INDEX(Data!$K186:$O186,Data!$E186)</f>
        <v>23.0594728459</v>
      </c>
    </row>
    <row r="187" customFormat="false" ht="15" hidden="false" customHeight="false" outlineLevel="0" collapsed="false">
      <c r="A187" s="0" t="n">
        <f aca="false">Data!AN187</f>
        <v>67</v>
      </c>
      <c r="B187" s="0" t="n">
        <f aca="false">INDEX(Data!$K187:$O187,Data!$E187)</f>
        <v>16.3147307978</v>
      </c>
    </row>
    <row r="188" customFormat="false" ht="15" hidden="false" customHeight="false" outlineLevel="0" collapsed="false">
      <c r="A188" s="0" t="n">
        <f aca="false">Data!AN188</f>
        <v>68.2</v>
      </c>
      <c r="B188" s="0" t="n">
        <f aca="false">INDEX(Data!$K188:$O188,Data!$E188)</f>
        <v>34.1023712124</v>
      </c>
    </row>
    <row r="189" customFormat="false" ht="15" hidden="false" customHeight="false" outlineLevel="0" collapsed="false">
      <c r="A189" s="0" t="n">
        <f aca="false">Data!AN189</f>
        <v>50.4</v>
      </c>
      <c r="B189" s="0" t="n">
        <f aca="false">INDEX(Data!$K189:$O189,Data!$E189)</f>
        <v>95.7370416928</v>
      </c>
    </row>
    <row r="190" customFormat="false" ht="15" hidden="false" customHeight="false" outlineLevel="0" collapsed="false">
      <c r="A190" s="0" t="n">
        <f aca="false">Data!AN190</f>
        <v>53</v>
      </c>
      <c r="B190" s="0" t="n">
        <f aca="false">INDEX(Data!$K190:$O190,Data!$E190)</f>
        <v>41.2488839969</v>
      </c>
    </row>
    <row r="191" customFormat="false" ht="15" hidden="false" customHeight="false" outlineLevel="0" collapsed="false">
      <c r="A191" s="0" t="n">
        <f aca="false">Data!AN191</f>
        <v>65.8</v>
      </c>
      <c r="B191" s="0" t="n">
        <f aca="false">INDEX(Data!$K191:$O191,Data!$E191)</f>
        <v>64.5241328732</v>
      </c>
    </row>
    <row r="192" customFormat="false" ht="15" hidden="false" customHeight="false" outlineLevel="0" collapsed="false">
      <c r="A192" s="0" t="n">
        <f aca="false">Data!AN192</f>
        <v>74.3</v>
      </c>
      <c r="B192" s="0" t="n">
        <f aca="false">INDEX(Data!$K192:$O192,Data!$E192)</f>
        <v>20.7720020744</v>
      </c>
    </row>
    <row r="193" customFormat="false" ht="15" hidden="false" customHeight="false" outlineLevel="0" collapsed="false">
      <c r="A193" s="0" t="n">
        <f aca="false">Data!AN193</f>
        <v>46.9</v>
      </c>
      <c r="B193" s="0" t="n">
        <f aca="false">INDEX(Data!$K193:$O193,Data!$E193)</f>
        <v>74.6369143011</v>
      </c>
    </row>
    <row r="194" customFormat="false" ht="15" hidden="false" customHeight="false" outlineLevel="0" collapsed="false">
      <c r="A194" s="0" t="n">
        <f aca="false">Data!AN194</f>
        <v>52.8</v>
      </c>
      <c r="B194" s="0" t="n">
        <f aca="false">INDEX(Data!$K194:$O194,Data!$E194)</f>
        <v>26.9857319936</v>
      </c>
    </row>
    <row r="195" customFormat="false" ht="15" hidden="false" customHeight="false" outlineLevel="0" collapsed="false">
      <c r="A195" s="0" t="n">
        <f aca="false">Data!AN195</f>
        <v>67.6</v>
      </c>
      <c r="B195" s="0" t="n">
        <f aca="false">INDEX(Data!$K195:$O195,Data!$E195)</f>
        <v>16.950697274</v>
      </c>
    </row>
    <row r="196" customFormat="false" ht="15" hidden="false" customHeight="false" outlineLevel="0" collapsed="false">
      <c r="A196" s="0" t="n">
        <f aca="false">Data!AN196</f>
        <v>57.2</v>
      </c>
      <c r="B196" s="0" t="n">
        <f aca="false">INDEX(Data!$K196:$O196,Data!$E196)</f>
        <v>55.1384034909</v>
      </c>
    </row>
    <row r="197" customFormat="false" ht="15" hidden="false" customHeight="false" outlineLevel="0" collapsed="false">
      <c r="A197" s="0" t="n">
        <f aca="false">Data!AN197</f>
        <v>69.3</v>
      </c>
      <c r="B197" s="0" t="n">
        <f aca="false">INDEX(Data!$K197:$O197,Data!$E197)</f>
        <v>1.00918883409</v>
      </c>
    </row>
    <row r="198" customFormat="false" ht="15" hidden="false" customHeight="false" outlineLevel="0" collapsed="false">
      <c r="A198" s="0" t="n">
        <f aca="false">Data!AN198</f>
        <v>52.3</v>
      </c>
      <c r="B198" s="0" t="n">
        <f aca="false">INDEX(Data!$K198:$O198,Data!$E198)</f>
        <v>69.3650330851</v>
      </c>
    </row>
    <row r="199" customFormat="false" ht="15" hidden="false" customHeight="false" outlineLevel="0" collapsed="false">
      <c r="A199" s="0" t="n">
        <f aca="false">Data!AN199</f>
        <v>68.6</v>
      </c>
      <c r="B199" s="0" t="n">
        <f aca="false">INDEX(Data!$K199:$O199,Data!$E199)</f>
        <v>25.411720817</v>
      </c>
    </row>
    <row r="200" customFormat="false" ht="15" hidden="false" customHeight="false" outlineLevel="0" collapsed="false">
      <c r="A200" s="0" t="n">
        <f aca="false">Data!AN200</f>
        <v>52.8</v>
      </c>
      <c r="B200" s="0" t="n">
        <f aca="false">INDEX(Data!$K200:$O200,Data!$E200)</f>
        <v>59.4945981332</v>
      </c>
    </row>
    <row r="201" customFormat="false" ht="15" hidden="false" customHeight="false" outlineLevel="0" collapsed="false">
      <c r="A201" s="0" t="n">
        <f aca="false">Data!AN201</f>
        <v>60.8</v>
      </c>
      <c r="B201" s="0" t="n">
        <f aca="false">INDEX(Data!$K201:$O201,Data!$E201)</f>
        <v>3.5015988639</v>
      </c>
    </row>
    <row r="202" customFormat="false" ht="15" hidden="false" customHeight="false" outlineLevel="0" collapsed="false">
      <c r="A202" s="0" t="n">
        <f aca="false">Data!AN202</f>
        <v>54</v>
      </c>
      <c r="B202" s="0" t="n">
        <f aca="false">INDEX(Data!$K202:$O202,Data!$E202)</f>
        <v>8.58947830243</v>
      </c>
    </row>
    <row r="203" customFormat="false" ht="15" hidden="false" customHeight="false" outlineLevel="0" collapsed="false">
      <c r="A203" s="0" t="n">
        <f aca="false">Data!AN203</f>
        <v>76</v>
      </c>
      <c r="B203" s="0" t="n">
        <f aca="false">INDEX(Data!$K203:$O203,Data!$E203)</f>
        <v>16.9719365591</v>
      </c>
    </row>
    <row r="204" customFormat="false" ht="15" hidden="false" customHeight="false" outlineLevel="0" collapsed="false">
      <c r="A204" s="0" t="n">
        <f aca="false">Data!AN204</f>
        <v>75.7</v>
      </c>
      <c r="B204" s="0" t="n">
        <f aca="false">INDEX(Data!$K204:$O204,Data!$E204)</f>
        <v>21.9105066719</v>
      </c>
    </row>
    <row r="205" customFormat="false" ht="15" hidden="false" customHeight="false" outlineLevel="0" collapsed="false">
      <c r="A205" s="0" t="n">
        <f aca="false">Data!AN205</f>
        <v>53.4</v>
      </c>
      <c r="B205" s="0" t="n">
        <f aca="false">INDEX(Data!$K205:$O205,Data!$E205)</f>
        <v>17.1386066352</v>
      </c>
    </row>
    <row r="206" customFormat="false" ht="15" hidden="false" customHeight="false" outlineLevel="0" collapsed="false">
      <c r="A206" s="0" t="n">
        <f aca="false">Data!AN206</f>
        <v>65</v>
      </c>
      <c r="B206" s="0" t="n">
        <f aca="false">INDEX(Data!$K206:$O206,Data!$E206)</f>
        <v>25.0376223215</v>
      </c>
    </row>
    <row r="207" customFormat="false" ht="15" hidden="false" customHeight="false" outlineLevel="0" collapsed="false">
      <c r="A207" s="0" t="n">
        <f aca="false">Data!AN207</f>
        <v>77.8</v>
      </c>
      <c r="B207" s="0" t="n">
        <f aca="false">INDEX(Data!$K207:$O207,Data!$E207)</f>
        <v>28.9814754367</v>
      </c>
    </row>
    <row r="208" customFormat="false" ht="15" hidden="false" customHeight="false" outlineLevel="0" collapsed="false">
      <c r="A208" s="0" t="n">
        <f aca="false">Data!AN208</f>
        <v>75</v>
      </c>
      <c r="B208" s="0" t="n">
        <f aca="false">INDEX(Data!$K208:$O208,Data!$E208)</f>
        <v>21.9339941691</v>
      </c>
    </row>
    <row r="209" customFormat="false" ht="15" hidden="false" customHeight="false" outlineLevel="0" collapsed="false">
      <c r="A209" s="0" t="n">
        <f aca="false">Data!AN209</f>
        <v>46.1</v>
      </c>
      <c r="B209" s="0" t="n">
        <f aca="false">INDEX(Data!$K209:$O209,Data!$E209)</f>
        <v>48.6384179979</v>
      </c>
    </row>
    <row r="210" customFormat="false" ht="15" hidden="false" customHeight="false" outlineLevel="0" collapsed="false">
      <c r="A210" s="0" t="n">
        <f aca="false">Data!AN210</f>
        <v>62</v>
      </c>
      <c r="B210" s="0" t="n">
        <f aca="false">INDEX(Data!$K210:$O210,Data!$E210)</f>
        <v>53.4428813797</v>
      </c>
    </row>
    <row r="211" customFormat="false" ht="15" hidden="false" customHeight="false" outlineLevel="0" collapsed="false">
      <c r="A211" s="0" t="n">
        <f aca="false">Data!AN211</f>
        <v>56.6</v>
      </c>
      <c r="B211" s="0" t="n">
        <f aca="false">INDEX(Data!$K211:$O211,Data!$E211)</f>
        <v>36.6912979826</v>
      </c>
    </row>
    <row r="212" customFormat="false" ht="15" hidden="false" customHeight="false" outlineLevel="0" collapsed="false">
      <c r="A212" s="0" t="n">
        <f aca="false">Data!AN212</f>
        <v>60.6</v>
      </c>
      <c r="B212" s="0" t="n">
        <f aca="false">INDEX(Data!$K212:$O212,Data!$E212)</f>
        <v>55.9224333555</v>
      </c>
    </row>
    <row r="213" customFormat="false" ht="15" hidden="false" customHeight="false" outlineLevel="0" collapsed="false">
      <c r="A213" s="0" t="n">
        <f aca="false">Data!AN213</f>
        <v>65.7</v>
      </c>
      <c r="B213" s="0" t="n">
        <f aca="false">INDEX(Data!$K213:$O213,Data!$E213)</f>
        <v>42.6867440362</v>
      </c>
    </row>
    <row r="214" customFormat="false" ht="15" hidden="false" customHeight="false" outlineLevel="0" collapsed="false">
      <c r="A214" s="0" t="n">
        <f aca="false">Data!AN214</f>
        <v>55.7</v>
      </c>
      <c r="B214" s="0" t="n">
        <f aca="false">INDEX(Data!$K214:$O214,Data!$E214)</f>
        <v>21.7484267573</v>
      </c>
    </row>
    <row r="215" customFormat="false" ht="15" hidden="false" customHeight="false" outlineLevel="0" collapsed="false">
      <c r="A215" s="0" t="n">
        <f aca="false">Data!AN215</f>
        <v>74.6</v>
      </c>
      <c r="B215" s="0" t="n">
        <f aca="false">INDEX(Data!$K215:$O215,Data!$E215)</f>
        <v>12.7998636891</v>
      </c>
    </row>
    <row r="216" customFormat="false" ht="15" hidden="false" customHeight="false" outlineLevel="0" collapsed="false">
      <c r="A216" s="0" t="n">
        <f aca="false">Data!AN216</f>
        <v>57.3</v>
      </c>
      <c r="B216" s="0" t="n">
        <f aca="false">INDEX(Data!$K216:$O216,Data!$E216)</f>
        <v>13.1132868555</v>
      </c>
    </row>
    <row r="217" customFormat="false" ht="15" hidden="false" customHeight="false" outlineLevel="0" collapsed="false">
      <c r="A217" s="0" t="n">
        <f aca="false">Data!AN217</f>
        <v>75.4</v>
      </c>
      <c r="B217" s="0" t="n">
        <f aca="false">INDEX(Data!$K217:$O217,Data!$E217)</f>
        <v>25.4937514265</v>
      </c>
    </row>
    <row r="218" customFormat="false" ht="15" hidden="false" customHeight="false" outlineLevel="0" collapsed="false">
      <c r="A218" s="0" t="n">
        <f aca="false">Data!AN218</f>
        <v>70.1</v>
      </c>
      <c r="B218" s="0" t="n">
        <f aca="false">INDEX(Data!$K218:$O218,Data!$E218)</f>
        <v>37.6983913305</v>
      </c>
    </row>
    <row r="219" customFormat="false" ht="15" hidden="false" customHeight="false" outlineLevel="0" collapsed="false">
      <c r="A219" s="0" t="n">
        <f aca="false">Data!AN219</f>
        <v>71.5</v>
      </c>
      <c r="B219" s="0" t="n">
        <f aca="false">INDEX(Data!$K219:$O219,Data!$E219)</f>
        <v>16.9565426969</v>
      </c>
    </row>
    <row r="220" customFormat="false" ht="15" hidden="false" customHeight="false" outlineLevel="0" collapsed="false">
      <c r="A220" s="0" t="n">
        <f aca="false">Data!AN220</f>
        <v>77.5</v>
      </c>
      <c r="B220" s="0" t="n">
        <f aca="false">INDEX(Data!$K220:$O220,Data!$E220)</f>
        <v>17.1573922457</v>
      </c>
    </row>
    <row r="221" customFormat="false" ht="15" hidden="false" customHeight="false" outlineLevel="0" collapsed="false">
      <c r="A221" s="0" t="n">
        <f aca="false">Data!AN221</f>
        <v>61.2</v>
      </c>
      <c r="B221" s="0" t="n">
        <f aca="false">INDEX(Data!$K221:$O221,Data!$E221)</f>
        <v>38.5681103778</v>
      </c>
    </row>
    <row r="222" customFormat="false" ht="15" hidden="false" customHeight="false" outlineLevel="0" collapsed="false">
      <c r="A222" s="0" t="n">
        <f aca="false">Data!AN222</f>
        <v>48.4</v>
      </c>
      <c r="B222" s="0" t="n">
        <f aca="false">INDEX(Data!$K222:$O222,Data!$E222)</f>
        <v>0.182258788459</v>
      </c>
    </row>
    <row r="223" customFormat="false" ht="15" hidden="false" customHeight="false" outlineLevel="0" collapsed="false">
      <c r="A223" s="0" t="n">
        <f aca="false">Data!AN223</f>
        <v>57.3</v>
      </c>
      <c r="B223" s="0" t="n">
        <f aca="false">INDEX(Data!$K223:$O223,Data!$E223)</f>
        <v>4.03712231468</v>
      </c>
    </row>
    <row r="224" customFormat="false" ht="15" hidden="false" customHeight="false" outlineLevel="0" collapsed="false">
      <c r="A224" s="0" t="n">
        <f aca="false">Data!AN224</f>
        <v>73.7</v>
      </c>
      <c r="B224" s="0" t="n">
        <f aca="false">INDEX(Data!$K224:$O224,Data!$E224)</f>
        <v>27.3482022729</v>
      </c>
    </row>
    <row r="225" customFormat="false" ht="15" hidden="false" customHeight="false" outlineLevel="0" collapsed="false">
      <c r="A225" s="0" t="n">
        <f aca="false">Data!AN225</f>
        <v>60.3</v>
      </c>
      <c r="B225" s="0" t="n">
        <f aca="false">INDEX(Data!$K225:$O225,Data!$E225)</f>
        <v>2.25940977203</v>
      </c>
    </row>
    <row r="226" customFormat="false" ht="15" hidden="false" customHeight="false" outlineLevel="0" collapsed="false">
      <c r="A226" s="0" t="n">
        <f aca="false">Data!AN226</f>
        <v>60.8</v>
      </c>
      <c r="B226" s="0" t="n">
        <f aca="false">INDEX(Data!$K226:$O226,Data!$E226)</f>
        <v>21.1176574483</v>
      </c>
    </row>
    <row r="227" customFormat="false" ht="15" hidden="false" customHeight="false" outlineLevel="0" collapsed="false">
      <c r="A227" s="0" t="n">
        <f aca="false">Data!AN227</f>
        <v>58.6</v>
      </c>
      <c r="B227" s="0" t="n">
        <f aca="false">INDEX(Data!$K227:$O227,Data!$E227)</f>
        <v>55.8504528562</v>
      </c>
    </row>
    <row r="228" customFormat="false" ht="15" hidden="false" customHeight="false" outlineLevel="0" collapsed="false">
      <c r="A228" s="0" t="n">
        <f aca="false">Data!AN228</f>
        <v>62.6</v>
      </c>
      <c r="B228" s="0" t="n">
        <f aca="false">INDEX(Data!$K228:$O228,Data!$E228)</f>
        <v>28.5303724554</v>
      </c>
    </row>
    <row r="229" customFormat="false" ht="15" hidden="false" customHeight="false" outlineLevel="0" collapsed="false">
      <c r="A229" s="0" t="n">
        <f aca="false">Data!AN229</f>
        <v>53.7</v>
      </c>
      <c r="B229" s="0" t="n">
        <f aca="false">INDEX(Data!$K229:$O229,Data!$E229)</f>
        <v>22.3107467596</v>
      </c>
    </row>
    <row r="230" customFormat="false" ht="15" hidden="false" customHeight="false" outlineLevel="0" collapsed="false">
      <c r="A230" s="0" t="n">
        <f aca="false">Data!AN230</f>
        <v>62.1</v>
      </c>
      <c r="B230" s="0" t="n">
        <f aca="false">INDEX(Data!$K230:$O230,Data!$E230)</f>
        <v>38.9080500839</v>
      </c>
    </row>
    <row r="231" customFormat="false" ht="15" hidden="false" customHeight="false" outlineLevel="0" collapsed="false">
      <c r="A231" s="0" t="n">
        <f aca="false">Data!AN231</f>
        <v>64.4</v>
      </c>
      <c r="B231" s="0" t="n">
        <f aca="false">INDEX(Data!$K231:$O231,Data!$E231)</f>
        <v>33.6040894899</v>
      </c>
    </row>
    <row r="232" customFormat="false" ht="15" hidden="false" customHeight="false" outlineLevel="0" collapsed="false">
      <c r="A232" s="0" t="n">
        <f aca="false">Data!AN232</f>
        <v>63.3</v>
      </c>
      <c r="B232" s="0" t="n">
        <f aca="false">INDEX(Data!$K232:$O232,Data!$E232)</f>
        <v>16.7587516302</v>
      </c>
    </row>
    <row r="233" customFormat="false" ht="15" hidden="false" customHeight="false" outlineLevel="0" collapsed="false">
      <c r="A233" s="0" t="n">
        <f aca="false">Data!AN233</f>
        <v>60.8</v>
      </c>
      <c r="B233" s="0" t="n">
        <f aca="false">INDEX(Data!$K233:$O233,Data!$E233)</f>
        <v>58.1177744642</v>
      </c>
    </row>
    <row r="234" customFormat="false" ht="15" hidden="false" customHeight="false" outlineLevel="0" collapsed="false">
      <c r="A234" s="0" t="n">
        <f aca="false">Data!AN234</f>
        <v>57.4</v>
      </c>
      <c r="B234" s="0" t="n">
        <f aca="false">INDEX(Data!$K234:$O234,Data!$E234)</f>
        <v>9.05566034357</v>
      </c>
    </row>
    <row r="235" customFormat="false" ht="15" hidden="false" customHeight="false" outlineLevel="0" collapsed="false">
      <c r="A235" s="0" t="n">
        <f aca="false">Data!AN235</f>
        <v>71.8</v>
      </c>
      <c r="B235" s="0" t="n">
        <f aca="false">INDEX(Data!$K235:$O235,Data!$E235)</f>
        <v>37.1250137261</v>
      </c>
    </row>
    <row r="236" customFormat="false" ht="15" hidden="false" customHeight="false" outlineLevel="0" collapsed="false">
      <c r="A236" s="0" t="n">
        <f aca="false">Data!AN236</f>
        <v>65.6</v>
      </c>
      <c r="B236" s="0" t="n">
        <f aca="false">INDEX(Data!$K236:$O236,Data!$E236)</f>
        <v>27.3761559462</v>
      </c>
    </row>
    <row r="237" customFormat="false" ht="15" hidden="false" customHeight="false" outlineLevel="0" collapsed="false">
      <c r="A237" s="0" t="n">
        <f aca="false">Data!AN237</f>
        <v>63.5</v>
      </c>
      <c r="B237" s="0" t="n">
        <f aca="false">INDEX(Data!$K237:$O237,Data!$E237)</f>
        <v>27.5725759986</v>
      </c>
    </row>
    <row r="238" customFormat="false" ht="15" hidden="false" customHeight="false" outlineLevel="0" collapsed="false">
      <c r="A238" s="0" t="n">
        <f aca="false">Data!AN238</f>
        <v>75.6</v>
      </c>
      <c r="B238" s="0" t="n">
        <f aca="false">INDEX(Data!$K238:$O238,Data!$E238)</f>
        <v>7.15960392761</v>
      </c>
    </row>
    <row r="239" customFormat="false" ht="15" hidden="false" customHeight="false" outlineLevel="0" collapsed="false">
      <c r="A239" s="0" t="n">
        <f aca="false">Data!AN239</f>
        <v>65</v>
      </c>
      <c r="B239" s="0" t="n">
        <f aca="false">INDEX(Data!$K239:$O239,Data!$E239)</f>
        <v>15.0085623488</v>
      </c>
    </row>
    <row r="240" customFormat="false" ht="15" hidden="false" customHeight="false" outlineLevel="0" collapsed="false">
      <c r="A240" s="0" t="n">
        <f aca="false">Data!AN240</f>
        <v>60.9</v>
      </c>
      <c r="B240" s="0" t="n">
        <f aca="false">INDEX(Data!$K240:$O240,Data!$E240)</f>
        <v>52.6837611716</v>
      </c>
    </row>
    <row r="241" customFormat="false" ht="15" hidden="false" customHeight="false" outlineLevel="0" collapsed="false">
      <c r="A241" s="0" t="n">
        <f aca="false">Data!AN241</f>
        <v>52.6</v>
      </c>
      <c r="B241" s="0" t="n">
        <f aca="false">INDEX(Data!$K241:$O241,Data!$E241)</f>
        <v>59.8463685205</v>
      </c>
    </row>
    <row r="242" customFormat="false" ht="15" hidden="false" customHeight="false" outlineLevel="0" collapsed="false">
      <c r="A242" s="0" t="n">
        <f aca="false">Data!AN242</f>
        <v>58.5</v>
      </c>
      <c r="B242" s="0" t="n">
        <f aca="false">INDEX(Data!$K242:$O242,Data!$E242)</f>
        <v>73.2181636748</v>
      </c>
    </row>
    <row r="243" customFormat="false" ht="15" hidden="false" customHeight="false" outlineLevel="0" collapsed="false">
      <c r="A243" s="0" t="n">
        <f aca="false">Data!AN243</f>
        <v>73.2</v>
      </c>
      <c r="B243" s="0" t="n">
        <f aca="false">INDEX(Data!$K243:$O243,Data!$E243)</f>
        <v>35.0097719641</v>
      </c>
    </row>
    <row r="244" customFormat="false" ht="15" hidden="false" customHeight="false" outlineLevel="0" collapsed="false">
      <c r="A244" s="0" t="n">
        <f aca="false">Data!AN244</f>
        <v>49.8</v>
      </c>
      <c r="B244" s="0" t="n">
        <f aca="false">INDEX(Data!$K244:$O244,Data!$E244)</f>
        <v>86.3033839885</v>
      </c>
    </row>
    <row r="245" customFormat="false" ht="15" hidden="false" customHeight="false" outlineLevel="0" collapsed="false">
      <c r="A245" s="0" t="n">
        <f aca="false">Data!AN245</f>
        <v>63.5</v>
      </c>
      <c r="B245" s="0" t="n">
        <f aca="false">INDEX(Data!$K245:$O245,Data!$E245)</f>
        <v>54.3124167451</v>
      </c>
    </row>
    <row r="246" customFormat="false" ht="15" hidden="false" customHeight="false" outlineLevel="0" collapsed="false">
      <c r="A246" s="0" t="n">
        <f aca="false">Data!AN246</f>
        <v>69</v>
      </c>
      <c r="B246" s="0" t="n">
        <f aca="false">INDEX(Data!$K246:$O246,Data!$E246)</f>
        <v>38.8669836993</v>
      </c>
    </row>
    <row r="247" customFormat="false" ht="15" hidden="false" customHeight="false" outlineLevel="0" collapsed="false">
      <c r="A247" s="0" t="n">
        <f aca="false">Data!AN247</f>
        <v>67.7</v>
      </c>
      <c r="B247" s="0" t="n">
        <f aca="false">INDEX(Data!$K247:$O247,Data!$E247)</f>
        <v>18.7064245787</v>
      </c>
    </row>
    <row r="248" customFormat="false" ht="15" hidden="false" customHeight="false" outlineLevel="0" collapsed="false">
      <c r="A248" s="0" t="n">
        <f aca="false">Data!AN248</f>
        <v>63.9</v>
      </c>
      <c r="B248" s="0" t="n">
        <f aca="false">INDEX(Data!$K248:$O248,Data!$E248)</f>
        <v>36.0779405879</v>
      </c>
    </row>
    <row r="249" customFormat="false" ht="15" hidden="false" customHeight="false" outlineLevel="0" collapsed="false">
      <c r="A249" s="0" t="n">
        <f aca="false">Data!AN249</f>
        <v>69.9</v>
      </c>
      <c r="B249" s="0" t="n">
        <f aca="false">INDEX(Data!$K249:$O249,Data!$E249)</f>
        <v>35.038597359</v>
      </c>
    </row>
    <row r="250" customFormat="false" ht="15" hidden="false" customHeight="false" outlineLevel="0" collapsed="false">
      <c r="A250" s="0" t="n">
        <f aca="false">Data!AN250</f>
        <v>54.5</v>
      </c>
      <c r="B250" s="0" t="n">
        <f aca="false">INDEX(Data!$K250:$O250,Data!$E250)</f>
        <v>8.42154043348</v>
      </c>
    </row>
    <row r="251" customFormat="false" ht="15" hidden="false" customHeight="false" outlineLevel="0" collapsed="false">
      <c r="A251" s="0" t="n">
        <f aca="false">Data!AN251</f>
        <v>65.9</v>
      </c>
      <c r="B251" s="0" t="n">
        <f aca="false">INDEX(Data!$K251:$O251,Data!$E251)</f>
        <v>27.7624479508</v>
      </c>
    </row>
    <row r="252" customFormat="false" ht="15" hidden="false" customHeight="false" outlineLevel="0" collapsed="false">
      <c r="A252" s="0" t="n">
        <f aca="false">Data!AN252</f>
        <v>73.4</v>
      </c>
      <c r="B252" s="0" t="n">
        <f aca="false">INDEX(Data!$K252:$O252,Data!$E252)</f>
        <v>56.1125193976</v>
      </c>
    </row>
    <row r="253" customFormat="false" ht="15" hidden="false" customHeight="false" outlineLevel="0" collapsed="false">
      <c r="A253" s="0" t="n">
        <f aca="false">Data!AN253</f>
        <v>73.6</v>
      </c>
      <c r="B253" s="0" t="n">
        <f aca="false">INDEX(Data!$K253:$O253,Data!$E253)</f>
        <v>59.4710280021</v>
      </c>
    </row>
    <row r="254" customFormat="false" ht="15" hidden="false" customHeight="false" outlineLevel="0" collapsed="false">
      <c r="A254" s="0" t="n">
        <f aca="false">Data!AN254</f>
        <v>63.1</v>
      </c>
      <c r="B254" s="0" t="n">
        <f aca="false">INDEX(Data!$K254:$O254,Data!$E254)</f>
        <v>44.9756643977</v>
      </c>
    </row>
    <row r="255" customFormat="false" ht="15" hidden="false" customHeight="false" outlineLevel="0" collapsed="false">
      <c r="A255" s="0" t="n">
        <f aca="false">Data!AN255</f>
        <v>76.4</v>
      </c>
      <c r="B255" s="0" t="n">
        <f aca="false">INDEX(Data!$K255:$O255,Data!$E255)</f>
        <v>25.6896574783</v>
      </c>
    </row>
    <row r="256" customFormat="false" ht="15" hidden="false" customHeight="false" outlineLevel="0" collapsed="false">
      <c r="A256" s="0" t="n">
        <f aca="false">Data!AN256</f>
        <v>72.4</v>
      </c>
      <c r="B256" s="0" t="n">
        <f aca="false">INDEX(Data!$K256:$O256,Data!$E256)</f>
        <v>20.4615837173</v>
      </c>
    </row>
    <row r="257" customFormat="false" ht="15" hidden="false" customHeight="false" outlineLevel="0" collapsed="false">
      <c r="A257" s="0" t="n">
        <f aca="false">Data!AN257</f>
        <v>77.3</v>
      </c>
      <c r="B257" s="0" t="n">
        <f aca="false">INDEX(Data!$K257:$O257,Data!$E257)</f>
        <v>44.1096494753</v>
      </c>
    </row>
    <row r="258" customFormat="false" ht="15" hidden="false" customHeight="false" outlineLevel="0" collapsed="false">
      <c r="A258" s="0" t="n">
        <f aca="false">Data!AN258</f>
        <v>61.5</v>
      </c>
      <c r="B258" s="0" t="n">
        <f aca="false">INDEX(Data!$K258:$O258,Data!$E258)</f>
        <v>35.6871217632</v>
      </c>
    </row>
    <row r="259" customFormat="false" ht="15" hidden="false" customHeight="false" outlineLevel="0" collapsed="false">
      <c r="A259" s="0" t="n">
        <f aca="false">Data!AN259</f>
        <v>52.7</v>
      </c>
      <c r="B259" s="0" t="n">
        <f aca="false">INDEX(Data!$K259:$O259,Data!$E259)</f>
        <v>21.9779997612</v>
      </c>
    </row>
    <row r="260" customFormat="false" ht="15" hidden="false" customHeight="false" outlineLevel="0" collapsed="false">
      <c r="A260" s="0" t="n">
        <f aca="false">Data!AN260</f>
        <v>48.4</v>
      </c>
      <c r="B260" s="0" t="n">
        <f aca="false">INDEX(Data!$K260:$O260,Data!$E260)</f>
        <v>43.3792604605</v>
      </c>
    </row>
    <row r="261" customFormat="false" ht="15" hidden="false" customHeight="false" outlineLevel="0" collapsed="false">
      <c r="A261" s="0" t="n">
        <f aca="false">Data!AN261</f>
        <v>49.3</v>
      </c>
      <c r="B261" s="0" t="n">
        <f aca="false">INDEX(Data!$K261:$O261,Data!$E261)</f>
        <v>85.4969236058</v>
      </c>
    </row>
    <row r="262" customFormat="false" ht="15" hidden="false" customHeight="false" outlineLevel="0" collapsed="false">
      <c r="A262" s="0" t="n">
        <f aca="false">Data!AN262</f>
        <v>49.3</v>
      </c>
      <c r="B262" s="0" t="n">
        <f aca="false">INDEX(Data!$K262:$O262,Data!$E262)</f>
        <v>15.800650302</v>
      </c>
    </row>
    <row r="263" customFormat="false" ht="15" hidden="false" customHeight="false" outlineLevel="0" collapsed="false">
      <c r="A263" s="0" t="n">
        <f aca="false">Data!AN263</f>
        <v>36.8</v>
      </c>
      <c r="B263" s="0" t="n">
        <f aca="false">INDEX(Data!$K263:$O263,Data!$E263)</f>
        <v>17.8938536528</v>
      </c>
    </row>
    <row r="264" customFormat="false" ht="15" hidden="false" customHeight="false" outlineLevel="0" collapsed="false">
      <c r="A264" s="0" t="n">
        <f aca="false">Data!AN264</f>
        <v>54.4</v>
      </c>
      <c r="B264" s="0" t="n">
        <f aca="false">INDEX(Data!$K264:$O264,Data!$E264)</f>
        <v>21.0345516075</v>
      </c>
    </row>
    <row r="265" customFormat="false" ht="15" hidden="false" customHeight="false" outlineLevel="0" collapsed="false">
      <c r="A265" s="0" t="n">
        <f aca="false">Data!AN265</f>
        <v>53</v>
      </c>
      <c r="B265" s="0" t="n">
        <f aca="false">INDEX(Data!$K265:$O265,Data!$E265)</f>
        <v>30.7513467699</v>
      </c>
    </row>
    <row r="266" customFormat="false" ht="15" hidden="false" customHeight="false" outlineLevel="0" collapsed="false">
      <c r="A266" s="0" t="n">
        <f aca="false">Data!AN266</f>
        <v>63.2</v>
      </c>
      <c r="B266" s="0" t="n">
        <f aca="false">INDEX(Data!$K266:$O266,Data!$E266)</f>
        <v>34.7264040785</v>
      </c>
    </row>
    <row r="267" customFormat="false" ht="15" hidden="false" customHeight="false" outlineLevel="0" collapsed="false">
      <c r="A267" s="0" t="n">
        <f aca="false">Data!AN267</f>
        <v>43.6</v>
      </c>
      <c r="B267" s="0" t="n">
        <f aca="false">INDEX(Data!$K267:$O267,Data!$E267)</f>
        <v>39.0718879848</v>
      </c>
    </row>
    <row r="268" customFormat="false" ht="15" hidden="false" customHeight="false" outlineLevel="0" collapsed="false">
      <c r="A268" s="0" t="n">
        <f aca="false">Data!AN268</f>
        <v>55.9</v>
      </c>
      <c r="B268" s="0" t="n">
        <f aca="false">INDEX(Data!$K268:$O268,Data!$E268)</f>
        <v>18.007584298</v>
      </c>
    </row>
    <row r="269" customFormat="false" ht="15" hidden="false" customHeight="false" outlineLevel="0" collapsed="false">
      <c r="A269" s="0" t="n">
        <f aca="false">Data!AN269</f>
        <v>46.8</v>
      </c>
      <c r="B269" s="0" t="n">
        <f aca="false">INDEX(Data!$K269:$O269,Data!$E269)</f>
        <v>60.48402474</v>
      </c>
    </row>
    <row r="270" customFormat="false" ht="15" hidden="false" customHeight="false" outlineLevel="0" collapsed="false">
      <c r="A270" s="0" t="n">
        <f aca="false">Data!AN270</f>
        <v>57.5</v>
      </c>
      <c r="B270" s="0" t="n">
        <f aca="false">INDEX(Data!$K270:$O270,Data!$E270)</f>
        <v>24.2548177615</v>
      </c>
    </row>
    <row r="271" customFormat="false" ht="15" hidden="false" customHeight="false" outlineLevel="0" collapsed="false">
      <c r="A271" s="0" t="n">
        <f aca="false">Data!AN271</f>
        <v>72.8</v>
      </c>
      <c r="B271" s="0" t="n">
        <f aca="false">INDEX(Data!$K271:$O271,Data!$E271)</f>
        <v>41.3310076172</v>
      </c>
    </row>
    <row r="272" customFormat="false" ht="15" hidden="false" customHeight="false" outlineLevel="0" collapsed="false">
      <c r="A272" s="0" t="n">
        <f aca="false">Data!AN272</f>
        <v>53.2</v>
      </c>
      <c r="B272" s="0" t="n">
        <f aca="false">INDEX(Data!$K272:$O272,Data!$E272)</f>
        <v>21.2413099478</v>
      </c>
    </row>
    <row r="273" customFormat="false" ht="15" hidden="false" customHeight="false" outlineLevel="0" collapsed="false">
      <c r="A273" s="0" t="n">
        <f aca="false">Data!AN273</f>
        <v>69.8</v>
      </c>
      <c r="B273" s="0" t="n">
        <f aca="false">INDEX(Data!$K273:$O273,Data!$E273)</f>
        <v>40.6096940813</v>
      </c>
    </row>
    <row r="274" customFormat="false" ht="15" hidden="false" customHeight="false" outlineLevel="0" collapsed="false">
      <c r="A274" s="0" t="n">
        <f aca="false">Data!AN274</f>
        <v>52.2</v>
      </c>
      <c r="B274" s="0" t="n">
        <f aca="false">INDEX(Data!$K274:$O274,Data!$E274)</f>
        <v>32.3059287115</v>
      </c>
    </row>
    <row r="275" customFormat="false" ht="15" hidden="false" customHeight="false" outlineLevel="0" collapsed="false">
      <c r="A275" s="0" t="n">
        <f aca="false">Data!AN275</f>
        <v>60.7</v>
      </c>
      <c r="B275" s="0" t="n">
        <f aca="false">INDEX(Data!$K275:$O275,Data!$E275)</f>
        <v>70.256910894</v>
      </c>
    </row>
    <row r="276" customFormat="false" ht="15" hidden="false" customHeight="false" outlineLevel="0" collapsed="false">
      <c r="A276" s="0" t="n">
        <f aca="false">Data!AN276</f>
        <v>74.9</v>
      </c>
      <c r="B276" s="0" t="n">
        <f aca="false">INDEX(Data!$K276:$O276,Data!$E276)</f>
        <v>8.91231020202</v>
      </c>
    </row>
    <row r="277" customFormat="false" ht="15" hidden="false" customHeight="false" outlineLevel="0" collapsed="false">
      <c r="A277" s="0" t="n">
        <f aca="false">Data!AN277</f>
        <v>49.6</v>
      </c>
      <c r="B277" s="0" t="n">
        <f aca="false">INDEX(Data!$K277:$O277,Data!$E277)</f>
        <v>92.4107456515</v>
      </c>
    </row>
    <row r="278" customFormat="false" ht="15" hidden="false" customHeight="false" outlineLevel="0" collapsed="false">
      <c r="A278" s="0" t="n">
        <f aca="false">Data!AN278</f>
        <v>50.5</v>
      </c>
      <c r="B278" s="0" t="n">
        <f aca="false">INDEX(Data!$K278:$O278,Data!$E278)</f>
        <v>16.8205469429</v>
      </c>
    </row>
    <row r="279" customFormat="false" ht="15" hidden="false" customHeight="false" outlineLevel="0" collapsed="false">
      <c r="A279" s="0" t="n">
        <f aca="false">Data!AN279</f>
        <v>53.5</v>
      </c>
      <c r="B279" s="0" t="n">
        <f aca="false">INDEX(Data!$K279:$O279,Data!$E279)</f>
        <v>5.13028971895</v>
      </c>
    </row>
    <row r="280" customFormat="false" ht="15" hidden="false" customHeight="false" outlineLevel="0" collapsed="false">
      <c r="A280" s="0" t="n">
        <f aca="false">Data!AN280</f>
        <v>60.6</v>
      </c>
      <c r="B280" s="0" t="n">
        <f aca="false">INDEX(Data!$K280:$O280,Data!$E280)</f>
        <v>37.9083273037</v>
      </c>
    </row>
    <row r="281" customFormat="false" ht="15" hidden="false" customHeight="false" outlineLevel="0" collapsed="false">
      <c r="A281" s="0" t="n">
        <f aca="false">Data!AN281</f>
        <v>65.4</v>
      </c>
      <c r="B281" s="0" t="n">
        <f aca="false">INDEX(Data!$K281:$O281,Data!$E281)</f>
        <v>48.4923345178</v>
      </c>
    </row>
    <row r="282" customFormat="false" ht="15" hidden="false" customHeight="false" outlineLevel="0" collapsed="false">
      <c r="A282" s="0" t="n">
        <f aca="false">Data!AN282</f>
        <v>81.4</v>
      </c>
      <c r="B282" s="0" t="n">
        <f aca="false">INDEX(Data!$K282:$O282,Data!$E282)</f>
        <v>68.1990879336</v>
      </c>
    </row>
    <row r="283" customFormat="false" ht="15" hidden="false" customHeight="false" outlineLevel="0" collapsed="false">
      <c r="A283" s="0" t="n">
        <f aca="false">Data!AN283</f>
        <v>42.7</v>
      </c>
      <c r="B283" s="0" t="n">
        <f aca="false">INDEX(Data!$K283:$O283,Data!$E283)</f>
        <v>96.0365051483</v>
      </c>
    </row>
    <row r="284" customFormat="false" ht="15" hidden="false" customHeight="false" outlineLevel="0" collapsed="false">
      <c r="A284" s="0" t="n">
        <f aca="false">Data!AN284</f>
        <v>34.5</v>
      </c>
      <c r="B284" s="0" t="n">
        <f aca="false">INDEX(Data!$K284:$O284,Data!$E284)</f>
        <v>73.3066431251</v>
      </c>
    </row>
    <row r="285" customFormat="false" ht="15" hidden="false" customHeight="false" outlineLevel="0" collapsed="false">
      <c r="A285" s="0" t="n">
        <f aca="false">Data!AN285</f>
        <v>41.6</v>
      </c>
      <c r="B285" s="0" t="n">
        <f aca="false">INDEX(Data!$K285:$O285,Data!$E285)</f>
        <v>3.97261070891</v>
      </c>
    </row>
    <row r="286" customFormat="false" ht="15" hidden="false" customHeight="false" outlineLevel="0" collapsed="false">
      <c r="A286" s="0" t="n">
        <f aca="false">Data!AN286</f>
        <v>45.9</v>
      </c>
      <c r="B286" s="0" t="n">
        <f aca="false">INDEX(Data!$K286:$O286,Data!$E286)</f>
        <v>94.2328438177</v>
      </c>
    </row>
    <row r="287" customFormat="false" ht="15" hidden="false" customHeight="false" outlineLevel="0" collapsed="false">
      <c r="A287" s="0" t="n">
        <f aca="false">Data!AN287</f>
        <v>44.2</v>
      </c>
      <c r="B287" s="0" t="n">
        <f aca="false">INDEX(Data!$K287:$O287,Data!$E287)</f>
        <v>19.1581758885</v>
      </c>
    </row>
    <row r="288" customFormat="false" ht="15" hidden="false" customHeight="false" outlineLevel="0" collapsed="false">
      <c r="A288" s="0" t="n">
        <f aca="false">Data!AN288</f>
        <v>52.6</v>
      </c>
      <c r="B288" s="0" t="n">
        <f aca="false">INDEX(Data!$K288:$O288,Data!$E288)</f>
        <v>34.4616775903</v>
      </c>
    </row>
    <row r="289" customFormat="false" ht="15" hidden="false" customHeight="false" outlineLevel="0" collapsed="false">
      <c r="A289" s="0" t="n">
        <f aca="false">Data!AN289</f>
        <v>56.4</v>
      </c>
      <c r="B289" s="0" t="n">
        <f aca="false">INDEX(Data!$K289:$O289,Data!$E289)</f>
        <v>36.4882040768</v>
      </c>
    </row>
    <row r="290" customFormat="false" ht="15" hidden="false" customHeight="false" outlineLevel="0" collapsed="false">
      <c r="A290" s="0" t="n">
        <f aca="false">Data!AN290</f>
        <v>81.9</v>
      </c>
      <c r="B290" s="0" t="n">
        <f aca="false">INDEX(Data!$K290:$O290,Data!$E290)</f>
        <v>68.8667371019</v>
      </c>
    </row>
    <row r="291" customFormat="false" ht="15" hidden="false" customHeight="false" outlineLevel="0" collapsed="false">
      <c r="A291" s="0" t="n">
        <f aca="false">Data!AN291</f>
        <v>42.2</v>
      </c>
      <c r="B291" s="0" t="n">
        <f aca="false">INDEX(Data!$K291:$O291,Data!$E291)</f>
        <v>28.6104828432</v>
      </c>
    </row>
    <row r="292" customFormat="false" ht="15" hidden="false" customHeight="false" outlineLevel="0" collapsed="false">
      <c r="A292" s="0" t="n">
        <f aca="false">Data!AN292</f>
        <v>46.9</v>
      </c>
      <c r="B292" s="0" t="n">
        <f aca="false">INDEX(Data!$K292:$O292,Data!$E292)</f>
        <v>59.1791214516</v>
      </c>
    </row>
    <row r="293" customFormat="false" ht="15" hidden="false" customHeight="false" outlineLevel="0" collapsed="false">
      <c r="A293" s="0" t="n">
        <f aca="false">Data!AN293</f>
        <v>46.8</v>
      </c>
      <c r="B293" s="0" t="n">
        <f aca="false">INDEX(Data!$K293:$O293,Data!$E293)</f>
        <v>10.3445056116</v>
      </c>
    </row>
    <row r="294" customFormat="false" ht="15" hidden="false" customHeight="false" outlineLevel="0" collapsed="false">
      <c r="A294" s="0" t="n">
        <f aca="false">Data!AN294</f>
        <v>44</v>
      </c>
      <c r="B294" s="0" t="n">
        <f aca="false">INDEX(Data!$K294:$O294,Data!$E294)</f>
        <v>13.8897864185</v>
      </c>
    </row>
    <row r="295" customFormat="false" ht="15" hidden="false" customHeight="false" outlineLevel="0" collapsed="false">
      <c r="A295" s="0" t="n">
        <f aca="false">Data!AN295</f>
        <v>49.9</v>
      </c>
      <c r="B295" s="0" t="n">
        <f aca="false">INDEX(Data!$K295:$O295,Data!$E295)</f>
        <v>32.8145241405</v>
      </c>
    </row>
    <row r="296" customFormat="false" ht="15" hidden="false" customHeight="false" outlineLevel="0" collapsed="false">
      <c r="A296" s="0" t="n">
        <f aca="false">Data!AN296</f>
        <v>64</v>
      </c>
      <c r="B296" s="0" t="n">
        <f aca="false">INDEX(Data!$K296:$O296,Data!$E296)</f>
        <v>4.26492765465</v>
      </c>
    </row>
    <row r="297" customFormat="false" ht="15" hidden="false" customHeight="false" outlineLevel="0" collapsed="false">
      <c r="A297" s="0" t="n">
        <f aca="false">Data!AN297</f>
        <v>44.8</v>
      </c>
      <c r="B297" s="0" t="n">
        <f aca="false">INDEX(Data!$K297:$O297,Data!$E297)</f>
        <v>78.7544731161</v>
      </c>
    </row>
    <row r="298" customFormat="false" ht="15" hidden="false" customHeight="false" outlineLevel="0" collapsed="false">
      <c r="A298" s="0" t="n">
        <f aca="false">Data!AN298</f>
        <v>42.8</v>
      </c>
      <c r="B298" s="0" t="n">
        <f aca="false">INDEX(Data!$K298:$O298,Data!$E298)</f>
        <v>61.1895275087</v>
      </c>
    </row>
    <row r="299" customFormat="false" ht="15" hidden="false" customHeight="false" outlineLevel="0" collapsed="false">
      <c r="A299" s="0" t="n">
        <f aca="false">Data!AN299</f>
        <v>53.6</v>
      </c>
      <c r="B299" s="0" t="n">
        <f aca="false">INDEX(Data!$K299:$O299,Data!$E299)</f>
        <v>8.88446166732</v>
      </c>
    </row>
    <row r="300" customFormat="false" ht="15" hidden="false" customHeight="false" outlineLevel="0" collapsed="false">
      <c r="A300" s="0" t="n">
        <f aca="false">Data!AN300</f>
        <v>58.5</v>
      </c>
      <c r="B300" s="0" t="n">
        <f aca="false">INDEX(Data!$K300:$O300,Data!$E300)</f>
        <v>43.0318935762</v>
      </c>
    </row>
    <row r="301" customFormat="false" ht="15" hidden="false" customHeight="false" outlineLevel="0" collapsed="false">
      <c r="A301" s="0" t="n">
        <f aca="false">Data!AN301</f>
        <v>63.8</v>
      </c>
      <c r="B301" s="0" t="n">
        <f aca="false">INDEX(Data!$K301:$O301,Data!$E301)</f>
        <v>22.533987007</v>
      </c>
    </row>
    <row r="302" customFormat="false" ht="15" hidden="false" customHeight="false" outlineLevel="0" collapsed="false">
      <c r="A302" s="0" t="n">
        <f aca="false">Data!AN302</f>
        <v>28.5</v>
      </c>
      <c r="B302" s="0" t="n">
        <f aca="false">INDEX(Data!$K302:$O302,Data!$E302)</f>
        <v>0.0597564110309</v>
      </c>
    </row>
    <row r="303" customFormat="false" ht="15" hidden="false" customHeight="false" outlineLevel="0" collapsed="false">
      <c r="A303" s="0" t="n">
        <f aca="false">Data!AN303</f>
        <v>57.7</v>
      </c>
      <c r="B303" s="0" t="n">
        <f aca="false">INDEX(Data!$K303:$O303,Data!$E303)</f>
        <v>47.9704719014</v>
      </c>
    </row>
    <row r="304" customFormat="false" ht="15" hidden="false" customHeight="false" outlineLevel="0" collapsed="false">
      <c r="A304" s="0" t="n">
        <f aca="false">Data!AN304</f>
        <v>33</v>
      </c>
      <c r="B304" s="0" t="n">
        <f aca="false">INDEX(Data!$K304:$O304,Data!$E304)</f>
        <v>18.3763536955</v>
      </c>
    </row>
    <row r="305" customFormat="false" ht="15" hidden="false" customHeight="false" outlineLevel="0" collapsed="false">
      <c r="A305" s="0" t="n">
        <f aca="false">Data!AN305</f>
        <v>44.3</v>
      </c>
      <c r="B305" s="0" t="n">
        <f aca="false">INDEX(Data!$K305:$O305,Data!$E305)</f>
        <v>7.55335101896</v>
      </c>
    </row>
    <row r="306" customFormat="false" ht="15" hidden="false" customHeight="false" outlineLevel="0" collapsed="false">
      <c r="A306" s="0" t="n">
        <f aca="false">Data!AN306</f>
        <v>32.6</v>
      </c>
      <c r="B306" s="0" t="n">
        <f aca="false">INDEX(Data!$K306:$O306,Data!$E306)</f>
        <v>31.1303354496</v>
      </c>
    </row>
    <row r="307" customFormat="false" ht="15" hidden="false" customHeight="false" outlineLevel="0" collapsed="false">
      <c r="A307" s="0" t="n">
        <f aca="false">Data!AN307</f>
        <v>50.9</v>
      </c>
      <c r="B307" s="0" t="n">
        <f aca="false">INDEX(Data!$K307:$O307,Data!$E307)</f>
        <v>12.500752844</v>
      </c>
    </row>
    <row r="308" customFormat="false" ht="15" hidden="false" customHeight="false" outlineLevel="0" collapsed="false">
      <c r="A308" s="0" t="n">
        <f aca="false">Data!AN308</f>
        <v>58.8</v>
      </c>
      <c r="B308" s="0" t="n">
        <f aca="false">INDEX(Data!$K308:$O308,Data!$E308)</f>
        <v>15.6836757706</v>
      </c>
    </row>
    <row r="309" customFormat="false" ht="15" hidden="false" customHeight="false" outlineLevel="0" collapsed="false">
      <c r="A309" s="0" t="n">
        <f aca="false">Data!AN309</f>
        <v>57.5</v>
      </c>
      <c r="B309" s="0" t="n">
        <f aca="false">INDEX(Data!$K309:$O309,Data!$E309)</f>
        <v>0.0651541434611</v>
      </c>
    </row>
    <row r="310" customFormat="false" ht="15" hidden="false" customHeight="false" outlineLevel="0" collapsed="false">
      <c r="A310" s="0" t="n">
        <f aca="false">Data!AN310</f>
        <v>40.6</v>
      </c>
      <c r="B310" s="0" t="n">
        <f aca="false">INDEX(Data!$K310:$O310,Data!$E310)</f>
        <v>43.289087278</v>
      </c>
    </row>
    <row r="311" customFormat="false" ht="15" hidden="false" customHeight="false" outlineLevel="0" collapsed="false">
      <c r="A311" s="0" t="n">
        <f aca="false">Data!AN311</f>
        <v>52.7</v>
      </c>
      <c r="B311" s="0" t="n">
        <f aca="false">INDEX(Data!$K311:$O311,Data!$E311)</f>
        <v>88.6651860776</v>
      </c>
    </row>
    <row r="312" customFormat="false" ht="15" hidden="false" customHeight="false" outlineLevel="0" collapsed="false">
      <c r="A312" s="0" t="n">
        <f aca="false">Data!AN312</f>
        <v>55.1</v>
      </c>
      <c r="B312" s="0" t="n">
        <f aca="false">INDEX(Data!$K312:$O312,Data!$E312)</f>
        <v>22.9745360738</v>
      </c>
    </row>
    <row r="313" customFormat="false" ht="15" hidden="false" customHeight="false" outlineLevel="0" collapsed="false">
      <c r="A313" s="0" t="n">
        <f aca="false">Data!AN313</f>
        <v>61.3</v>
      </c>
      <c r="B313" s="0" t="n">
        <f aca="false">INDEX(Data!$K313:$O313,Data!$E313)</f>
        <v>29.478854814</v>
      </c>
    </row>
    <row r="314" customFormat="false" ht="15" hidden="false" customHeight="false" outlineLevel="0" collapsed="false">
      <c r="A314" s="0" t="n">
        <f aca="false">Data!AN314</f>
        <v>45.8</v>
      </c>
      <c r="B314" s="0" t="n">
        <f aca="false">INDEX(Data!$K314:$O314,Data!$E314)</f>
        <v>47.5947797573</v>
      </c>
    </row>
    <row r="315" customFormat="false" ht="15" hidden="false" customHeight="false" outlineLevel="0" collapsed="false">
      <c r="A315" s="0" t="n">
        <f aca="false">Data!AN315</f>
        <v>42.3</v>
      </c>
      <c r="B315" s="0" t="n">
        <f aca="false">INDEX(Data!$K315:$O315,Data!$E315)</f>
        <v>43.0569326318</v>
      </c>
    </row>
    <row r="316" customFormat="false" ht="15" hidden="false" customHeight="false" outlineLevel="0" collapsed="false">
      <c r="A316" s="0" t="n">
        <f aca="false">Data!AN316</f>
        <v>59.1</v>
      </c>
      <c r="B316" s="0" t="n">
        <f aca="false">INDEX(Data!$K316:$O316,Data!$E316)</f>
        <v>26.1132355245</v>
      </c>
    </row>
    <row r="317" customFormat="false" ht="15" hidden="false" customHeight="false" outlineLevel="0" collapsed="false">
      <c r="A317" s="0" t="n">
        <f aca="false">Data!AN317</f>
        <v>52.6</v>
      </c>
      <c r="B317" s="0" t="n">
        <f aca="false">INDEX(Data!$K317:$O317,Data!$E317)</f>
        <v>78.7793982188</v>
      </c>
    </row>
    <row r="318" customFormat="false" ht="15" hidden="false" customHeight="false" outlineLevel="0" collapsed="false">
      <c r="A318" s="0" t="n">
        <f aca="false">Data!AN318</f>
        <v>55.2</v>
      </c>
      <c r="B318" s="0" t="n">
        <f aca="false">INDEX(Data!$K318:$O318,Data!$E318)</f>
        <v>5.00968640024</v>
      </c>
    </row>
    <row r="319" customFormat="false" ht="15" hidden="false" customHeight="false" outlineLevel="0" collapsed="false">
      <c r="A319" s="0" t="n">
        <f aca="false">Data!AN319</f>
        <v>69.7</v>
      </c>
      <c r="B319" s="0" t="n">
        <f aca="false">INDEX(Data!$K319:$O319,Data!$E319)</f>
        <v>22.6811788469</v>
      </c>
    </row>
    <row r="320" customFormat="false" ht="15" hidden="false" customHeight="false" outlineLevel="0" collapsed="false">
      <c r="A320" s="0" t="n">
        <f aca="false">Data!AN320</f>
        <v>54.8</v>
      </c>
      <c r="B320" s="0" t="n">
        <f aca="false">INDEX(Data!$K320:$O320,Data!$E320)</f>
        <v>63.0903972098</v>
      </c>
    </row>
    <row r="321" customFormat="false" ht="15" hidden="false" customHeight="false" outlineLevel="0" collapsed="false">
      <c r="A321" s="0" t="n">
        <f aca="false">Data!AN321</f>
        <v>58</v>
      </c>
      <c r="B321" s="0" t="n">
        <f aca="false">INDEX(Data!$K321:$O321,Data!$E321)</f>
        <v>51.0614724567</v>
      </c>
    </row>
    <row r="322" customFormat="false" ht="15" hidden="false" customHeight="false" outlineLevel="0" collapsed="false">
      <c r="A322" s="0" t="n">
        <f aca="false">Data!AN322</f>
        <v>48.6</v>
      </c>
      <c r="B322" s="0" t="n">
        <f aca="false">INDEX(Data!$K322:$O322,Data!$E322)</f>
        <v>28.5067925747</v>
      </c>
    </row>
    <row r="323" customFormat="false" ht="15" hidden="false" customHeight="false" outlineLevel="0" collapsed="false">
      <c r="A323" s="0" t="n">
        <f aca="false">Data!AN323</f>
        <v>78.6</v>
      </c>
      <c r="B323" s="0" t="n">
        <f aca="false">INDEX(Data!$K323:$O323,Data!$E323)</f>
        <v>63.6451265572</v>
      </c>
    </row>
    <row r="324" customFormat="false" ht="15" hidden="false" customHeight="false" outlineLevel="0" collapsed="false">
      <c r="A324" s="0" t="n">
        <f aca="false">Data!AN324</f>
        <v>68.6</v>
      </c>
      <c r="B324" s="0" t="n">
        <f aca="false">INDEX(Data!$K324:$O324,Data!$E324)</f>
        <v>72.5335457289</v>
      </c>
    </row>
    <row r="325" customFormat="false" ht="15" hidden="false" customHeight="false" outlineLevel="0" collapsed="false">
      <c r="A325" s="0" t="n">
        <f aca="false">Data!AN325</f>
        <v>60</v>
      </c>
      <c r="B325" s="0" t="n">
        <f aca="false">INDEX(Data!$K325:$O325,Data!$E325)</f>
        <v>55.7909378264</v>
      </c>
    </row>
    <row r="326" customFormat="false" ht="15" hidden="false" customHeight="false" outlineLevel="0" collapsed="false">
      <c r="A326" s="0" t="n">
        <f aca="false">Data!AN326</f>
        <v>37.1</v>
      </c>
      <c r="B326" s="0" t="n">
        <f aca="false">INDEX(Data!$K326:$O326,Data!$E326)</f>
        <v>16.1212602284</v>
      </c>
    </row>
    <row r="327" customFormat="false" ht="15" hidden="false" customHeight="false" outlineLevel="0" collapsed="false">
      <c r="A327" s="0" t="n">
        <f aca="false">Data!AN327</f>
        <v>60.4</v>
      </c>
      <c r="B327" s="0" t="n">
        <f aca="false">INDEX(Data!$K327:$O327,Data!$E327)</f>
        <v>24.820248048</v>
      </c>
    </row>
    <row r="328" customFormat="false" ht="15" hidden="false" customHeight="false" outlineLevel="0" collapsed="false">
      <c r="A328" s="0" t="n">
        <f aca="false">Data!AN328</f>
        <v>59</v>
      </c>
      <c r="B328" s="0" t="n">
        <f aca="false">INDEX(Data!$K328:$O328,Data!$E328)</f>
        <v>31.4078891784</v>
      </c>
    </row>
    <row r="329" customFormat="false" ht="15" hidden="false" customHeight="false" outlineLevel="0" collapsed="false">
      <c r="A329" s="0" t="n">
        <f aca="false">Data!AN329</f>
        <v>37.1</v>
      </c>
      <c r="B329" s="0" t="n">
        <f aca="false">INDEX(Data!$K329:$O329,Data!$E329)</f>
        <v>62.5941632291</v>
      </c>
    </row>
    <row r="330" customFormat="false" ht="15" hidden="false" customHeight="false" outlineLevel="0" collapsed="false">
      <c r="A330" s="0" t="n">
        <f aca="false">Data!AN330</f>
        <v>74</v>
      </c>
      <c r="B330" s="0" t="n">
        <f aca="false">INDEX(Data!$K330:$O330,Data!$E330)</f>
        <v>47.9853640685</v>
      </c>
    </row>
    <row r="331" customFormat="false" ht="15" hidden="false" customHeight="false" outlineLevel="0" collapsed="false">
      <c r="A331" s="0" t="n">
        <f aca="false">Data!AN331</f>
        <v>67.2</v>
      </c>
      <c r="B331" s="0" t="n">
        <f aca="false">INDEX(Data!$K331:$O331,Data!$E331)</f>
        <v>25.7368922649</v>
      </c>
    </row>
    <row r="332" customFormat="false" ht="15" hidden="false" customHeight="false" outlineLevel="0" collapsed="false">
      <c r="A332" s="0" t="n">
        <f aca="false">Data!AN332</f>
        <v>60.3</v>
      </c>
      <c r="B332" s="0" t="n">
        <f aca="false">INDEX(Data!$K332:$O332,Data!$E332)</f>
        <v>40.5143513535</v>
      </c>
    </row>
    <row r="333" customFormat="false" ht="15" hidden="false" customHeight="false" outlineLevel="0" collapsed="false">
      <c r="A333" s="0" t="n">
        <f aca="false">Data!AN333</f>
        <v>66.8</v>
      </c>
      <c r="B333" s="0" t="n">
        <f aca="false">INDEX(Data!$K333:$O333,Data!$E333)</f>
        <v>72.343151397</v>
      </c>
    </row>
    <row r="334" customFormat="false" ht="15" hidden="false" customHeight="false" outlineLevel="0" collapsed="false">
      <c r="A334" s="0" t="n">
        <f aca="false">Data!AN334</f>
        <v>63.6</v>
      </c>
      <c r="B334" s="0" t="n">
        <f aca="false">INDEX(Data!$K334:$O334,Data!$E334)</f>
        <v>87.2013824444</v>
      </c>
    </row>
    <row r="335" customFormat="false" ht="15" hidden="false" customHeight="false" outlineLevel="0" collapsed="false">
      <c r="A335" s="0" t="n">
        <f aca="false">Data!AN335</f>
        <v>55.4</v>
      </c>
      <c r="B335" s="0" t="n">
        <f aca="false">INDEX(Data!$K335:$O335,Data!$E335)</f>
        <v>13.8325558094</v>
      </c>
    </row>
    <row r="336" customFormat="false" ht="15" hidden="false" customHeight="false" outlineLevel="0" collapsed="false">
      <c r="A336" s="0" t="n">
        <f aca="false">Data!AN336</f>
        <v>62.5</v>
      </c>
      <c r="B336" s="0" t="n">
        <f aca="false">INDEX(Data!$K336:$O336,Data!$E336)</f>
        <v>10.4438421785</v>
      </c>
    </row>
    <row r="337" customFormat="false" ht="15" hidden="false" customHeight="false" outlineLevel="0" collapsed="false">
      <c r="A337" s="0" t="n">
        <f aca="false">Data!AN337</f>
        <v>64.9</v>
      </c>
      <c r="B337" s="0" t="n">
        <f aca="false">INDEX(Data!$K337:$O337,Data!$E337)</f>
        <v>77.1873251045</v>
      </c>
    </row>
    <row r="338" customFormat="false" ht="15" hidden="false" customHeight="false" outlineLevel="0" collapsed="false">
      <c r="A338" s="0" t="n">
        <f aca="false">Data!AN338</f>
        <v>67.4</v>
      </c>
      <c r="B338" s="0" t="n">
        <f aca="false">INDEX(Data!$K338:$O338,Data!$E338)</f>
        <v>64.9254138253</v>
      </c>
    </row>
    <row r="339" customFormat="false" ht="15" hidden="false" customHeight="false" outlineLevel="0" collapsed="false">
      <c r="A339" s="0" t="n">
        <f aca="false">Data!AN339</f>
        <v>71.3</v>
      </c>
      <c r="B339" s="0" t="n">
        <f aca="false">INDEX(Data!$K339:$O339,Data!$E339)</f>
        <v>5.89035415642</v>
      </c>
    </row>
    <row r="340" customFormat="false" ht="15" hidden="false" customHeight="false" outlineLevel="0" collapsed="false">
      <c r="A340" s="0" t="n">
        <f aca="false">Data!AN340</f>
        <v>71.7</v>
      </c>
      <c r="B340" s="0" t="n">
        <f aca="false">INDEX(Data!$K340:$O340,Data!$E340)</f>
        <v>13.0748273009</v>
      </c>
    </row>
    <row r="341" customFormat="false" ht="15" hidden="false" customHeight="false" outlineLevel="0" collapsed="false">
      <c r="A341" s="0" t="n">
        <f aca="false">Data!AN341</f>
        <v>53.2</v>
      </c>
      <c r="B341" s="0" t="n">
        <f aca="false">INDEX(Data!$K341:$O341,Data!$E341)</f>
        <v>31.8055909761</v>
      </c>
    </row>
    <row r="342" customFormat="false" ht="15" hidden="false" customHeight="false" outlineLevel="0" collapsed="false">
      <c r="A342" s="0" t="n">
        <f aca="false">Data!AN342</f>
        <v>59.3</v>
      </c>
      <c r="B342" s="0" t="n">
        <f aca="false">INDEX(Data!$K342:$O342,Data!$E342)</f>
        <v>43.7673192077</v>
      </c>
    </row>
    <row r="343" customFormat="false" ht="15" hidden="false" customHeight="false" outlineLevel="0" collapsed="false">
      <c r="A343" s="0" t="n">
        <f aca="false">Data!AN343</f>
        <v>56.7</v>
      </c>
      <c r="B343" s="0" t="n">
        <f aca="false">INDEX(Data!$K343:$O343,Data!$E343)</f>
        <v>4.55866210631</v>
      </c>
    </row>
    <row r="344" customFormat="false" ht="15" hidden="false" customHeight="false" outlineLevel="0" collapsed="false">
      <c r="A344" s="0" t="n">
        <f aca="false">Data!AN344</f>
        <v>75.9</v>
      </c>
      <c r="B344" s="0" t="n">
        <f aca="false">INDEX(Data!$K344:$O344,Data!$E344)</f>
        <v>72.1085220596</v>
      </c>
    </row>
    <row r="345" customFormat="false" ht="15" hidden="false" customHeight="false" outlineLevel="0" collapsed="false">
      <c r="A345" s="0" t="n">
        <f aca="false">Data!AN345</f>
        <v>73.3</v>
      </c>
      <c r="B345" s="0" t="n">
        <f aca="false">INDEX(Data!$K345:$O345,Data!$E345)</f>
        <v>29.9531383087</v>
      </c>
    </row>
    <row r="346" customFormat="false" ht="15" hidden="false" customHeight="false" outlineLevel="0" collapsed="false">
      <c r="A346" s="0" t="n">
        <f aca="false">Data!AN346</f>
        <v>70.7</v>
      </c>
      <c r="B346" s="0" t="n">
        <f aca="false">INDEX(Data!$K346:$O346,Data!$E346)</f>
        <v>27.6094714534</v>
      </c>
    </row>
    <row r="347" customFormat="false" ht="15" hidden="false" customHeight="false" outlineLevel="0" collapsed="false">
      <c r="A347" s="0" t="n">
        <f aca="false">Data!AN347</f>
        <v>58.4</v>
      </c>
      <c r="B347" s="0" t="n">
        <f aca="false">INDEX(Data!$K347:$O347,Data!$E347)</f>
        <v>29.7030560429</v>
      </c>
    </row>
    <row r="348" customFormat="false" ht="15" hidden="false" customHeight="false" outlineLevel="0" collapsed="false">
      <c r="A348" s="0" t="n">
        <f aca="false">Data!AN348</f>
        <v>66.2</v>
      </c>
      <c r="B348" s="0" t="n">
        <f aca="false">INDEX(Data!$K348:$O348,Data!$E348)</f>
        <v>24.9160092231</v>
      </c>
    </row>
    <row r="349" customFormat="false" ht="15" hidden="false" customHeight="false" outlineLevel="0" collapsed="false">
      <c r="A349" s="0" t="n">
        <f aca="false">Data!AN349</f>
        <v>55.5</v>
      </c>
      <c r="B349" s="0" t="n">
        <f aca="false">INDEX(Data!$K349:$O349,Data!$E349)</f>
        <v>17.4469265717</v>
      </c>
    </row>
    <row r="350" customFormat="false" ht="15" hidden="false" customHeight="false" outlineLevel="0" collapsed="false">
      <c r="A350" s="0" t="n">
        <f aca="false">Data!AN350</f>
        <v>61.3</v>
      </c>
      <c r="B350" s="0" t="n">
        <f aca="false">INDEX(Data!$K350:$O350,Data!$E350)</f>
        <v>84.9415515131</v>
      </c>
    </row>
    <row r="351" customFormat="false" ht="15" hidden="false" customHeight="false" outlineLevel="0" collapsed="false">
      <c r="A351" s="0" t="n">
        <f aca="false">Data!AN351</f>
        <v>71.2</v>
      </c>
      <c r="B351" s="0" t="n">
        <f aca="false">INDEX(Data!$K351:$O351,Data!$E351)</f>
        <v>20.3678436536</v>
      </c>
    </row>
    <row r="352" customFormat="false" ht="15" hidden="false" customHeight="false" outlineLevel="0" collapsed="false">
      <c r="A352" s="0" t="n">
        <f aca="false">Data!AN352</f>
        <v>54.3</v>
      </c>
      <c r="B352" s="0" t="n">
        <f aca="false">INDEX(Data!$K352:$O352,Data!$E352)</f>
        <v>17.6974782259</v>
      </c>
    </row>
    <row r="353" customFormat="false" ht="15" hidden="false" customHeight="false" outlineLevel="0" collapsed="false">
      <c r="A353" s="0" t="n">
        <f aca="false">Data!AN353</f>
        <v>78.3</v>
      </c>
      <c r="B353" s="0" t="n">
        <f aca="false">INDEX(Data!$K353:$O353,Data!$E353)</f>
        <v>4.57199649062</v>
      </c>
    </row>
    <row r="354" customFormat="false" ht="15" hidden="false" customHeight="false" outlineLevel="0" collapsed="false">
      <c r="A354" s="0" t="n">
        <f aca="false">Data!AN354</f>
        <v>61.1</v>
      </c>
      <c r="B354" s="0" t="n">
        <f aca="false">INDEX(Data!$K354:$O354,Data!$E354)</f>
        <v>86.9565951889</v>
      </c>
    </row>
    <row r="355" customFormat="false" ht="15" hidden="false" customHeight="false" outlineLevel="0" collapsed="false">
      <c r="A355" s="0" t="n">
        <f aca="false">Data!AN355</f>
        <v>37.7</v>
      </c>
      <c r="B355" s="0" t="n">
        <f aca="false">INDEX(Data!$K355:$O355,Data!$E355)</f>
        <v>59.5399158912</v>
      </c>
    </row>
    <row r="356" customFormat="false" ht="15" hidden="false" customHeight="false" outlineLevel="0" collapsed="false">
      <c r="A356" s="0" t="n">
        <f aca="false">Data!AN356</f>
        <v>51.3</v>
      </c>
      <c r="B356" s="0" t="n">
        <f aca="false">INDEX(Data!$K356:$O356,Data!$E356)</f>
        <v>17.4782972014</v>
      </c>
    </row>
    <row r="357" customFormat="false" ht="15" hidden="false" customHeight="false" outlineLevel="0" collapsed="false">
      <c r="A357" s="0" t="n">
        <f aca="false">Data!AN357</f>
        <v>70.9</v>
      </c>
      <c r="B357" s="0" t="n">
        <f aca="false">INDEX(Data!$K357:$O357,Data!$E357)</f>
        <v>24.3159939141</v>
      </c>
    </row>
    <row r="358" customFormat="false" ht="15" hidden="false" customHeight="false" outlineLevel="0" collapsed="false">
      <c r="A358" s="0" t="n">
        <f aca="false">Data!AN358</f>
        <v>44.7</v>
      </c>
      <c r="B358" s="0" t="n">
        <f aca="false">INDEX(Data!$K358:$O358,Data!$E358)</f>
        <v>1.52018877482</v>
      </c>
    </row>
    <row r="359" customFormat="false" ht="15" hidden="false" customHeight="false" outlineLevel="0" collapsed="false">
      <c r="A359" s="0" t="n">
        <f aca="false">Data!AN359</f>
        <v>71.7</v>
      </c>
      <c r="B359" s="0" t="n">
        <f aca="false">INDEX(Data!$K359:$O359,Data!$E359)</f>
        <v>36.9274676961</v>
      </c>
    </row>
    <row r="360" customFormat="false" ht="15" hidden="false" customHeight="false" outlineLevel="0" collapsed="false">
      <c r="A360" s="0" t="n">
        <f aca="false">Data!AN360</f>
        <v>68.7</v>
      </c>
      <c r="B360" s="0" t="n">
        <f aca="false">INDEX(Data!$K360:$O360,Data!$E360)</f>
        <v>20.4563268701</v>
      </c>
    </row>
    <row r="361" customFormat="false" ht="15" hidden="false" customHeight="false" outlineLevel="0" collapsed="false">
      <c r="A361" s="0" t="n">
        <f aca="false">Data!AN361</f>
        <v>58.7</v>
      </c>
      <c r="B361" s="0" t="n">
        <f aca="false">INDEX(Data!$K361:$O361,Data!$E361)</f>
        <v>63.9554157061</v>
      </c>
    </row>
    <row r="362" customFormat="false" ht="15" hidden="false" customHeight="false" outlineLevel="0" collapsed="false">
      <c r="A362" s="0" t="n">
        <f aca="false">Data!AN362</f>
        <v>58</v>
      </c>
      <c r="B362" s="0" t="n">
        <f aca="false">INDEX(Data!$K362:$O362,Data!$E362)</f>
        <v>81.9770381326</v>
      </c>
    </row>
    <row r="363" customFormat="false" ht="15" hidden="false" customHeight="false" outlineLevel="0" collapsed="false">
      <c r="A363" s="0" t="n">
        <f aca="false">Data!AN363</f>
        <v>66.5</v>
      </c>
      <c r="B363" s="0" t="n">
        <f aca="false">INDEX(Data!$K363:$O363,Data!$E363)</f>
        <v>24.6596982758</v>
      </c>
    </row>
    <row r="364" customFormat="false" ht="15" hidden="false" customHeight="false" outlineLevel="0" collapsed="false">
      <c r="A364" s="0" t="n">
        <f aca="false">Data!AN364</f>
        <v>77.5</v>
      </c>
      <c r="B364" s="0" t="n">
        <f aca="false">INDEX(Data!$K364:$O364,Data!$E364)</f>
        <v>18.3324792054</v>
      </c>
    </row>
    <row r="365" customFormat="false" ht="15" hidden="false" customHeight="false" outlineLevel="0" collapsed="false">
      <c r="A365" s="0" t="n">
        <f aca="false">Data!AN365</f>
        <v>60.1</v>
      </c>
      <c r="B365" s="0" t="n">
        <f aca="false">INDEX(Data!$K365:$O365,Data!$E365)</f>
        <v>41.6227519963</v>
      </c>
    </row>
    <row r="366" customFormat="false" ht="15" hidden="false" customHeight="false" outlineLevel="0" collapsed="false">
      <c r="A366" s="0" t="n">
        <f aca="false">Data!AN366</f>
        <v>69</v>
      </c>
      <c r="B366" s="0" t="n">
        <f aca="false">INDEX(Data!$K366:$O366,Data!$E366)</f>
        <v>19.5379154578</v>
      </c>
    </row>
    <row r="367" customFormat="false" ht="15" hidden="false" customHeight="false" outlineLevel="0" collapsed="false">
      <c r="A367" s="0" t="n">
        <f aca="false">Data!AN367</f>
        <v>67.7</v>
      </c>
      <c r="B367" s="0" t="n">
        <f aca="false">INDEX(Data!$K367:$O367,Data!$E367)</f>
        <v>28.0860005978</v>
      </c>
    </row>
    <row r="368" customFormat="false" ht="15" hidden="false" customHeight="false" outlineLevel="0" collapsed="false">
      <c r="A368" s="0" t="n">
        <f aca="false">Data!AN368</f>
        <v>55.6</v>
      </c>
      <c r="B368" s="0" t="n">
        <f aca="false">INDEX(Data!$K368:$O368,Data!$E368)</f>
        <v>55.1770155861</v>
      </c>
    </row>
    <row r="369" customFormat="false" ht="15" hidden="false" customHeight="false" outlineLevel="0" collapsed="false">
      <c r="A369" s="0" t="n">
        <f aca="false">Data!AN369</f>
        <v>70.9</v>
      </c>
      <c r="B369" s="0" t="n">
        <f aca="false">INDEX(Data!$K369:$O369,Data!$E369)</f>
        <v>22.0364247676</v>
      </c>
    </row>
    <row r="370" customFormat="false" ht="15" hidden="false" customHeight="false" outlineLevel="0" collapsed="false">
      <c r="A370" s="0" t="n">
        <f aca="false">Data!AN370</f>
        <v>50.4</v>
      </c>
      <c r="B370" s="0" t="n">
        <f aca="false">INDEX(Data!$K370:$O370,Data!$E370)</f>
        <v>47.0497936894</v>
      </c>
    </row>
    <row r="371" customFormat="false" ht="15" hidden="false" customHeight="false" outlineLevel="0" collapsed="false">
      <c r="A371" s="0" t="n">
        <f aca="false">Data!AN371</f>
        <v>49.3</v>
      </c>
      <c r="B371" s="0" t="n">
        <f aca="false">INDEX(Data!$K371:$O371,Data!$E371)</f>
        <v>38.4368824758</v>
      </c>
    </row>
    <row r="372" customFormat="false" ht="15" hidden="false" customHeight="false" outlineLevel="0" collapsed="false">
      <c r="A372" s="0" t="n">
        <f aca="false">Data!AN372</f>
        <v>67.3</v>
      </c>
      <c r="B372" s="0" t="n">
        <f aca="false">INDEX(Data!$K372:$O372,Data!$E372)</f>
        <v>7.08779804784</v>
      </c>
    </row>
    <row r="373" customFormat="false" ht="15" hidden="false" customHeight="false" outlineLevel="0" collapsed="false">
      <c r="A373" s="0" t="n">
        <f aca="false">Data!AN373</f>
        <v>61.4</v>
      </c>
      <c r="B373" s="0" t="n">
        <f aca="false">INDEX(Data!$K373:$O373,Data!$E373)</f>
        <v>17.7075489735</v>
      </c>
    </row>
    <row r="374" customFormat="false" ht="15" hidden="false" customHeight="false" outlineLevel="0" collapsed="false">
      <c r="A374" s="0" t="n">
        <f aca="false">Data!AN374</f>
        <v>48.7</v>
      </c>
      <c r="B374" s="0" t="n">
        <f aca="false">INDEX(Data!$K374:$O374,Data!$E374)</f>
        <v>99.8151388224</v>
      </c>
    </row>
    <row r="375" customFormat="false" ht="15" hidden="false" customHeight="false" outlineLevel="0" collapsed="false">
      <c r="A375" s="0" t="n">
        <f aca="false">Data!AN375</f>
        <v>53.5</v>
      </c>
      <c r="B375" s="0" t="n">
        <f aca="false">INDEX(Data!$K375:$O375,Data!$E375)</f>
        <v>48.2822302506</v>
      </c>
    </row>
    <row r="376" customFormat="false" ht="15" hidden="false" customHeight="false" outlineLevel="0" collapsed="false">
      <c r="A376" s="0" t="n">
        <f aca="false">Data!AN376</f>
        <v>62.5</v>
      </c>
      <c r="B376" s="0" t="n">
        <f aca="false">INDEX(Data!$K376:$O376,Data!$E376)</f>
        <v>73.1645855671</v>
      </c>
    </row>
    <row r="377" customFormat="false" ht="15" hidden="false" customHeight="false" outlineLevel="0" collapsed="false">
      <c r="A377" s="0" t="n">
        <f aca="false">Data!AN377</f>
        <v>71.2</v>
      </c>
      <c r="B377" s="0" t="n">
        <f aca="false">INDEX(Data!$K377:$O377,Data!$E377)</f>
        <v>31.0497824537</v>
      </c>
    </row>
    <row r="378" customFormat="false" ht="15" hidden="false" customHeight="false" outlineLevel="0" collapsed="false">
      <c r="A378" s="0" t="n">
        <f aca="false">Data!AN378</f>
        <v>59.9</v>
      </c>
      <c r="B378" s="0" t="n">
        <f aca="false">INDEX(Data!$K378:$O378,Data!$E378)</f>
        <v>94.2485837964</v>
      </c>
    </row>
    <row r="379" customFormat="false" ht="15" hidden="false" customHeight="false" outlineLevel="0" collapsed="false">
      <c r="A379" s="0" t="n">
        <f aca="false">Data!AN379</f>
        <v>73.5</v>
      </c>
      <c r="B379" s="0" t="n">
        <f aca="false">INDEX(Data!$K379:$O379,Data!$E379)</f>
        <v>19.5946379369</v>
      </c>
    </row>
    <row r="380" customFormat="false" ht="15" hidden="false" customHeight="false" outlineLevel="0" collapsed="false">
      <c r="A380" s="0" t="n">
        <f aca="false">Data!AN380</f>
        <v>75</v>
      </c>
      <c r="B380" s="0" t="n">
        <f aca="false">INDEX(Data!$K380:$O380,Data!$E380)</f>
        <v>33.0518578618</v>
      </c>
    </row>
    <row r="381" customFormat="false" ht="15" hidden="false" customHeight="false" outlineLevel="0" collapsed="false">
      <c r="A381" s="0" t="n">
        <f aca="false">Data!AN381</f>
        <v>55.1</v>
      </c>
      <c r="B381" s="0" t="n">
        <f aca="false">INDEX(Data!$K381:$O381,Data!$E381)</f>
        <v>17.6981532526</v>
      </c>
    </row>
    <row r="382" customFormat="false" ht="15" hidden="false" customHeight="false" outlineLevel="0" collapsed="false">
      <c r="A382" s="0" t="n">
        <f aca="false">Data!AN382</f>
        <v>61.3</v>
      </c>
      <c r="B382" s="0" t="n">
        <f aca="false">INDEX(Data!$K382:$O382,Data!$E382)</f>
        <v>25.5137324893</v>
      </c>
    </row>
    <row r="383" customFormat="false" ht="15" hidden="false" customHeight="false" outlineLevel="0" collapsed="false">
      <c r="A383" s="0" t="n">
        <f aca="false">Data!AN383</f>
        <v>57.1</v>
      </c>
      <c r="B383" s="0" t="n">
        <f aca="false">INDEX(Data!$K383:$O383,Data!$E383)</f>
        <v>33.0483716989</v>
      </c>
    </row>
    <row r="384" customFormat="false" ht="15" hidden="false" customHeight="false" outlineLevel="0" collapsed="false">
      <c r="A384" s="0" t="n">
        <f aca="false">Data!AN384</f>
        <v>69.5</v>
      </c>
      <c r="B384" s="0" t="n">
        <f aca="false">INDEX(Data!$K384:$O384,Data!$E384)</f>
        <v>8.39669243461</v>
      </c>
    </row>
    <row r="385" customFormat="false" ht="15" hidden="false" customHeight="false" outlineLevel="0" collapsed="false">
      <c r="A385" s="0" t="n">
        <f aca="false">Data!AN385</f>
        <v>70.1</v>
      </c>
      <c r="B385" s="0" t="n">
        <f aca="false">INDEX(Data!$K385:$O385,Data!$E385)</f>
        <v>30.5173502456</v>
      </c>
    </row>
    <row r="386" customFormat="false" ht="15" hidden="false" customHeight="false" outlineLevel="0" collapsed="false">
      <c r="A386" s="0" t="n">
        <f aca="false">Data!AN386</f>
        <v>47.9</v>
      </c>
      <c r="B386" s="0" t="n">
        <f aca="false">INDEX(Data!$K386:$O386,Data!$E386)</f>
        <v>99.4965470761</v>
      </c>
    </row>
    <row r="387" customFormat="false" ht="15" hidden="false" customHeight="false" outlineLevel="0" collapsed="false">
      <c r="A387" s="0" t="n">
        <f aca="false">Data!AN387</f>
        <v>62.6</v>
      </c>
      <c r="B387" s="0" t="n">
        <f aca="false">INDEX(Data!$K387:$O387,Data!$E387)</f>
        <v>44.9881790468</v>
      </c>
    </row>
    <row r="388" customFormat="false" ht="15" hidden="false" customHeight="false" outlineLevel="0" collapsed="false">
      <c r="A388" s="0" t="n">
        <f aca="false">Data!AN388</f>
        <v>60.2</v>
      </c>
      <c r="B388" s="0" t="n">
        <f aca="false">INDEX(Data!$K388:$O388,Data!$E388)</f>
        <v>20.6467885678</v>
      </c>
    </row>
    <row r="389" customFormat="false" ht="15" hidden="false" customHeight="false" outlineLevel="0" collapsed="false">
      <c r="A389" s="0" t="n">
        <f aca="false">Data!AN389</f>
        <v>73.8</v>
      </c>
      <c r="B389" s="0" t="n">
        <f aca="false">INDEX(Data!$K389:$O389,Data!$E389)</f>
        <v>32.6980744843</v>
      </c>
    </row>
    <row r="390" customFormat="false" ht="15" hidden="false" customHeight="false" outlineLevel="0" collapsed="false">
      <c r="A390" s="0" t="n">
        <f aca="false">Data!AN390</f>
        <v>72.8</v>
      </c>
      <c r="B390" s="0" t="n">
        <f aca="false">INDEX(Data!$K390:$O390,Data!$E390)</f>
        <v>89.5163936156</v>
      </c>
    </row>
    <row r="391" customFormat="false" ht="15" hidden="false" customHeight="false" outlineLevel="0" collapsed="false">
      <c r="A391" s="0" t="n">
        <f aca="false">Data!AN391</f>
        <v>56</v>
      </c>
      <c r="B391" s="0" t="n">
        <f aca="false">INDEX(Data!$K391:$O391,Data!$E391)</f>
        <v>38.6935620288</v>
      </c>
    </row>
    <row r="392" customFormat="false" ht="15" hidden="false" customHeight="false" outlineLevel="0" collapsed="false">
      <c r="A392" s="0" t="n">
        <f aca="false">Data!AN392</f>
        <v>58.4</v>
      </c>
      <c r="B392" s="0" t="n">
        <f aca="false">INDEX(Data!$K392:$O392,Data!$E392)</f>
        <v>60.0775261344</v>
      </c>
    </row>
    <row r="393" customFormat="false" ht="15" hidden="false" customHeight="false" outlineLevel="0" collapsed="false">
      <c r="A393" s="0" t="n">
        <f aca="false">Data!AN393</f>
        <v>59.6</v>
      </c>
      <c r="B393" s="0" t="n">
        <f aca="false">INDEX(Data!$K393:$O393,Data!$E393)</f>
        <v>37.6279137458</v>
      </c>
    </row>
    <row r="394" customFormat="false" ht="15" hidden="false" customHeight="false" outlineLevel="0" collapsed="false">
      <c r="A394" s="0" t="n">
        <f aca="false">Data!AN394</f>
        <v>47.7</v>
      </c>
      <c r="B394" s="0" t="n">
        <f aca="false">INDEX(Data!$K394:$O394,Data!$E394)</f>
        <v>21.942522551</v>
      </c>
    </row>
    <row r="395" customFormat="false" ht="15" hidden="false" customHeight="false" outlineLevel="0" collapsed="false">
      <c r="A395" s="0" t="n">
        <f aca="false">Data!AN395</f>
        <v>64.1</v>
      </c>
      <c r="B395" s="0" t="n">
        <f aca="false">INDEX(Data!$K395:$O395,Data!$E395)</f>
        <v>79.4965556468</v>
      </c>
    </row>
    <row r="396" customFormat="false" ht="15" hidden="false" customHeight="false" outlineLevel="0" collapsed="false">
      <c r="A396" s="0" t="n">
        <f aca="false">Data!AN396</f>
        <v>62.3</v>
      </c>
      <c r="B396" s="0" t="n">
        <f aca="false">INDEX(Data!$K396:$O396,Data!$E396)</f>
        <v>54.4603826367</v>
      </c>
    </row>
    <row r="397" customFormat="false" ht="15" hidden="false" customHeight="false" outlineLevel="0" collapsed="false">
      <c r="A397" s="0" t="n">
        <f aca="false">Data!AN397</f>
        <v>46.5</v>
      </c>
      <c r="B397" s="0" t="n">
        <f aca="false">INDEX(Data!$K397:$O397,Data!$E397)</f>
        <v>0.0880903547691</v>
      </c>
    </row>
    <row r="398" customFormat="false" ht="15" hidden="false" customHeight="false" outlineLevel="0" collapsed="false">
      <c r="A398" s="0" t="n">
        <f aca="false">Data!AN398</f>
        <v>60.2</v>
      </c>
      <c r="B398" s="0" t="n">
        <f aca="false">INDEX(Data!$K398:$O398,Data!$E398)</f>
        <v>53.8889793699</v>
      </c>
    </row>
    <row r="399" customFormat="false" ht="15" hidden="false" customHeight="false" outlineLevel="0" collapsed="false">
      <c r="A399" s="0" t="n">
        <f aca="false">Data!AN399</f>
        <v>56</v>
      </c>
      <c r="B399" s="0" t="n">
        <f aca="false">INDEX(Data!$K399:$O399,Data!$E399)</f>
        <v>13.9075139737</v>
      </c>
    </row>
    <row r="400" customFormat="false" ht="15" hidden="false" customHeight="false" outlineLevel="0" collapsed="false">
      <c r="A400" s="0" t="n">
        <f aca="false">Data!AN400</f>
        <v>45.1</v>
      </c>
      <c r="B400" s="0" t="n">
        <f aca="false">INDEX(Data!$K400:$O400,Data!$E400)</f>
        <v>8.78336644126</v>
      </c>
    </row>
    <row r="401" customFormat="false" ht="15" hidden="false" customHeight="false" outlineLevel="0" collapsed="false">
      <c r="A401" s="0" t="n">
        <f aca="false">Data!AN401</f>
        <v>61.2</v>
      </c>
      <c r="B401" s="0" t="n">
        <f aca="false">INDEX(Data!$K401:$O401,Data!$E401)</f>
        <v>69.1510113471</v>
      </c>
    </row>
    <row r="402" customFormat="false" ht="15" hidden="false" customHeight="false" outlineLevel="0" collapsed="false">
      <c r="A402" s="0" t="n">
        <f aca="false">Data!AN402</f>
        <v>56.2</v>
      </c>
      <c r="B402" s="0" t="n">
        <f aca="false">INDEX(Data!$K402:$O402,Data!$E402)</f>
        <v>50.8280674443</v>
      </c>
    </row>
    <row r="403" customFormat="false" ht="15" hidden="false" customHeight="false" outlineLevel="0" collapsed="false">
      <c r="A403" s="0" t="n">
        <f aca="false">Data!AN403</f>
        <v>71.6</v>
      </c>
      <c r="B403" s="0" t="n">
        <f aca="false">INDEX(Data!$K403:$O403,Data!$E403)</f>
        <v>19.143168763</v>
      </c>
    </row>
    <row r="404" customFormat="false" ht="15" hidden="false" customHeight="false" outlineLevel="0" collapsed="false">
      <c r="A404" s="0" t="n">
        <f aca="false">Data!AN404</f>
        <v>71.6</v>
      </c>
      <c r="B404" s="0" t="n">
        <f aca="false">INDEX(Data!$K404:$O404,Data!$E404)</f>
        <v>14.9901598974</v>
      </c>
    </row>
    <row r="405" customFormat="false" ht="15" hidden="false" customHeight="false" outlineLevel="0" collapsed="false">
      <c r="A405" s="0" t="n">
        <f aca="false">Data!AN405</f>
        <v>67.3</v>
      </c>
      <c r="B405" s="0" t="n">
        <f aca="false">INDEX(Data!$K405:$O405,Data!$E405)</f>
        <v>70.9769745754</v>
      </c>
    </row>
    <row r="406" customFormat="false" ht="15" hidden="false" customHeight="false" outlineLevel="0" collapsed="false">
      <c r="A406" s="0" t="n">
        <f aca="false">Data!AN406</f>
        <v>51</v>
      </c>
      <c r="B406" s="0" t="n">
        <f aca="false">INDEX(Data!$K406:$O406,Data!$E406)</f>
        <v>16.94041927</v>
      </c>
    </row>
    <row r="407" customFormat="false" ht="15" hidden="false" customHeight="false" outlineLevel="0" collapsed="false">
      <c r="A407" s="0" t="n">
        <f aca="false">Data!AN407</f>
        <v>59.1</v>
      </c>
      <c r="B407" s="0" t="n">
        <f aca="false">INDEX(Data!$K407:$O407,Data!$E407)</f>
        <v>16.349012269</v>
      </c>
    </row>
    <row r="408" customFormat="false" ht="15" hidden="false" customHeight="false" outlineLevel="0" collapsed="false">
      <c r="A408" s="0" t="n">
        <f aca="false">Data!AN408</f>
        <v>55.5</v>
      </c>
      <c r="B408" s="0" t="n">
        <f aca="false">INDEX(Data!$K408:$O408,Data!$E408)</f>
        <v>30.8254013872</v>
      </c>
    </row>
    <row r="409" customFormat="false" ht="15" hidden="false" customHeight="false" outlineLevel="0" collapsed="false">
      <c r="A409" s="0" t="n">
        <f aca="false">Data!AN409</f>
        <v>53.1</v>
      </c>
      <c r="B409" s="0" t="n">
        <f aca="false">INDEX(Data!$K409:$O409,Data!$E409)</f>
        <v>24.0307343549</v>
      </c>
    </row>
    <row r="410" customFormat="false" ht="15" hidden="false" customHeight="false" outlineLevel="0" collapsed="false">
      <c r="A410" s="0" t="n">
        <f aca="false">Data!AN410</f>
        <v>60.7</v>
      </c>
      <c r="B410" s="0" t="n">
        <f aca="false">INDEX(Data!$K410:$O410,Data!$E410)</f>
        <v>45.2576566359</v>
      </c>
    </row>
    <row r="411" customFormat="false" ht="15" hidden="false" customHeight="false" outlineLevel="0" collapsed="false">
      <c r="A411" s="0" t="n">
        <f aca="false">Data!AN411</f>
        <v>55.7</v>
      </c>
      <c r="B411" s="0" t="n">
        <f aca="false">INDEX(Data!$K411:$O411,Data!$E411)</f>
        <v>66.2798225136</v>
      </c>
    </row>
    <row r="412" customFormat="false" ht="15" hidden="false" customHeight="false" outlineLevel="0" collapsed="false">
      <c r="A412" s="0" t="n">
        <f aca="false">Data!AN412</f>
        <v>82</v>
      </c>
      <c r="B412" s="0" t="n">
        <f aca="false">INDEX(Data!$K412:$O412,Data!$E412)</f>
        <v>6.42079347857</v>
      </c>
    </row>
    <row r="413" customFormat="false" ht="15" hidden="false" customHeight="false" outlineLevel="0" collapsed="false">
      <c r="A413" s="0" t="n">
        <f aca="false">Data!AN413</f>
        <v>53.7</v>
      </c>
      <c r="B413" s="0" t="n">
        <f aca="false">INDEX(Data!$K413:$O413,Data!$E413)</f>
        <v>11.514255489</v>
      </c>
    </row>
    <row r="414" customFormat="false" ht="15" hidden="false" customHeight="false" outlineLevel="0" collapsed="false">
      <c r="A414" s="0" t="n">
        <f aca="false">Data!AN414</f>
        <v>68.4</v>
      </c>
      <c r="B414" s="0" t="n">
        <f aca="false">INDEX(Data!$K414:$O414,Data!$E414)</f>
        <v>18.4900943452</v>
      </c>
    </row>
    <row r="415" customFormat="false" ht="15" hidden="false" customHeight="false" outlineLevel="0" collapsed="false">
      <c r="A415" s="0" t="n">
        <f aca="false">Data!AN415</f>
        <v>45.2</v>
      </c>
      <c r="B415" s="0" t="n">
        <f aca="false">INDEX(Data!$K415:$O415,Data!$E415)</f>
        <v>11.335727781</v>
      </c>
    </row>
    <row r="416" customFormat="false" ht="15" hidden="false" customHeight="false" outlineLevel="0" collapsed="false">
      <c r="A416" s="0" t="n">
        <f aca="false">Data!AN416</f>
        <v>67.2</v>
      </c>
      <c r="B416" s="0" t="n">
        <f aca="false">INDEX(Data!$K416:$O416,Data!$E416)</f>
        <v>44.39970412</v>
      </c>
    </row>
    <row r="417" customFormat="false" ht="15" hidden="false" customHeight="false" outlineLevel="0" collapsed="false">
      <c r="A417" s="0" t="n">
        <f aca="false">Data!AN417</f>
        <v>45.6</v>
      </c>
      <c r="B417" s="0" t="n">
        <f aca="false">INDEX(Data!$K417:$O417,Data!$E417)</f>
        <v>99.9326921959</v>
      </c>
    </row>
    <row r="418" customFormat="false" ht="15" hidden="false" customHeight="false" outlineLevel="0" collapsed="false">
      <c r="A418" s="0" t="n">
        <f aca="false">Data!AN418</f>
        <v>76.2</v>
      </c>
      <c r="B418" s="0" t="n">
        <f aca="false">INDEX(Data!$K418:$O418,Data!$E418)</f>
        <v>1.31512728478</v>
      </c>
    </row>
    <row r="419" customFormat="false" ht="15" hidden="false" customHeight="false" outlineLevel="0" collapsed="false">
      <c r="A419" s="0" t="n">
        <f aca="false">Data!AN419</f>
        <v>44.6</v>
      </c>
      <c r="B419" s="0" t="n">
        <f aca="false">INDEX(Data!$K419:$O419,Data!$E419)</f>
        <v>25.8762699066</v>
      </c>
    </row>
    <row r="420" customFormat="false" ht="15" hidden="false" customHeight="false" outlineLevel="0" collapsed="false">
      <c r="A420" s="0" t="n">
        <f aca="false">Data!AN420</f>
        <v>54.7</v>
      </c>
      <c r="B420" s="0" t="n">
        <f aca="false">INDEX(Data!$K420:$O420,Data!$E420)</f>
        <v>13.2873550475</v>
      </c>
    </row>
    <row r="421" customFormat="false" ht="15" hidden="false" customHeight="false" outlineLevel="0" collapsed="false">
      <c r="A421" s="0" t="n">
        <f aca="false">Data!AN421</f>
        <v>52.3</v>
      </c>
      <c r="B421" s="0" t="n">
        <f aca="false">INDEX(Data!$K421:$O421,Data!$E421)</f>
        <v>4.30336966156</v>
      </c>
    </row>
    <row r="422" customFormat="false" ht="15" hidden="false" customHeight="false" outlineLevel="0" collapsed="false">
      <c r="A422" s="0" t="n">
        <f aca="false">Data!AN422</f>
        <v>70.2</v>
      </c>
      <c r="B422" s="0" t="n">
        <f aca="false">INDEX(Data!$K422:$O422,Data!$E422)</f>
        <v>46.8886446564</v>
      </c>
    </row>
    <row r="423" customFormat="false" ht="15" hidden="false" customHeight="false" outlineLevel="0" collapsed="false">
      <c r="A423" s="0" t="n">
        <f aca="false">Data!AN423</f>
        <v>66.2</v>
      </c>
      <c r="B423" s="0" t="n">
        <f aca="false">INDEX(Data!$K423:$O423,Data!$E423)</f>
        <v>1.18753277459</v>
      </c>
    </row>
    <row r="424" customFormat="false" ht="15" hidden="false" customHeight="false" outlineLevel="0" collapsed="false">
      <c r="A424" s="0" t="n">
        <f aca="false">Data!AN424</f>
        <v>60.5</v>
      </c>
      <c r="B424" s="0" t="n">
        <f aca="false">INDEX(Data!$K424:$O424,Data!$E424)</f>
        <v>22.0775420784</v>
      </c>
    </row>
    <row r="425" customFormat="false" ht="15" hidden="false" customHeight="false" outlineLevel="0" collapsed="false">
      <c r="A425" s="0" t="n">
        <f aca="false">Data!AN425</f>
        <v>73.3</v>
      </c>
      <c r="B425" s="0" t="n">
        <f aca="false">INDEX(Data!$K425:$O425,Data!$E425)</f>
        <v>41.3093638663</v>
      </c>
    </row>
    <row r="426" customFormat="false" ht="15" hidden="false" customHeight="false" outlineLevel="0" collapsed="false">
      <c r="A426" s="0" t="n">
        <f aca="false">Data!AN426</f>
        <v>47.4</v>
      </c>
      <c r="B426" s="0" t="n">
        <f aca="false">INDEX(Data!$K426:$O426,Data!$E426)</f>
        <v>59.728505638</v>
      </c>
    </row>
    <row r="427" customFormat="false" ht="15" hidden="false" customHeight="false" outlineLevel="0" collapsed="false">
      <c r="A427" s="0" t="n">
        <f aca="false">Data!AN427</f>
        <v>58</v>
      </c>
      <c r="B427" s="0" t="n">
        <f aca="false">INDEX(Data!$K427:$O427,Data!$E427)</f>
        <v>6.48786243895</v>
      </c>
    </row>
    <row r="428" customFormat="false" ht="15" hidden="false" customHeight="false" outlineLevel="0" collapsed="false">
      <c r="A428" s="0" t="n">
        <f aca="false">Data!AN428</f>
        <v>61.1</v>
      </c>
      <c r="B428" s="0" t="n">
        <f aca="false">INDEX(Data!$K428:$O428,Data!$E428)</f>
        <v>37.9752680559</v>
      </c>
    </row>
    <row r="429" customFormat="false" ht="15" hidden="false" customHeight="false" outlineLevel="0" collapsed="false">
      <c r="A429" s="0" t="n">
        <f aca="false">Data!AN429</f>
        <v>60</v>
      </c>
      <c r="B429" s="0" t="n">
        <f aca="false">INDEX(Data!$K429:$O429,Data!$E429)</f>
        <v>54.7373929513</v>
      </c>
    </row>
    <row r="430" customFormat="false" ht="15" hidden="false" customHeight="false" outlineLevel="0" collapsed="false">
      <c r="A430" s="0" t="n">
        <f aca="false">Data!AN430</f>
        <v>76</v>
      </c>
      <c r="B430" s="0" t="n">
        <f aca="false">INDEX(Data!$K430:$O430,Data!$E430)</f>
        <v>1.8147278339</v>
      </c>
    </row>
    <row r="431" customFormat="false" ht="15" hidden="false" customHeight="false" outlineLevel="0" collapsed="false">
      <c r="A431" s="0" t="n">
        <f aca="false">Data!AN431</f>
        <v>44.6</v>
      </c>
      <c r="B431" s="0" t="n">
        <f aca="false">INDEX(Data!$K431:$O431,Data!$E431)</f>
        <v>38.3019206841</v>
      </c>
    </row>
    <row r="432" customFormat="false" ht="15" hidden="false" customHeight="false" outlineLevel="0" collapsed="false">
      <c r="A432" s="0" t="n">
        <f aca="false">Data!AN432</f>
        <v>54</v>
      </c>
      <c r="B432" s="0" t="n">
        <f aca="false">INDEX(Data!$K432:$O432,Data!$E432)</f>
        <v>77.7316923594</v>
      </c>
    </row>
    <row r="433" customFormat="false" ht="15" hidden="false" customHeight="false" outlineLevel="0" collapsed="false">
      <c r="A433" s="0" t="n">
        <f aca="false">Data!AN433</f>
        <v>55.9</v>
      </c>
      <c r="B433" s="0" t="n">
        <f aca="false">INDEX(Data!$K433:$O433,Data!$E433)</f>
        <v>62.0240777505</v>
      </c>
    </row>
    <row r="434" customFormat="false" ht="15" hidden="false" customHeight="false" outlineLevel="0" collapsed="false">
      <c r="A434" s="0" t="n">
        <f aca="false">Data!AN434</f>
        <v>63.1</v>
      </c>
      <c r="B434" s="0" t="n">
        <f aca="false">INDEX(Data!$K434:$O434,Data!$E434)</f>
        <v>87.9078119219</v>
      </c>
    </row>
    <row r="435" customFormat="false" ht="15" hidden="false" customHeight="false" outlineLevel="0" collapsed="false">
      <c r="A435" s="0" t="n">
        <f aca="false">Data!AN435</f>
        <v>48.8</v>
      </c>
      <c r="B435" s="0" t="n">
        <f aca="false">INDEX(Data!$K435:$O435,Data!$E435)</f>
        <v>31.2954293871</v>
      </c>
    </row>
    <row r="436" customFormat="false" ht="15" hidden="false" customHeight="false" outlineLevel="0" collapsed="false">
      <c r="A436" s="0" t="n">
        <f aca="false">Data!AN436</f>
        <v>54.9</v>
      </c>
      <c r="B436" s="0" t="n">
        <f aca="false">INDEX(Data!$K436:$O436,Data!$E436)</f>
        <v>97.3333712644</v>
      </c>
    </row>
    <row r="437" customFormat="false" ht="15" hidden="false" customHeight="false" outlineLevel="0" collapsed="false">
      <c r="A437" s="0" t="n">
        <f aca="false">Data!AN437</f>
        <v>44.3</v>
      </c>
      <c r="B437" s="0" t="n">
        <f aca="false">INDEX(Data!$K437:$O437,Data!$E437)</f>
        <v>24.6031058821</v>
      </c>
    </row>
    <row r="438" customFormat="false" ht="15" hidden="false" customHeight="false" outlineLevel="0" collapsed="false">
      <c r="A438" s="0" t="n">
        <f aca="false">Data!AN438</f>
        <v>53.5</v>
      </c>
      <c r="B438" s="0" t="n">
        <f aca="false">INDEX(Data!$K438:$O438,Data!$E438)</f>
        <v>24.7072578729</v>
      </c>
    </row>
    <row r="439" customFormat="false" ht="15" hidden="false" customHeight="false" outlineLevel="0" collapsed="false">
      <c r="A439" s="0" t="n">
        <f aca="false">Data!AN439</f>
        <v>63.3</v>
      </c>
      <c r="B439" s="0" t="n">
        <f aca="false">INDEX(Data!$K439:$O439,Data!$E439)</f>
        <v>3.02045640972</v>
      </c>
    </row>
    <row r="440" customFormat="false" ht="15" hidden="false" customHeight="false" outlineLevel="0" collapsed="false">
      <c r="A440" s="0" t="n">
        <f aca="false">Data!AN440</f>
        <v>52.2</v>
      </c>
      <c r="B440" s="0" t="n">
        <f aca="false">INDEX(Data!$K440:$O440,Data!$E440)</f>
        <v>25.1644889837</v>
      </c>
    </row>
    <row r="441" customFormat="false" ht="15" hidden="false" customHeight="false" outlineLevel="0" collapsed="false">
      <c r="A441" s="0" t="n">
        <f aca="false">Data!AN441</f>
        <v>41.5</v>
      </c>
      <c r="B441" s="0" t="n">
        <f aca="false">INDEX(Data!$K441:$O441,Data!$E441)</f>
        <v>50.1987249276</v>
      </c>
    </row>
    <row r="442" customFormat="false" ht="15" hidden="false" customHeight="false" outlineLevel="0" collapsed="false">
      <c r="A442" s="0" t="n">
        <f aca="false">Data!AN442</f>
        <v>71</v>
      </c>
      <c r="B442" s="0" t="n">
        <f aca="false">INDEX(Data!$K442:$O442,Data!$E442)</f>
        <v>53.9607441011</v>
      </c>
    </row>
    <row r="443" customFormat="false" ht="15" hidden="false" customHeight="false" outlineLevel="0" collapsed="false">
      <c r="A443" s="0" t="n">
        <f aca="false">Data!AN443</f>
        <v>74</v>
      </c>
      <c r="B443" s="0" t="n">
        <f aca="false">INDEX(Data!$K443:$O443,Data!$E443)</f>
        <v>25.4385909002</v>
      </c>
    </row>
    <row r="444" customFormat="false" ht="15" hidden="false" customHeight="false" outlineLevel="0" collapsed="false">
      <c r="A444" s="0" t="n">
        <f aca="false">Data!AN444</f>
        <v>69.8</v>
      </c>
      <c r="B444" s="0" t="n">
        <f aca="false">INDEX(Data!$K444:$O444,Data!$E444)</f>
        <v>53.954314355</v>
      </c>
    </row>
    <row r="445" customFormat="false" ht="15" hidden="false" customHeight="false" outlineLevel="0" collapsed="false">
      <c r="A445" s="0" t="n">
        <f aca="false">Data!AN445</f>
        <v>47</v>
      </c>
      <c r="B445" s="0" t="n">
        <f aca="false">INDEX(Data!$K445:$O445,Data!$E445)</f>
        <v>10.6853361579</v>
      </c>
    </row>
    <row r="446" customFormat="false" ht="15" hidden="false" customHeight="false" outlineLevel="0" collapsed="false">
      <c r="A446" s="0" t="n">
        <f aca="false">Data!AN446</f>
        <v>67.5</v>
      </c>
      <c r="B446" s="0" t="n">
        <f aca="false">INDEX(Data!$K446:$O446,Data!$E446)</f>
        <v>19.2538678078</v>
      </c>
    </row>
    <row r="447" customFormat="false" ht="15" hidden="false" customHeight="false" outlineLevel="0" collapsed="false">
      <c r="A447" s="0" t="n">
        <f aca="false">Data!AN447</f>
        <v>58.2</v>
      </c>
      <c r="B447" s="0" t="n">
        <f aca="false">INDEX(Data!$K447:$O447,Data!$E447)</f>
        <v>46.7340666399</v>
      </c>
    </row>
    <row r="448" customFormat="false" ht="15" hidden="false" customHeight="false" outlineLevel="0" collapsed="false">
      <c r="A448" s="0" t="n">
        <f aca="false">Data!AN448</f>
        <v>65</v>
      </c>
      <c r="B448" s="0" t="n">
        <f aca="false">INDEX(Data!$K448:$O448,Data!$E448)</f>
        <v>29.7380403673</v>
      </c>
    </row>
    <row r="449" customFormat="false" ht="15" hidden="false" customHeight="false" outlineLevel="0" collapsed="false">
      <c r="A449" s="0" t="n">
        <f aca="false">Data!AN449</f>
        <v>64.4</v>
      </c>
      <c r="B449" s="0" t="n">
        <f aca="false">INDEX(Data!$K449:$O449,Data!$E449)</f>
        <v>39.7477070872</v>
      </c>
    </row>
    <row r="450" customFormat="false" ht="15" hidden="false" customHeight="false" outlineLevel="0" collapsed="false">
      <c r="A450" s="0" t="n">
        <f aca="false">Data!AN450</f>
        <v>65.1</v>
      </c>
      <c r="B450" s="0" t="n">
        <f aca="false">INDEX(Data!$K450:$O450,Data!$E450)</f>
        <v>63.972143621</v>
      </c>
    </row>
    <row r="451" customFormat="false" ht="15" hidden="false" customHeight="false" outlineLevel="0" collapsed="false">
      <c r="A451" s="0" t="n">
        <f aca="false">Data!AN451</f>
        <v>71.8</v>
      </c>
      <c r="B451" s="0" t="n">
        <f aca="false">INDEX(Data!$K451:$O451,Data!$E451)</f>
        <v>9.72684078857</v>
      </c>
    </row>
    <row r="452" customFormat="false" ht="15" hidden="false" customHeight="false" outlineLevel="0" collapsed="false">
      <c r="A452" s="0" t="n">
        <f aca="false">Data!AN452</f>
        <v>61.9</v>
      </c>
      <c r="B452" s="0" t="n">
        <f aca="false">INDEX(Data!$K452:$O452,Data!$E452)</f>
        <v>37.7904305862</v>
      </c>
    </row>
    <row r="453" customFormat="false" ht="15" hidden="false" customHeight="false" outlineLevel="0" collapsed="false">
      <c r="A453" s="0" t="n">
        <f aca="false">Data!AN453</f>
        <v>60</v>
      </c>
      <c r="B453" s="0" t="n">
        <f aca="false">INDEX(Data!$K453:$O453,Data!$E453)</f>
        <v>36.1816027095</v>
      </c>
    </row>
    <row r="454" customFormat="false" ht="15" hidden="false" customHeight="false" outlineLevel="0" collapsed="false">
      <c r="A454" s="0" t="n">
        <f aca="false">Data!AN454</f>
        <v>64.2</v>
      </c>
      <c r="B454" s="0" t="n">
        <f aca="false">INDEX(Data!$K454:$O454,Data!$E454)</f>
        <v>25.6989275777</v>
      </c>
    </row>
    <row r="455" customFormat="false" ht="15" hidden="false" customHeight="false" outlineLevel="0" collapsed="false">
      <c r="A455" s="0" t="n">
        <f aca="false">Data!AN455</f>
        <v>65.1</v>
      </c>
      <c r="B455" s="0" t="n">
        <f aca="false">INDEX(Data!$K455:$O455,Data!$E455)</f>
        <v>50.7533638117</v>
      </c>
    </row>
    <row r="456" customFormat="false" ht="15" hidden="false" customHeight="false" outlineLevel="0" collapsed="false">
      <c r="A456" s="0" t="n">
        <f aca="false">Data!AN456</f>
        <v>76.4</v>
      </c>
      <c r="B456" s="0" t="n">
        <f aca="false">INDEX(Data!$K456:$O456,Data!$E456)</f>
        <v>33.5249581571</v>
      </c>
    </row>
    <row r="457" customFormat="false" ht="15" hidden="false" customHeight="false" outlineLevel="0" collapsed="false">
      <c r="A457" s="0" t="n">
        <f aca="false">Data!AN457</f>
        <v>67.1</v>
      </c>
      <c r="B457" s="0" t="n">
        <f aca="false">INDEX(Data!$K457:$O457,Data!$E457)</f>
        <v>6.772972675</v>
      </c>
    </row>
    <row r="458" customFormat="false" ht="15" hidden="false" customHeight="false" outlineLevel="0" collapsed="false">
      <c r="A458" s="0" t="n">
        <f aca="false">Data!AN458</f>
        <v>67.2</v>
      </c>
      <c r="B458" s="0" t="n">
        <f aca="false">INDEX(Data!$K458:$O458,Data!$E458)</f>
        <v>39.81480399</v>
      </c>
    </row>
    <row r="459" customFormat="false" ht="15" hidden="false" customHeight="false" outlineLevel="0" collapsed="false">
      <c r="A459" s="0" t="n">
        <f aca="false">Data!AN459</f>
        <v>54</v>
      </c>
      <c r="B459" s="0" t="n">
        <f aca="false">INDEX(Data!$K459:$O459,Data!$E459)</f>
        <v>84.2326269077</v>
      </c>
    </row>
    <row r="460" customFormat="false" ht="15" hidden="false" customHeight="false" outlineLevel="0" collapsed="false">
      <c r="A460" s="0" t="n">
        <f aca="false">Data!AN460</f>
        <v>51.8</v>
      </c>
      <c r="B460" s="0" t="n">
        <f aca="false">INDEX(Data!$K460:$O460,Data!$E460)</f>
        <v>39.7691944983</v>
      </c>
    </row>
    <row r="461" customFormat="false" ht="15" hidden="false" customHeight="false" outlineLevel="0" collapsed="false">
      <c r="A461" s="0" t="n">
        <f aca="false">Data!AN461</f>
        <v>59.4</v>
      </c>
      <c r="B461" s="0" t="n">
        <f aca="false">INDEX(Data!$K461:$O461,Data!$E461)</f>
        <v>16.7201195834</v>
      </c>
    </row>
    <row r="462" customFormat="false" ht="15" hidden="false" customHeight="false" outlineLevel="0" collapsed="false">
      <c r="A462" s="0" t="n">
        <f aca="false">Data!AN462</f>
        <v>63.6</v>
      </c>
      <c r="B462" s="0" t="n">
        <f aca="false">INDEX(Data!$K462:$O462,Data!$E462)</f>
        <v>26.8533345292</v>
      </c>
    </row>
    <row r="463" customFormat="false" ht="15" hidden="false" customHeight="false" outlineLevel="0" collapsed="false">
      <c r="A463" s="0" t="n">
        <f aca="false">Data!AN463</f>
        <v>63.3</v>
      </c>
      <c r="B463" s="0" t="n">
        <f aca="false">INDEX(Data!$K463:$O463,Data!$E463)</f>
        <v>79.0858865125</v>
      </c>
    </row>
    <row r="464" customFormat="false" ht="15" hidden="false" customHeight="false" outlineLevel="0" collapsed="false">
      <c r="A464" s="0" t="n">
        <f aca="false">Data!AN464</f>
        <v>62.5</v>
      </c>
      <c r="B464" s="0" t="n">
        <f aca="false">INDEX(Data!$K464:$O464,Data!$E464)</f>
        <v>20.6474013356</v>
      </c>
    </row>
    <row r="465" customFormat="false" ht="15" hidden="false" customHeight="false" outlineLevel="0" collapsed="false">
      <c r="A465" s="0" t="n">
        <f aca="false">Data!AN465</f>
        <v>72.4</v>
      </c>
      <c r="B465" s="0" t="n">
        <f aca="false">INDEX(Data!$K465:$O465,Data!$E465)</f>
        <v>12.9332205184</v>
      </c>
    </row>
    <row r="466" customFormat="false" ht="15" hidden="false" customHeight="false" outlineLevel="0" collapsed="false">
      <c r="A466" s="0" t="n">
        <f aca="false">Data!AN466</f>
        <v>82.2</v>
      </c>
      <c r="B466" s="0" t="n">
        <f aca="false">INDEX(Data!$K466:$O466,Data!$E466)</f>
        <v>4.90916638595</v>
      </c>
    </row>
    <row r="467" customFormat="false" ht="15" hidden="false" customHeight="false" outlineLevel="0" collapsed="false">
      <c r="A467" s="0" t="n">
        <f aca="false">Data!AN467</f>
        <v>58.8</v>
      </c>
      <c r="B467" s="0" t="n">
        <f aca="false">INDEX(Data!$K467:$O467,Data!$E467)</f>
        <v>38.9925945758</v>
      </c>
    </row>
    <row r="468" customFormat="false" ht="15" hidden="false" customHeight="false" outlineLevel="0" collapsed="false">
      <c r="A468" s="0" t="n">
        <f aca="false">Data!AN468</f>
        <v>66.3</v>
      </c>
      <c r="B468" s="0" t="n">
        <f aca="false">INDEX(Data!$K468:$O468,Data!$E468)</f>
        <v>6.49213339423</v>
      </c>
    </row>
    <row r="469" customFormat="false" ht="15" hidden="false" customHeight="false" outlineLevel="0" collapsed="false">
      <c r="A469" s="0" t="n">
        <f aca="false">Data!AN469</f>
        <v>75.4</v>
      </c>
      <c r="B469" s="0" t="n">
        <f aca="false">INDEX(Data!$K469:$O469,Data!$E469)</f>
        <v>2.94260029477</v>
      </c>
    </row>
    <row r="470" customFormat="false" ht="15" hidden="false" customHeight="false" outlineLevel="0" collapsed="false">
      <c r="A470" s="0" t="n">
        <f aca="false">Data!AN470</f>
        <v>63.2</v>
      </c>
      <c r="B470" s="0" t="n">
        <f aca="false">INDEX(Data!$K470:$O470,Data!$E470)</f>
        <v>32.5839557989</v>
      </c>
    </row>
    <row r="471" customFormat="false" ht="15" hidden="false" customHeight="false" outlineLevel="0" collapsed="false">
      <c r="A471" s="0" t="n">
        <f aca="false">Data!AN471</f>
        <v>67.6</v>
      </c>
      <c r="B471" s="0" t="n">
        <f aca="false">INDEX(Data!$K471:$O471,Data!$E471)</f>
        <v>24.8351724484</v>
      </c>
    </row>
    <row r="472" customFormat="false" ht="15" hidden="false" customHeight="false" outlineLevel="0" collapsed="false">
      <c r="A472" s="0" t="n">
        <f aca="false">Data!AN472</f>
        <v>57.9</v>
      </c>
      <c r="B472" s="0" t="n">
        <f aca="false">INDEX(Data!$K472:$O472,Data!$E472)</f>
        <v>89.9648809036</v>
      </c>
    </row>
    <row r="473" customFormat="false" ht="15" hidden="false" customHeight="false" outlineLevel="0" collapsed="false">
      <c r="A473" s="0" t="n">
        <f aca="false">Data!AN473</f>
        <v>56.8</v>
      </c>
      <c r="B473" s="0" t="n">
        <f aca="false">INDEX(Data!$K473:$O473,Data!$E473)</f>
        <v>57.8919351419</v>
      </c>
    </row>
    <row r="474" customFormat="false" ht="15" hidden="false" customHeight="false" outlineLevel="0" collapsed="false">
      <c r="A474" s="0" t="n">
        <f aca="false">Data!AN474</f>
        <v>71.1</v>
      </c>
      <c r="B474" s="0" t="n">
        <f aca="false">INDEX(Data!$K474:$O474,Data!$E474)</f>
        <v>3.89580989989</v>
      </c>
    </row>
    <row r="475" customFormat="false" ht="15" hidden="false" customHeight="false" outlineLevel="0" collapsed="false">
      <c r="A475" s="0" t="n">
        <f aca="false">Data!AN475</f>
        <v>56.2</v>
      </c>
      <c r="B475" s="0" t="n">
        <f aca="false">INDEX(Data!$K475:$O475,Data!$E475)</f>
        <v>19.405162809</v>
      </c>
    </row>
    <row r="476" customFormat="false" ht="15" hidden="false" customHeight="false" outlineLevel="0" collapsed="false">
      <c r="A476" s="0" t="n">
        <f aca="false">Data!AN476</f>
        <v>63.2</v>
      </c>
      <c r="B476" s="0" t="n">
        <f aca="false">INDEX(Data!$K476:$O476,Data!$E476)</f>
        <v>3.90809458907</v>
      </c>
    </row>
    <row r="477" customFormat="false" ht="15" hidden="false" customHeight="false" outlineLevel="0" collapsed="false">
      <c r="A477" s="0" t="n">
        <f aca="false">Data!AN477</f>
        <v>63.2</v>
      </c>
      <c r="B477" s="0" t="n">
        <f aca="false">INDEX(Data!$K477:$O477,Data!$E477)</f>
        <v>38.987316838</v>
      </c>
    </row>
    <row r="478" customFormat="false" ht="15" hidden="false" customHeight="false" outlineLevel="0" collapsed="false">
      <c r="A478" s="0" t="n">
        <f aca="false">Data!AN478</f>
        <v>65.7</v>
      </c>
      <c r="B478" s="0" t="n">
        <f aca="false">INDEX(Data!$K478:$O478,Data!$E478)</f>
        <v>72.5346933798</v>
      </c>
    </row>
    <row r="479" customFormat="false" ht="15" hidden="false" customHeight="false" outlineLevel="0" collapsed="false">
      <c r="A479" s="0" t="n">
        <f aca="false">Data!AN479</f>
        <v>62.4</v>
      </c>
      <c r="B479" s="0" t="n">
        <f aca="false">INDEX(Data!$K479:$O479,Data!$E479)</f>
        <v>50.9893650379</v>
      </c>
    </row>
    <row r="480" customFormat="false" ht="15" hidden="false" customHeight="false" outlineLevel="0" collapsed="false">
      <c r="A480" s="0" t="n">
        <f aca="false">Data!AN480</f>
        <v>57</v>
      </c>
      <c r="B480" s="0" t="n">
        <f aca="false">INDEX(Data!$K480:$O480,Data!$E480)</f>
        <v>99.339369801</v>
      </c>
    </row>
    <row r="481" customFormat="false" ht="15" hidden="false" customHeight="false" outlineLevel="0" collapsed="false">
      <c r="A481" s="0" t="n">
        <f aca="false">Data!AN481</f>
        <v>52.3</v>
      </c>
      <c r="B481" s="0" t="n">
        <f aca="false">INDEX(Data!$K481:$O481,Data!$E481)</f>
        <v>7.62855081803</v>
      </c>
    </row>
    <row r="482" customFormat="false" ht="15" hidden="false" customHeight="false" outlineLevel="0" collapsed="false">
      <c r="A482" s="0" t="n">
        <f aca="false">Data!AN482</f>
        <v>58.9</v>
      </c>
      <c r="B482" s="0" t="n">
        <f aca="false">INDEX(Data!$K482:$O482,Data!$E482)</f>
        <v>20.6248029697</v>
      </c>
    </row>
    <row r="483" customFormat="false" ht="15" hidden="false" customHeight="false" outlineLevel="0" collapsed="false">
      <c r="A483" s="0" t="n">
        <f aca="false">Data!AN483</f>
        <v>65.5</v>
      </c>
      <c r="B483" s="0" t="n">
        <f aca="false">INDEX(Data!$K483:$O483,Data!$E483)</f>
        <v>17.2445629747</v>
      </c>
    </row>
    <row r="484" customFormat="false" ht="15" hidden="false" customHeight="false" outlineLevel="0" collapsed="false">
      <c r="A484" s="0" t="n">
        <f aca="false">Data!AN484</f>
        <v>63.4</v>
      </c>
      <c r="B484" s="0" t="n">
        <f aca="false">INDEX(Data!$K484:$O484,Data!$E484)</f>
        <v>94.82982099</v>
      </c>
    </row>
    <row r="485" customFormat="false" ht="15" hidden="false" customHeight="false" outlineLevel="0" collapsed="false">
      <c r="A485" s="0" t="n">
        <f aca="false">Data!AN485</f>
        <v>57.4</v>
      </c>
      <c r="B485" s="0" t="n">
        <f aca="false">INDEX(Data!$K485:$O485,Data!$E485)</f>
        <v>42.8189301275</v>
      </c>
    </row>
    <row r="486" customFormat="false" ht="15" hidden="false" customHeight="false" outlineLevel="0" collapsed="false">
      <c r="A486" s="0" t="n">
        <f aca="false">Data!AN486</f>
        <v>78.1</v>
      </c>
      <c r="B486" s="0" t="n">
        <f aca="false">INDEX(Data!$K486:$O486,Data!$E486)</f>
        <v>50.4867709805</v>
      </c>
    </row>
    <row r="487" customFormat="false" ht="15" hidden="false" customHeight="false" outlineLevel="0" collapsed="false">
      <c r="A487" s="0" t="n">
        <f aca="false">Data!AN487</f>
        <v>63.5</v>
      </c>
      <c r="B487" s="0" t="n">
        <f aca="false">INDEX(Data!$K487:$O487,Data!$E487)</f>
        <v>26.2945997249</v>
      </c>
    </row>
    <row r="488" customFormat="false" ht="15" hidden="false" customHeight="false" outlineLevel="0" collapsed="false">
      <c r="A488" s="0" t="n">
        <f aca="false">Data!AN488</f>
        <v>77.8</v>
      </c>
      <c r="B488" s="0" t="n">
        <f aca="false">INDEX(Data!$K488:$O488,Data!$E488)</f>
        <v>16.7899370501</v>
      </c>
    </row>
    <row r="489" customFormat="false" ht="15" hidden="false" customHeight="false" outlineLevel="0" collapsed="false">
      <c r="A489" s="0" t="n">
        <f aca="false">Data!AN489</f>
        <v>70.1</v>
      </c>
      <c r="B489" s="0" t="n">
        <f aca="false">INDEX(Data!$K489:$O489,Data!$E489)</f>
        <v>52.7590509643</v>
      </c>
    </row>
    <row r="490" customFormat="false" ht="15" hidden="false" customHeight="false" outlineLevel="0" collapsed="false">
      <c r="A490" s="0" t="n">
        <f aca="false">Data!AN490</f>
        <v>69.2</v>
      </c>
      <c r="B490" s="0" t="n">
        <f aca="false">INDEX(Data!$K490:$O490,Data!$E490)</f>
        <v>72.5741912323</v>
      </c>
    </row>
    <row r="491" customFormat="false" ht="15" hidden="false" customHeight="false" outlineLevel="0" collapsed="false">
      <c r="A491" s="0" t="n">
        <f aca="false">Data!AN491</f>
        <v>56.2</v>
      </c>
      <c r="B491" s="0" t="n">
        <f aca="false">INDEX(Data!$K491:$O491,Data!$E491)</f>
        <v>24.6629226808</v>
      </c>
    </row>
    <row r="492" customFormat="false" ht="15" hidden="false" customHeight="false" outlineLevel="0" collapsed="false">
      <c r="A492" s="0" t="n">
        <f aca="false">Data!AN492</f>
        <v>72.4</v>
      </c>
      <c r="B492" s="0" t="n">
        <f aca="false">INDEX(Data!$K492:$O492,Data!$E492)</f>
        <v>12.7670750308</v>
      </c>
    </row>
    <row r="493" customFormat="false" ht="15" hidden="false" customHeight="false" outlineLevel="0" collapsed="false">
      <c r="A493" s="0" t="n">
        <f aca="false">Data!AN493</f>
        <v>73.3</v>
      </c>
      <c r="B493" s="0" t="n">
        <f aca="false">INDEX(Data!$K493:$O493,Data!$E493)</f>
        <v>52.7338299024</v>
      </c>
    </row>
    <row r="494" customFormat="false" ht="15" hidden="false" customHeight="false" outlineLevel="0" collapsed="false">
      <c r="A494" s="0" t="n">
        <f aca="false">Data!AN494</f>
        <v>49.6</v>
      </c>
      <c r="B494" s="0" t="n">
        <f aca="false">INDEX(Data!$K494:$O494,Data!$E494)</f>
        <v>79.0733776181</v>
      </c>
    </row>
    <row r="495" customFormat="false" ht="15" hidden="false" customHeight="false" outlineLevel="0" collapsed="false">
      <c r="A495" s="0" t="n">
        <f aca="false">Data!AN495</f>
        <v>61.7</v>
      </c>
      <c r="B495" s="0" t="n">
        <f aca="false">INDEX(Data!$K495:$O495,Data!$E495)</f>
        <v>69.1999891634</v>
      </c>
    </row>
    <row r="496" customFormat="false" ht="15" hidden="false" customHeight="false" outlineLevel="0" collapsed="false">
      <c r="A496" s="0" t="n">
        <f aca="false">Data!AN496</f>
        <v>60.2</v>
      </c>
      <c r="B496" s="0" t="n">
        <f aca="false">INDEX(Data!$K496:$O496,Data!$E496)</f>
        <v>18.4931360658</v>
      </c>
    </row>
    <row r="497" customFormat="false" ht="15" hidden="false" customHeight="false" outlineLevel="0" collapsed="false">
      <c r="A497" s="0" t="n">
        <f aca="false">Data!AN497</f>
        <v>45.8</v>
      </c>
      <c r="B497" s="0" t="n">
        <f aca="false">INDEX(Data!$K497:$O497,Data!$E497)</f>
        <v>1.31477833526</v>
      </c>
    </row>
    <row r="498" customFormat="false" ht="15" hidden="false" customHeight="false" outlineLevel="0" collapsed="false">
      <c r="A498" s="0" t="n">
        <f aca="false">Data!AN498</f>
        <v>59.5</v>
      </c>
      <c r="B498" s="0" t="n">
        <f aca="false">INDEX(Data!$K498:$O498,Data!$E498)</f>
        <v>50.7665675453</v>
      </c>
    </row>
    <row r="499" customFormat="false" ht="15" hidden="false" customHeight="false" outlineLevel="0" collapsed="false">
      <c r="A499" s="0" t="n">
        <f aca="false">Data!AN499</f>
        <v>57.2</v>
      </c>
      <c r="B499" s="0" t="n">
        <f aca="false">INDEX(Data!$K499:$O499,Data!$E499)</f>
        <v>70.1654767943</v>
      </c>
    </row>
    <row r="500" customFormat="false" ht="15" hidden="false" customHeight="false" outlineLevel="0" collapsed="false">
      <c r="A500" s="0" t="n">
        <f aca="false">Data!AN500</f>
        <v>65.4</v>
      </c>
      <c r="B500" s="0" t="n">
        <f aca="false">INDEX(Data!$K500:$O500,Data!$E500)</f>
        <v>18.1166095253</v>
      </c>
    </row>
    <row r="501" customFormat="false" ht="15" hidden="false" customHeight="false" outlineLevel="0" collapsed="false">
      <c r="A501" s="0" t="n">
        <f aca="false">Data!AN501</f>
        <v>73.8</v>
      </c>
      <c r="B501" s="0" t="n">
        <f aca="false">INDEX(Data!$K501:$O501,Data!$E501)</f>
        <v>5.63467641289</v>
      </c>
    </row>
    <row r="502" customFormat="false" ht="15" hidden="false" customHeight="false" outlineLevel="0" collapsed="false">
      <c r="A502" s="0" t="n">
        <f aca="false">Data!AN502</f>
        <v>67.2</v>
      </c>
      <c r="B502" s="0" t="n">
        <f aca="false">INDEX(Data!$K502:$O502,Data!$E502)</f>
        <v>2.40915002466</v>
      </c>
    </row>
    <row r="503" customFormat="false" ht="15" hidden="false" customHeight="false" outlineLevel="0" collapsed="false">
      <c r="A503" s="0" t="n">
        <f aca="false">Data!AN503</f>
        <v>49.5</v>
      </c>
      <c r="B503" s="0" t="n">
        <f aca="false">INDEX(Data!$K503:$O503,Data!$E503)</f>
        <v>56.6380758463</v>
      </c>
    </row>
    <row r="504" customFormat="false" ht="15" hidden="false" customHeight="false" outlineLevel="0" collapsed="false">
      <c r="A504" s="0" t="n">
        <f aca="false">Data!AN504</f>
        <v>77.4</v>
      </c>
      <c r="B504" s="0" t="n">
        <f aca="false">INDEX(Data!$K504:$O504,Data!$E504)</f>
        <v>65.3500563924</v>
      </c>
    </row>
    <row r="505" customFormat="false" ht="15" hidden="false" customHeight="false" outlineLevel="0" collapsed="false">
      <c r="A505" s="0" t="n">
        <f aca="false">Data!AN505</f>
        <v>53.6</v>
      </c>
      <c r="B505" s="0" t="n">
        <f aca="false">INDEX(Data!$K505:$O505,Data!$E505)</f>
        <v>27.9026583926</v>
      </c>
    </row>
    <row r="506" customFormat="false" ht="15" hidden="false" customHeight="false" outlineLevel="0" collapsed="false">
      <c r="A506" s="0" t="n">
        <f aca="false">Data!AN506</f>
        <v>49.6</v>
      </c>
      <c r="B506" s="0" t="n">
        <f aca="false">INDEX(Data!$K506:$O506,Data!$E506)</f>
        <v>9.46948754102</v>
      </c>
    </row>
    <row r="507" customFormat="false" ht="15" hidden="false" customHeight="false" outlineLevel="0" collapsed="false">
      <c r="A507" s="0" t="n">
        <f aca="false">Data!AN507</f>
        <v>44.5</v>
      </c>
      <c r="B507" s="0" t="n">
        <f aca="false">INDEX(Data!$K507:$O507,Data!$E507)</f>
        <v>16.5458185008</v>
      </c>
    </row>
    <row r="508" customFormat="false" ht="15" hidden="false" customHeight="false" outlineLevel="0" collapsed="false">
      <c r="A508" s="0" t="n">
        <f aca="false">Data!AN508</f>
        <v>40.8</v>
      </c>
      <c r="B508" s="0" t="n">
        <f aca="false">INDEX(Data!$K508:$O508,Data!$E508)</f>
        <v>42.7865996994</v>
      </c>
    </row>
    <row r="509" customFormat="false" ht="15" hidden="false" customHeight="false" outlineLevel="0" collapsed="false">
      <c r="A509" s="0" t="n">
        <f aca="false">Data!AN509</f>
        <v>70.1</v>
      </c>
      <c r="B509" s="0" t="n">
        <f aca="false">INDEX(Data!$K509:$O509,Data!$E509)</f>
        <v>8.86566722446</v>
      </c>
    </row>
    <row r="510" customFormat="false" ht="15" hidden="false" customHeight="false" outlineLevel="0" collapsed="false">
      <c r="A510" s="0" t="n">
        <f aca="false">Data!AN510</f>
        <v>53.4</v>
      </c>
      <c r="B510" s="0" t="n">
        <f aca="false">INDEX(Data!$K510:$O510,Data!$E510)</f>
        <v>36.2797450406</v>
      </c>
    </row>
    <row r="511" customFormat="false" ht="15" hidden="false" customHeight="false" outlineLevel="0" collapsed="false">
      <c r="A511" s="0" t="n">
        <f aca="false">Data!AN511</f>
        <v>52.5</v>
      </c>
      <c r="B511" s="0" t="n">
        <f aca="false">INDEX(Data!$K511:$O511,Data!$E511)</f>
        <v>69.7315432515</v>
      </c>
    </row>
    <row r="512" customFormat="false" ht="15" hidden="false" customHeight="false" outlineLevel="0" collapsed="false">
      <c r="A512" s="0" t="n">
        <f aca="false">Data!AN512</f>
        <v>70.1</v>
      </c>
      <c r="B512" s="0" t="n">
        <f aca="false">INDEX(Data!$K512:$O512,Data!$E512)</f>
        <v>40.4519672362</v>
      </c>
    </row>
    <row r="513" customFormat="false" ht="15" hidden="false" customHeight="false" outlineLevel="0" collapsed="false">
      <c r="A513" s="0" t="n">
        <f aca="false">Data!AN513</f>
        <v>62.6</v>
      </c>
      <c r="B513" s="0" t="n">
        <f aca="false">INDEX(Data!$K513:$O513,Data!$E513)</f>
        <v>7.49310513121</v>
      </c>
    </row>
    <row r="514" customFormat="false" ht="15" hidden="false" customHeight="false" outlineLevel="0" collapsed="false">
      <c r="A514" s="0" t="n">
        <f aca="false">Data!AN514</f>
        <v>72.6</v>
      </c>
      <c r="B514" s="0" t="n">
        <f aca="false">INDEX(Data!$K514:$O514,Data!$E514)</f>
        <v>3.08621372484</v>
      </c>
    </row>
    <row r="515" customFormat="false" ht="15" hidden="false" customHeight="false" outlineLevel="0" collapsed="false">
      <c r="A515" s="0" t="n">
        <f aca="false">Data!AN515</f>
        <v>74.6</v>
      </c>
      <c r="B515" s="0" t="n">
        <f aca="false">INDEX(Data!$K515:$O515,Data!$E515)</f>
        <v>22.112893522</v>
      </c>
    </row>
    <row r="516" customFormat="false" ht="15" hidden="false" customHeight="false" outlineLevel="0" collapsed="false">
      <c r="A516" s="0" t="n">
        <f aca="false">Data!AN516</f>
        <v>59</v>
      </c>
      <c r="B516" s="0" t="n">
        <f aca="false">INDEX(Data!$K516:$O516,Data!$E516)</f>
        <v>75.7761537838</v>
      </c>
    </row>
    <row r="517" customFormat="false" ht="15" hidden="false" customHeight="false" outlineLevel="0" collapsed="false">
      <c r="A517" s="0" t="n">
        <f aca="false">Data!AN517</f>
        <v>64.1</v>
      </c>
      <c r="B517" s="0" t="n">
        <f aca="false">INDEX(Data!$K517:$O517,Data!$E517)</f>
        <v>13.5000151929</v>
      </c>
    </row>
    <row r="518" customFormat="false" ht="15" hidden="false" customHeight="false" outlineLevel="0" collapsed="false">
      <c r="A518" s="0" t="n">
        <f aca="false">Data!AN518</f>
        <v>64.6</v>
      </c>
      <c r="B518" s="0" t="n">
        <f aca="false">INDEX(Data!$K518:$O518,Data!$E518)</f>
        <v>11.2070107852</v>
      </c>
    </row>
    <row r="519" customFormat="false" ht="15" hidden="false" customHeight="false" outlineLevel="0" collapsed="false">
      <c r="A519" s="0" t="n">
        <f aca="false">Data!AN519</f>
        <v>49.4</v>
      </c>
      <c r="B519" s="0" t="n">
        <f aca="false">INDEX(Data!$K519:$O519,Data!$E519)</f>
        <v>10.8530063021</v>
      </c>
    </row>
    <row r="520" customFormat="false" ht="15" hidden="false" customHeight="false" outlineLevel="0" collapsed="false">
      <c r="A520" s="0" t="n">
        <f aca="false">Data!AN520</f>
        <v>39.2</v>
      </c>
      <c r="B520" s="0" t="n">
        <f aca="false">INDEX(Data!$K520:$O520,Data!$E520)</f>
        <v>0.256166575738</v>
      </c>
    </row>
    <row r="521" customFormat="false" ht="15" hidden="false" customHeight="false" outlineLevel="0" collapsed="false">
      <c r="A521" s="0" t="n">
        <f aca="false">Data!AN521</f>
        <v>61.4</v>
      </c>
      <c r="B521" s="0" t="n">
        <f aca="false">INDEX(Data!$K521:$O521,Data!$E521)</f>
        <v>13.458735427</v>
      </c>
    </row>
    <row r="522" customFormat="false" ht="15" hidden="false" customHeight="false" outlineLevel="0" collapsed="false">
      <c r="A522" s="0" t="n">
        <f aca="false">Data!AN522</f>
        <v>46.3</v>
      </c>
      <c r="B522" s="0" t="n">
        <f aca="false">INDEX(Data!$K522:$O522,Data!$E522)</f>
        <v>70.2353569533</v>
      </c>
    </row>
    <row r="523" customFormat="false" ht="15" hidden="false" customHeight="false" outlineLevel="0" collapsed="false">
      <c r="A523" s="0" t="n">
        <f aca="false">Data!AN523</f>
        <v>56.6</v>
      </c>
      <c r="B523" s="0" t="n">
        <f aca="false">INDEX(Data!$K523:$O523,Data!$E523)</f>
        <v>0.165694688332</v>
      </c>
    </row>
    <row r="524" customFormat="false" ht="15" hidden="false" customHeight="false" outlineLevel="0" collapsed="false">
      <c r="A524" s="0" t="n">
        <f aca="false">Data!AN524</f>
        <v>67.7</v>
      </c>
      <c r="B524" s="0" t="n">
        <f aca="false">INDEX(Data!$K524:$O524,Data!$E524)</f>
        <v>34.7657891936</v>
      </c>
    </row>
    <row r="525" customFormat="false" ht="15" hidden="false" customHeight="false" outlineLevel="0" collapsed="false">
      <c r="A525" s="0" t="n">
        <f aca="false">Data!AN525</f>
        <v>69.8</v>
      </c>
      <c r="B525" s="0" t="n">
        <f aca="false">INDEX(Data!$K525:$O525,Data!$E525)</f>
        <v>86.9241888344</v>
      </c>
    </row>
    <row r="526" customFormat="false" ht="15" hidden="false" customHeight="false" outlineLevel="0" collapsed="false">
      <c r="A526" s="0" t="n">
        <f aca="false">Data!AN526</f>
        <v>70.4</v>
      </c>
      <c r="B526" s="0" t="n">
        <f aca="false">INDEX(Data!$K526:$O526,Data!$E526)</f>
        <v>53.376092863</v>
      </c>
    </row>
    <row r="527" customFormat="false" ht="15" hidden="false" customHeight="false" outlineLevel="0" collapsed="false">
      <c r="A527" s="0" t="n">
        <f aca="false">Data!AN527</f>
        <v>77.4</v>
      </c>
      <c r="B527" s="0" t="n">
        <f aca="false">INDEX(Data!$K527:$O527,Data!$E527)</f>
        <v>43.893785755</v>
      </c>
    </row>
    <row r="528" customFormat="false" ht="15" hidden="false" customHeight="false" outlineLevel="0" collapsed="false">
      <c r="A528" s="0" t="n">
        <f aca="false">Data!AN528</f>
        <v>63.4</v>
      </c>
      <c r="B528" s="0" t="n">
        <f aca="false">INDEX(Data!$K528:$O528,Data!$E528)</f>
        <v>99.843509655</v>
      </c>
    </row>
    <row r="529" customFormat="false" ht="15" hidden="false" customHeight="false" outlineLevel="0" collapsed="false">
      <c r="A529" s="0" t="n">
        <f aca="false">Data!AN529</f>
        <v>57.2</v>
      </c>
      <c r="B529" s="0" t="n">
        <f aca="false">INDEX(Data!$K529:$O529,Data!$E529)</f>
        <v>4.41536710639</v>
      </c>
    </row>
    <row r="530" customFormat="false" ht="15" hidden="false" customHeight="false" outlineLevel="0" collapsed="false">
      <c r="A530" s="0" t="n">
        <f aca="false">Data!AN530</f>
        <v>65.8</v>
      </c>
      <c r="B530" s="0" t="n">
        <f aca="false">INDEX(Data!$K530:$O530,Data!$E530)</f>
        <v>28.7146176294</v>
      </c>
    </row>
    <row r="531" customFormat="false" ht="15" hidden="false" customHeight="false" outlineLevel="0" collapsed="false">
      <c r="A531" s="0" t="n">
        <f aca="false">Data!AN531</f>
        <v>52.9</v>
      </c>
      <c r="B531" s="0" t="n">
        <f aca="false">INDEX(Data!$K531:$O531,Data!$E531)</f>
        <v>38.9471473201</v>
      </c>
    </row>
    <row r="532" customFormat="false" ht="15" hidden="false" customHeight="false" outlineLevel="0" collapsed="false">
      <c r="A532" s="0" t="n">
        <f aca="false">Data!AN532</f>
        <v>60</v>
      </c>
      <c r="B532" s="0" t="n">
        <f aca="false">INDEX(Data!$K532:$O532,Data!$E532)</f>
        <v>27.1430488561</v>
      </c>
    </row>
    <row r="533" customFormat="false" ht="15" hidden="false" customHeight="false" outlineLevel="0" collapsed="false">
      <c r="A533" s="0" t="n">
        <f aca="false">Data!AN533</f>
        <v>64</v>
      </c>
      <c r="B533" s="0" t="n">
        <f aca="false">INDEX(Data!$K533:$O533,Data!$E533)</f>
        <v>9.91619618197</v>
      </c>
    </row>
    <row r="534" customFormat="false" ht="15" hidden="false" customHeight="false" outlineLevel="0" collapsed="false">
      <c r="A534" s="0" t="n">
        <f aca="false">Data!AN534</f>
        <v>60</v>
      </c>
      <c r="B534" s="0" t="n">
        <f aca="false">INDEX(Data!$K534:$O534,Data!$E534)</f>
        <v>10.2080404637</v>
      </c>
    </row>
    <row r="535" customFormat="false" ht="15" hidden="false" customHeight="false" outlineLevel="0" collapsed="false">
      <c r="A535" s="0" t="n">
        <f aca="false">Data!AN535</f>
        <v>59.2</v>
      </c>
      <c r="B535" s="0" t="n">
        <f aca="false">INDEX(Data!$K535:$O535,Data!$E535)</f>
        <v>31.3976052927</v>
      </c>
    </row>
    <row r="536" customFormat="false" ht="15" hidden="false" customHeight="false" outlineLevel="0" collapsed="false">
      <c r="A536" s="0" t="n">
        <f aca="false">Data!AN536</f>
        <v>72.8</v>
      </c>
      <c r="B536" s="0" t="n">
        <f aca="false">INDEX(Data!$K536:$O536,Data!$E536)</f>
        <v>57.5693648219</v>
      </c>
    </row>
    <row r="537" customFormat="false" ht="15" hidden="false" customHeight="false" outlineLevel="0" collapsed="false">
      <c r="A537" s="0" t="n">
        <f aca="false">Data!AN537</f>
        <v>65.2</v>
      </c>
      <c r="B537" s="0" t="n">
        <f aca="false">INDEX(Data!$K537:$O537,Data!$E537)</f>
        <v>2.19310448006</v>
      </c>
    </row>
    <row r="538" customFormat="false" ht="15" hidden="false" customHeight="false" outlineLevel="0" collapsed="false">
      <c r="A538" s="0" t="n">
        <f aca="false">Data!AN538</f>
        <v>52.3</v>
      </c>
      <c r="B538" s="0" t="n">
        <f aca="false">INDEX(Data!$K538:$O538,Data!$E538)</f>
        <v>53.6641243462</v>
      </c>
    </row>
    <row r="539" customFormat="false" ht="15" hidden="false" customHeight="false" outlineLevel="0" collapsed="false">
      <c r="A539" s="0" t="n">
        <f aca="false">Data!AN539</f>
        <v>69.3</v>
      </c>
      <c r="B539" s="0" t="n">
        <f aca="false">INDEX(Data!$K539:$O539,Data!$E539)</f>
        <v>4.61623503367</v>
      </c>
    </row>
    <row r="540" customFormat="false" ht="15" hidden="false" customHeight="false" outlineLevel="0" collapsed="false">
      <c r="A540" s="0" t="n">
        <f aca="false">Data!AN540</f>
        <v>45.1</v>
      </c>
      <c r="B540" s="0" t="n">
        <f aca="false">INDEX(Data!$K540:$O540,Data!$E540)</f>
        <v>17.3227317571</v>
      </c>
    </row>
    <row r="541" customFormat="false" ht="15" hidden="false" customHeight="false" outlineLevel="0" collapsed="false">
      <c r="A541" s="0" t="n">
        <f aca="false">Data!AN541</f>
        <v>57.6</v>
      </c>
      <c r="B541" s="0" t="n">
        <f aca="false">INDEX(Data!$K541:$O541,Data!$E541)</f>
        <v>1.7076523571</v>
      </c>
    </row>
    <row r="542" customFormat="false" ht="15" hidden="false" customHeight="false" outlineLevel="0" collapsed="false">
      <c r="A542" s="0" t="n">
        <f aca="false">Data!AN542</f>
        <v>80.1</v>
      </c>
      <c r="B542" s="0" t="n">
        <f aca="false">INDEX(Data!$K542:$O542,Data!$E542)</f>
        <v>57.5040326505</v>
      </c>
    </row>
    <row r="543" customFormat="false" ht="15" hidden="false" customHeight="false" outlineLevel="0" collapsed="false">
      <c r="A543" s="0" t="n">
        <f aca="false">Data!AN543</f>
        <v>67.4</v>
      </c>
      <c r="B543" s="0" t="n">
        <f aca="false">INDEX(Data!$K543:$O543,Data!$E543)</f>
        <v>35.6839599105</v>
      </c>
    </row>
    <row r="544" customFormat="false" ht="15" hidden="false" customHeight="false" outlineLevel="0" collapsed="false">
      <c r="A544" s="0" t="n">
        <f aca="false">Data!AN544</f>
        <v>56.5</v>
      </c>
      <c r="B544" s="0" t="n">
        <f aca="false">INDEX(Data!$K544:$O544,Data!$E544)</f>
        <v>30.6074122768</v>
      </c>
    </row>
    <row r="545" customFormat="false" ht="15" hidden="false" customHeight="false" outlineLevel="0" collapsed="false">
      <c r="A545" s="0" t="n">
        <f aca="false">Data!AN545</f>
        <v>46.4</v>
      </c>
      <c r="B545" s="0" t="n">
        <f aca="false">INDEX(Data!$K545:$O545,Data!$E545)</f>
        <v>2.53055066735</v>
      </c>
    </row>
    <row r="546" customFormat="false" ht="15" hidden="false" customHeight="false" outlineLevel="0" collapsed="false">
      <c r="A546" s="0" t="n">
        <f aca="false">Data!AN546</f>
        <v>49.4</v>
      </c>
      <c r="B546" s="0" t="n">
        <f aca="false">INDEX(Data!$K546:$O546,Data!$E546)</f>
        <v>23.3911953058</v>
      </c>
    </row>
    <row r="547" customFormat="false" ht="15" hidden="false" customHeight="false" outlineLevel="0" collapsed="false">
      <c r="A547" s="0" t="n">
        <f aca="false">Data!AN547</f>
        <v>60.5</v>
      </c>
      <c r="B547" s="0" t="n">
        <f aca="false">INDEX(Data!$K547:$O547,Data!$E547)</f>
        <v>6.86337930825</v>
      </c>
    </row>
    <row r="548" customFormat="false" ht="15" hidden="false" customHeight="false" outlineLevel="0" collapsed="false">
      <c r="A548" s="0" t="n">
        <f aca="false">Data!AN548</f>
        <v>59.5</v>
      </c>
      <c r="B548" s="0" t="n">
        <f aca="false">INDEX(Data!$K548:$O548,Data!$E548)</f>
        <v>64.2412989893</v>
      </c>
    </row>
    <row r="549" customFormat="false" ht="15" hidden="false" customHeight="false" outlineLevel="0" collapsed="false">
      <c r="A549" s="0" t="n">
        <f aca="false">Data!AN549</f>
        <v>66.7</v>
      </c>
      <c r="B549" s="0" t="n">
        <f aca="false">INDEX(Data!$K549:$O549,Data!$E549)</f>
        <v>13.8763416565</v>
      </c>
    </row>
    <row r="550" customFormat="false" ht="15" hidden="false" customHeight="false" outlineLevel="0" collapsed="false">
      <c r="A550" s="0" t="n">
        <f aca="false">Data!AN550</f>
        <v>51.1</v>
      </c>
      <c r="B550" s="0" t="n">
        <f aca="false">INDEX(Data!$K550:$O550,Data!$E550)</f>
        <v>2.82963540382</v>
      </c>
    </row>
    <row r="551" customFormat="false" ht="15" hidden="false" customHeight="false" outlineLevel="0" collapsed="false">
      <c r="A551" s="0" t="n">
        <f aca="false">Data!AN551</f>
        <v>60.4</v>
      </c>
      <c r="B551" s="0" t="n">
        <f aca="false">INDEX(Data!$K551:$O551,Data!$E551)</f>
        <v>73.3458150761</v>
      </c>
    </row>
    <row r="552" customFormat="false" ht="15" hidden="false" customHeight="false" outlineLevel="0" collapsed="false">
      <c r="A552" s="0" t="n">
        <f aca="false">Data!AN552</f>
        <v>47.5</v>
      </c>
      <c r="B552" s="0" t="n">
        <f aca="false">INDEX(Data!$K552:$O552,Data!$E552)</f>
        <v>53.9549426123</v>
      </c>
    </row>
    <row r="553" customFormat="false" ht="15" hidden="false" customHeight="false" outlineLevel="0" collapsed="false">
      <c r="A553" s="0" t="n">
        <f aca="false">Data!AN553</f>
        <v>68</v>
      </c>
      <c r="B553" s="0" t="n">
        <f aca="false">INDEX(Data!$K553:$O553,Data!$E553)</f>
        <v>20.7449378314</v>
      </c>
    </row>
    <row r="554" customFormat="false" ht="15" hidden="false" customHeight="false" outlineLevel="0" collapsed="false">
      <c r="A554" s="0" t="n">
        <f aca="false">Data!AN554</f>
        <v>53.7</v>
      </c>
      <c r="B554" s="0" t="n">
        <f aca="false">INDEX(Data!$K554:$O554,Data!$E554)</f>
        <v>16.9223822397</v>
      </c>
    </row>
    <row r="555" customFormat="false" ht="15" hidden="false" customHeight="false" outlineLevel="0" collapsed="false">
      <c r="A555" s="0" t="n">
        <f aca="false">Data!AN555</f>
        <v>59.1</v>
      </c>
      <c r="B555" s="0" t="n">
        <f aca="false">INDEX(Data!$K555:$O555,Data!$E555)</f>
        <v>36.4891284764</v>
      </c>
    </row>
    <row r="556" customFormat="false" ht="15" hidden="false" customHeight="false" outlineLevel="0" collapsed="false">
      <c r="A556" s="0" t="n">
        <f aca="false">Data!AN556</f>
        <v>68</v>
      </c>
      <c r="B556" s="0" t="n">
        <f aca="false">INDEX(Data!$K556:$O556,Data!$E556)</f>
        <v>42.9299279818</v>
      </c>
    </row>
    <row r="557" customFormat="false" ht="15" hidden="false" customHeight="false" outlineLevel="0" collapsed="false">
      <c r="A557" s="0" t="n">
        <f aca="false">Data!AN557</f>
        <v>72.9</v>
      </c>
      <c r="B557" s="0" t="n">
        <f aca="false">INDEX(Data!$K557:$O557,Data!$E557)</f>
        <v>97.4837446975</v>
      </c>
    </row>
    <row r="558" customFormat="false" ht="15" hidden="false" customHeight="false" outlineLevel="0" collapsed="false">
      <c r="A558" s="0" t="n">
        <f aca="false">Data!AN558</f>
        <v>58.5</v>
      </c>
      <c r="B558" s="0" t="n">
        <f aca="false">INDEX(Data!$K558:$O558,Data!$E558)</f>
        <v>82.4111238003</v>
      </c>
    </row>
    <row r="559" customFormat="false" ht="15" hidden="false" customHeight="false" outlineLevel="0" collapsed="false">
      <c r="A559" s="0" t="n">
        <f aca="false">Data!AN559</f>
        <v>59.5</v>
      </c>
      <c r="B559" s="0" t="n">
        <f aca="false">INDEX(Data!$K559:$O559,Data!$E559)</f>
        <v>46.8290974881</v>
      </c>
    </row>
    <row r="560" customFormat="false" ht="15" hidden="false" customHeight="false" outlineLevel="0" collapsed="false">
      <c r="A560" s="0" t="n">
        <f aca="false">Data!AN560</f>
        <v>68.3</v>
      </c>
      <c r="B560" s="0" t="n">
        <f aca="false">INDEX(Data!$K560:$O560,Data!$E560)</f>
        <v>32.100973131</v>
      </c>
    </row>
    <row r="561" customFormat="false" ht="15" hidden="false" customHeight="false" outlineLevel="0" collapsed="false">
      <c r="A561" s="0" t="n">
        <f aca="false">Data!AN561</f>
        <v>54.8</v>
      </c>
      <c r="B561" s="0" t="n">
        <f aca="false">INDEX(Data!$K561:$O561,Data!$E561)</f>
        <v>15.0984642562</v>
      </c>
    </row>
    <row r="562" customFormat="false" ht="15" hidden="false" customHeight="false" outlineLevel="0" collapsed="false">
      <c r="A562" s="0" t="n">
        <f aca="false">Data!AN562</f>
        <v>46.6</v>
      </c>
      <c r="B562" s="0" t="n">
        <f aca="false">INDEX(Data!$K562:$O562,Data!$E562)</f>
        <v>29.2395740201</v>
      </c>
    </row>
    <row r="563" customFormat="false" ht="15" hidden="false" customHeight="false" outlineLevel="0" collapsed="false">
      <c r="A563" s="0" t="n">
        <f aca="false">Data!AN563</f>
        <v>53.3</v>
      </c>
      <c r="B563" s="0" t="n">
        <f aca="false">INDEX(Data!$K563:$O563,Data!$E563)</f>
        <v>37.7093966919</v>
      </c>
    </row>
    <row r="564" customFormat="false" ht="15" hidden="false" customHeight="false" outlineLevel="0" collapsed="false">
      <c r="A564" s="0" t="n">
        <f aca="false">Data!AN564</f>
        <v>63.7</v>
      </c>
      <c r="B564" s="0" t="n">
        <f aca="false">INDEX(Data!$K564:$O564,Data!$E564)</f>
        <v>8.39092422766</v>
      </c>
    </row>
    <row r="565" customFormat="false" ht="15" hidden="false" customHeight="false" outlineLevel="0" collapsed="false">
      <c r="A565" s="0" t="n">
        <f aca="false">Data!AN565</f>
        <v>57.7</v>
      </c>
      <c r="B565" s="0" t="n">
        <f aca="false">INDEX(Data!$K565:$O565,Data!$E565)</f>
        <v>68.4201122731</v>
      </c>
    </row>
    <row r="566" customFormat="false" ht="15" hidden="false" customHeight="false" outlineLevel="0" collapsed="false">
      <c r="A566" s="0" t="n">
        <f aca="false">Data!AN566</f>
        <v>77.9</v>
      </c>
      <c r="B566" s="0" t="n">
        <f aca="false">INDEX(Data!$K566:$O566,Data!$E566)</f>
        <v>8.73784046113</v>
      </c>
    </row>
    <row r="567" customFormat="false" ht="15" hidden="false" customHeight="false" outlineLevel="0" collapsed="false">
      <c r="A567" s="0" t="n">
        <f aca="false">Data!AN567</f>
        <v>51.3</v>
      </c>
      <c r="B567" s="0" t="n">
        <f aca="false">INDEX(Data!$K567:$O567,Data!$E567)</f>
        <v>30.3610411505</v>
      </c>
    </row>
    <row r="568" customFormat="false" ht="15" hidden="false" customHeight="false" outlineLevel="0" collapsed="false">
      <c r="A568" s="0" t="n">
        <f aca="false">Data!AN568</f>
        <v>58.6</v>
      </c>
      <c r="B568" s="0" t="n">
        <f aca="false">INDEX(Data!$K568:$O568,Data!$E568)</f>
        <v>48.1349780136</v>
      </c>
    </row>
    <row r="569" customFormat="false" ht="15" hidden="false" customHeight="false" outlineLevel="0" collapsed="false">
      <c r="A569" s="0" t="n">
        <f aca="false">Data!AN569</f>
        <v>46.2</v>
      </c>
      <c r="B569" s="0" t="n">
        <f aca="false">INDEX(Data!$K569:$O569,Data!$E569)</f>
        <v>72.434834414</v>
      </c>
    </row>
    <row r="570" customFormat="false" ht="15" hidden="false" customHeight="false" outlineLevel="0" collapsed="false">
      <c r="A570" s="0" t="n">
        <f aca="false">Data!AN570</f>
        <v>59.9</v>
      </c>
      <c r="B570" s="0" t="n">
        <f aca="false">INDEX(Data!$K570:$O570,Data!$E570)</f>
        <v>4.19490813043</v>
      </c>
    </row>
    <row r="571" customFormat="false" ht="15" hidden="false" customHeight="false" outlineLevel="0" collapsed="false">
      <c r="A571" s="0" t="n">
        <f aca="false">Data!AN571</f>
        <v>45.7</v>
      </c>
      <c r="B571" s="0" t="n">
        <f aca="false">INDEX(Data!$K571:$O571,Data!$E571)</f>
        <v>14.6205713487</v>
      </c>
    </row>
    <row r="572" customFormat="false" ht="15" hidden="false" customHeight="false" outlineLevel="0" collapsed="false">
      <c r="A572" s="0" t="n">
        <f aca="false">Data!AN572</f>
        <v>51.7</v>
      </c>
      <c r="B572" s="0" t="n">
        <f aca="false">INDEX(Data!$K572:$O572,Data!$E572)</f>
        <v>41.3901718551</v>
      </c>
    </row>
    <row r="573" customFormat="false" ht="15" hidden="false" customHeight="false" outlineLevel="0" collapsed="false">
      <c r="A573" s="0" t="n">
        <f aca="false">Data!AN573</f>
        <v>51.2</v>
      </c>
      <c r="B573" s="0" t="n">
        <f aca="false">INDEX(Data!$K573:$O573,Data!$E573)</f>
        <v>97.6979314125</v>
      </c>
    </row>
    <row r="574" customFormat="false" ht="15" hidden="false" customHeight="false" outlineLevel="0" collapsed="false">
      <c r="A574" s="0" t="n">
        <f aca="false">Data!AN574</f>
        <v>61</v>
      </c>
      <c r="B574" s="0" t="n">
        <f aca="false">INDEX(Data!$K574:$O574,Data!$E574)</f>
        <v>54.0251535712</v>
      </c>
    </row>
    <row r="575" customFormat="false" ht="15" hidden="false" customHeight="false" outlineLevel="0" collapsed="false">
      <c r="A575" s="0" t="n">
        <f aca="false">Data!AN575</f>
        <v>49.4</v>
      </c>
      <c r="B575" s="0" t="n">
        <f aca="false">INDEX(Data!$K575:$O575,Data!$E575)</f>
        <v>43.4569377748</v>
      </c>
    </row>
    <row r="576" customFormat="false" ht="15" hidden="false" customHeight="false" outlineLevel="0" collapsed="false">
      <c r="A576" s="0" t="n">
        <f aca="false">Data!AN576</f>
        <v>65.9</v>
      </c>
      <c r="B576" s="0" t="n">
        <f aca="false">INDEX(Data!$K576:$O576,Data!$E576)</f>
        <v>32.6824070095</v>
      </c>
    </row>
    <row r="577" customFormat="false" ht="15" hidden="false" customHeight="false" outlineLevel="0" collapsed="false">
      <c r="A577" s="0" t="n">
        <f aca="false">Data!AN577</f>
        <v>51.1</v>
      </c>
      <c r="B577" s="0" t="n">
        <f aca="false">INDEX(Data!$K577:$O577,Data!$E577)</f>
        <v>0.707988384699</v>
      </c>
    </row>
    <row r="578" customFormat="false" ht="15" hidden="false" customHeight="false" outlineLevel="0" collapsed="false">
      <c r="A578" s="0" t="n">
        <f aca="false">Data!AN578</f>
        <v>61.1</v>
      </c>
      <c r="B578" s="0" t="n">
        <f aca="false">INDEX(Data!$K578:$O578,Data!$E578)</f>
        <v>64.7427654631</v>
      </c>
    </row>
    <row r="579" customFormat="false" ht="15" hidden="false" customHeight="false" outlineLevel="0" collapsed="false">
      <c r="A579" s="0" t="n">
        <f aca="false">Data!AN579</f>
        <v>47</v>
      </c>
      <c r="B579" s="0" t="n">
        <f aca="false">INDEX(Data!$K579:$O579,Data!$E579)</f>
        <v>38.9448715428</v>
      </c>
    </row>
    <row r="580" customFormat="false" ht="15" hidden="false" customHeight="false" outlineLevel="0" collapsed="false">
      <c r="A580" s="0" t="n">
        <f aca="false">Data!AN580</f>
        <v>44</v>
      </c>
      <c r="B580" s="0" t="n">
        <f aca="false">INDEX(Data!$K580:$O580,Data!$E580)</f>
        <v>40.0253154565</v>
      </c>
    </row>
    <row r="581" customFormat="false" ht="15" hidden="false" customHeight="false" outlineLevel="0" collapsed="false">
      <c r="A581" s="0" t="n">
        <f aca="false">Data!AN581</f>
        <v>49.7</v>
      </c>
      <c r="B581" s="0" t="n">
        <f aca="false">INDEX(Data!$K581:$O581,Data!$E581)</f>
        <v>0.221916434286</v>
      </c>
    </row>
    <row r="582" customFormat="false" ht="15" hidden="false" customHeight="false" outlineLevel="0" collapsed="false">
      <c r="A582" s="0" t="n">
        <f aca="false">Data!AN582</f>
        <v>50.7</v>
      </c>
      <c r="B582" s="0" t="n">
        <f aca="false">INDEX(Data!$K582:$O582,Data!$E582)</f>
        <v>39.8202500407</v>
      </c>
    </row>
    <row r="583" customFormat="false" ht="15" hidden="false" customHeight="false" outlineLevel="0" collapsed="false">
      <c r="A583" s="0" t="n">
        <f aca="false">Data!AN583</f>
        <v>57.3</v>
      </c>
      <c r="B583" s="0" t="n">
        <f aca="false">INDEX(Data!$K583:$O583,Data!$E583)</f>
        <v>7.8612953433</v>
      </c>
    </row>
    <row r="584" customFormat="false" ht="15" hidden="false" customHeight="false" outlineLevel="0" collapsed="false">
      <c r="A584" s="0" t="n">
        <f aca="false">Data!AN584</f>
        <v>50.7</v>
      </c>
      <c r="B584" s="0" t="n">
        <f aca="false">INDEX(Data!$K584:$O584,Data!$E584)</f>
        <v>16.3160038471</v>
      </c>
    </row>
    <row r="585" customFormat="false" ht="15" hidden="false" customHeight="false" outlineLevel="0" collapsed="false">
      <c r="A585" s="0" t="n">
        <f aca="false">Data!AN585</f>
        <v>43.2</v>
      </c>
      <c r="B585" s="0" t="n">
        <f aca="false">INDEX(Data!$K585:$O585,Data!$E585)</f>
        <v>13.7576557761</v>
      </c>
    </row>
    <row r="586" customFormat="false" ht="15" hidden="false" customHeight="false" outlineLevel="0" collapsed="false">
      <c r="A586" s="0" t="n">
        <f aca="false">Data!AN586</f>
        <v>61.5</v>
      </c>
      <c r="B586" s="0" t="n">
        <f aca="false">INDEX(Data!$K586:$O586,Data!$E586)</f>
        <v>43.3732876031</v>
      </c>
    </row>
    <row r="587" customFormat="false" ht="15" hidden="false" customHeight="false" outlineLevel="0" collapsed="false">
      <c r="A587" s="0" t="n">
        <f aca="false">Data!AN587</f>
        <v>47.8</v>
      </c>
      <c r="B587" s="0" t="n">
        <f aca="false">INDEX(Data!$K587:$O587,Data!$E587)</f>
        <v>20.3880484201</v>
      </c>
    </row>
    <row r="588" customFormat="false" ht="15" hidden="false" customHeight="false" outlineLevel="0" collapsed="false">
      <c r="A588" s="0" t="n">
        <f aca="false">Data!AN588</f>
        <v>53.2</v>
      </c>
      <c r="B588" s="0" t="n">
        <f aca="false">INDEX(Data!$K588:$O588,Data!$E588)</f>
        <v>42.8181655474</v>
      </c>
    </row>
    <row r="589" customFormat="false" ht="15" hidden="false" customHeight="false" outlineLevel="0" collapsed="false">
      <c r="A589" s="0" t="n">
        <f aca="false">Data!AN589</f>
        <v>58.6</v>
      </c>
      <c r="B589" s="0" t="n">
        <f aca="false">INDEX(Data!$K589:$O589,Data!$E589)</f>
        <v>8.55999901355</v>
      </c>
    </row>
    <row r="590" customFormat="false" ht="15" hidden="false" customHeight="false" outlineLevel="0" collapsed="false">
      <c r="A590" s="0" t="n">
        <f aca="false">Data!AN590</f>
        <v>50.1</v>
      </c>
      <c r="B590" s="0" t="n">
        <f aca="false">INDEX(Data!$K590:$O590,Data!$E590)</f>
        <v>81.973966247</v>
      </c>
    </row>
    <row r="591" customFormat="false" ht="15" hidden="false" customHeight="false" outlineLevel="0" collapsed="false">
      <c r="A591" s="0" t="n">
        <f aca="false">Data!AN591</f>
        <v>56.3</v>
      </c>
      <c r="B591" s="0" t="n">
        <f aca="false">INDEX(Data!$K591:$O591,Data!$E591)</f>
        <v>7.45516683606</v>
      </c>
    </row>
    <row r="592" customFormat="false" ht="15" hidden="false" customHeight="false" outlineLevel="0" collapsed="false">
      <c r="A592" s="0" t="n">
        <f aca="false">Data!AN592</f>
        <v>53.5</v>
      </c>
      <c r="B592" s="0" t="n">
        <f aca="false">INDEX(Data!$K592:$O592,Data!$E592)</f>
        <v>60.2449103736</v>
      </c>
    </row>
    <row r="593" customFormat="false" ht="15" hidden="false" customHeight="false" outlineLevel="0" collapsed="false">
      <c r="A593" s="0" t="n">
        <f aca="false">Data!AN593</f>
        <v>55.3</v>
      </c>
      <c r="B593" s="0" t="n">
        <f aca="false">INDEX(Data!$K593:$O593,Data!$E593)</f>
        <v>98.5161415584</v>
      </c>
    </row>
    <row r="594" customFormat="false" ht="15" hidden="false" customHeight="false" outlineLevel="0" collapsed="false">
      <c r="A594" s="0" t="n">
        <f aca="false">Data!AN594</f>
        <v>47.3</v>
      </c>
      <c r="B594" s="0" t="n">
        <f aca="false">INDEX(Data!$K594:$O594,Data!$E594)</f>
        <v>52.8096121766</v>
      </c>
    </row>
    <row r="595" customFormat="false" ht="15" hidden="false" customHeight="false" outlineLevel="0" collapsed="false">
      <c r="A595" s="0" t="n">
        <f aca="false">Data!AN595</f>
        <v>59.1</v>
      </c>
      <c r="B595" s="0" t="n">
        <f aca="false">INDEX(Data!$K595:$O595,Data!$E595)</f>
        <v>75.1537421798</v>
      </c>
    </row>
    <row r="596" customFormat="false" ht="15" hidden="false" customHeight="false" outlineLevel="0" collapsed="false">
      <c r="A596" s="0" t="n">
        <f aca="false">Data!AN596</f>
        <v>57.8</v>
      </c>
      <c r="B596" s="0" t="n">
        <f aca="false">INDEX(Data!$K596:$O596,Data!$E596)</f>
        <v>14.2775817696</v>
      </c>
    </row>
    <row r="597" customFormat="false" ht="15" hidden="false" customHeight="false" outlineLevel="0" collapsed="false">
      <c r="A597" s="0" t="n">
        <f aca="false">Data!AN597</f>
        <v>58</v>
      </c>
      <c r="B597" s="0" t="n">
        <f aca="false">INDEX(Data!$K597:$O597,Data!$E597)</f>
        <v>94.3604153898</v>
      </c>
    </row>
    <row r="598" customFormat="false" ht="15" hidden="false" customHeight="false" outlineLevel="0" collapsed="false">
      <c r="A598" s="0" t="n">
        <f aca="false">Data!AN598</f>
        <v>55.4</v>
      </c>
      <c r="B598" s="0" t="n">
        <f aca="false">INDEX(Data!$K598:$O598,Data!$E598)</f>
        <v>9.10452990577</v>
      </c>
    </row>
    <row r="599" customFormat="false" ht="15" hidden="false" customHeight="false" outlineLevel="0" collapsed="false">
      <c r="A599" s="0" t="n">
        <f aca="false">Data!AN599</f>
        <v>45.9</v>
      </c>
      <c r="B599" s="0" t="n">
        <f aca="false">INDEX(Data!$K599:$O599,Data!$E599)</f>
        <v>36.8284471063</v>
      </c>
    </row>
    <row r="600" customFormat="false" ht="15" hidden="false" customHeight="false" outlineLevel="0" collapsed="false">
      <c r="A600" s="0" t="n">
        <f aca="false">Data!AN600</f>
        <v>83</v>
      </c>
      <c r="B600" s="0" t="n">
        <f aca="false">INDEX(Data!$K600:$O600,Data!$E600)</f>
        <v>17.3797542864</v>
      </c>
    </row>
    <row r="601" customFormat="false" ht="15" hidden="false" customHeight="false" outlineLevel="0" collapsed="false">
      <c r="A601" s="0" t="n">
        <f aca="false">Data!AN601</f>
        <v>50.4</v>
      </c>
      <c r="B601" s="0" t="n">
        <f aca="false">INDEX(Data!$K601:$O601,Data!$E601)</f>
        <v>96.8321554292</v>
      </c>
    </row>
    <row r="602" customFormat="false" ht="15" hidden="false" customHeight="false" outlineLevel="0" collapsed="false">
      <c r="A602" s="0" t="n">
        <f aca="false">Data!AN602</f>
        <v>67.4</v>
      </c>
      <c r="B602" s="0" t="n">
        <f aca="false">INDEX(Data!$K602:$O602,Data!$E602)</f>
        <v>8.69917188643</v>
      </c>
    </row>
    <row r="603" customFormat="false" ht="15" hidden="false" customHeight="false" outlineLevel="0" collapsed="false">
      <c r="A603" s="0" t="n">
        <f aca="false">Data!AN603</f>
        <v>55</v>
      </c>
      <c r="B603" s="0" t="n">
        <f aca="false">INDEX(Data!$K603:$O603,Data!$E603)</f>
        <v>36.7207140437</v>
      </c>
    </row>
    <row r="604" customFormat="false" ht="15" hidden="false" customHeight="false" outlineLevel="0" collapsed="false">
      <c r="A604" s="0" t="n">
        <f aca="false">Data!AN604</f>
        <v>53.3</v>
      </c>
      <c r="B604" s="0" t="n">
        <f aca="false">INDEX(Data!$K604:$O604,Data!$E604)</f>
        <v>1.91698017549</v>
      </c>
    </row>
    <row r="605" customFormat="false" ht="15" hidden="false" customHeight="false" outlineLevel="0" collapsed="false">
      <c r="A605" s="0" t="n">
        <f aca="false">Data!AN605</f>
        <v>67.2</v>
      </c>
      <c r="B605" s="0" t="n">
        <f aca="false">INDEX(Data!$K605:$O605,Data!$E605)</f>
        <v>47.2727059629</v>
      </c>
    </row>
    <row r="606" customFormat="false" ht="15" hidden="false" customHeight="false" outlineLevel="0" collapsed="false">
      <c r="A606" s="0" t="n">
        <f aca="false">Data!AN606</f>
        <v>55.3</v>
      </c>
      <c r="B606" s="0" t="n">
        <f aca="false">INDEX(Data!$K606:$O606,Data!$E606)</f>
        <v>32.4224182224</v>
      </c>
    </row>
    <row r="607" customFormat="false" ht="15" hidden="false" customHeight="false" outlineLevel="0" collapsed="false">
      <c r="A607" s="0" t="n">
        <f aca="false">Data!AN607</f>
        <v>60.7</v>
      </c>
      <c r="B607" s="0" t="n">
        <f aca="false">INDEX(Data!$K607:$O607,Data!$E607)</f>
        <v>73.6737233184</v>
      </c>
    </row>
    <row r="608" customFormat="false" ht="15" hidden="false" customHeight="false" outlineLevel="0" collapsed="false">
      <c r="A608" s="0" t="n">
        <f aca="false">Data!AN608</f>
        <v>59.6</v>
      </c>
      <c r="B608" s="0" t="n">
        <f aca="false">INDEX(Data!$K608:$O608,Data!$E608)</f>
        <v>57.382557427</v>
      </c>
    </row>
    <row r="609" customFormat="false" ht="15" hidden="false" customHeight="false" outlineLevel="0" collapsed="false">
      <c r="A609" s="0" t="n">
        <f aca="false">Data!AN609</f>
        <v>62.3</v>
      </c>
      <c r="B609" s="0" t="n">
        <f aca="false">INDEX(Data!$K609:$O609,Data!$E609)</f>
        <v>66.8189002383</v>
      </c>
    </row>
    <row r="610" customFormat="false" ht="15" hidden="false" customHeight="false" outlineLevel="0" collapsed="false">
      <c r="A610" s="0" t="n">
        <f aca="false">Data!AN610</f>
        <v>56.2</v>
      </c>
      <c r="B610" s="0" t="n">
        <f aca="false">INDEX(Data!$K610:$O610,Data!$E610)</f>
        <v>35.4986872482</v>
      </c>
    </row>
    <row r="611" customFormat="false" ht="15" hidden="false" customHeight="false" outlineLevel="0" collapsed="false">
      <c r="A611" s="0" t="n">
        <f aca="false">Data!AN611</f>
        <v>58.9</v>
      </c>
      <c r="B611" s="0" t="n">
        <f aca="false">INDEX(Data!$K611:$O611,Data!$E611)</f>
        <v>98.1899486224</v>
      </c>
    </row>
    <row r="612" customFormat="false" ht="15" hidden="false" customHeight="false" outlineLevel="0" collapsed="false">
      <c r="A612" s="0" t="n">
        <f aca="false">Data!AN612</f>
        <v>50.8</v>
      </c>
      <c r="B612" s="0" t="n">
        <f aca="false">INDEX(Data!$K612:$O612,Data!$E612)</f>
        <v>11.3893169463</v>
      </c>
    </row>
    <row r="613" customFormat="false" ht="15" hidden="false" customHeight="false" outlineLevel="0" collapsed="false">
      <c r="A613" s="0" t="n">
        <f aca="false">Data!AN613</f>
        <v>70.3</v>
      </c>
      <c r="B613" s="0" t="n">
        <f aca="false">INDEX(Data!$K613:$O613,Data!$E613)</f>
        <v>65.3862142407</v>
      </c>
    </row>
    <row r="614" customFormat="false" ht="15" hidden="false" customHeight="false" outlineLevel="0" collapsed="false">
      <c r="A614" s="0" t="n">
        <f aca="false">Data!AN614</f>
        <v>60.1</v>
      </c>
      <c r="B614" s="0" t="n">
        <f aca="false">INDEX(Data!$K614:$O614,Data!$E614)</f>
        <v>2.29811728376</v>
      </c>
    </row>
    <row r="615" customFormat="false" ht="15" hidden="false" customHeight="false" outlineLevel="0" collapsed="false">
      <c r="A615" s="0" t="n">
        <f aca="false">Data!AN615</f>
        <v>55.9</v>
      </c>
      <c r="B615" s="0" t="n">
        <f aca="false">INDEX(Data!$K615:$O615,Data!$E615)</f>
        <v>11.4451110886</v>
      </c>
    </row>
    <row r="616" customFormat="false" ht="15" hidden="false" customHeight="false" outlineLevel="0" collapsed="false">
      <c r="A616" s="0" t="n">
        <f aca="false">Data!AN616</f>
        <v>55.8</v>
      </c>
      <c r="B616" s="0" t="n">
        <f aca="false">INDEX(Data!$K616:$O616,Data!$E616)</f>
        <v>81.0976404264</v>
      </c>
    </row>
    <row r="617" customFormat="false" ht="15" hidden="false" customHeight="false" outlineLevel="0" collapsed="false">
      <c r="A617" s="0" t="n">
        <f aca="false">Data!AN617</f>
        <v>66.6</v>
      </c>
      <c r="B617" s="0" t="n">
        <f aca="false">INDEX(Data!$K617:$O617,Data!$E617)</f>
        <v>19.7154853049</v>
      </c>
    </row>
    <row r="618" customFormat="false" ht="15" hidden="false" customHeight="false" outlineLevel="0" collapsed="false">
      <c r="A618" s="0" t="n">
        <f aca="false">Data!AN618</f>
        <v>57.9</v>
      </c>
      <c r="B618" s="0" t="n">
        <f aca="false">INDEX(Data!$K618:$O618,Data!$E618)</f>
        <v>53.7486446167</v>
      </c>
    </row>
    <row r="619" customFormat="false" ht="15" hidden="false" customHeight="false" outlineLevel="0" collapsed="false">
      <c r="A619" s="0" t="n">
        <f aca="false">Data!AN619</f>
        <v>37.8</v>
      </c>
      <c r="B619" s="0" t="n">
        <f aca="false">INDEX(Data!$K619:$O619,Data!$E619)</f>
        <v>29.6334299004</v>
      </c>
    </row>
    <row r="620" customFormat="false" ht="15" hidden="false" customHeight="false" outlineLevel="0" collapsed="false">
      <c r="A620" s="0" t="n">
        <f aca="false">Data!AN620</f>
        <v>54.6</v>
      </c>
      <c r="B620" s="0" t="n">
        <f aca="false">INDEX(Data!$K620:$O620,Data!$E620)</f>
        <v>46.9296562407</v>
      </c>
    </row>
    <row r="621" customFormat="false" ht="15" hidden="false" customHeight="false" outlineLevel="0" collapsed="false">
      <c r="A621" s="0" t="n">
        <f aca="false">Data!AN621</f>
        <v>74.8</v>
      </c>
      <c r="B621" s="0" t="n">
        <f aca="false">INDEX(Data!$K621:$O621,Data!$E621)</f>
        <v>19.4730489531</v>
      </c>
    </row>
    <row r="622" customFormat="false" ht="15" hidden="false" customHeight="false" outlineLevel="0" collapsed="false">
      <c r="A622" s="0" t="n">
        <f aca="false">Data!AN622</f>
        <v>62.6</v>
      </c>
      <c r="B622" s="0" t="n">
        <f aca="false">INDEX(Data!$K622:$O622,Data!$E622)</f>
        <v>2.11846549117</v>
      </c>
    </row>
    <row r="623" customFormat="false" ht="15" hidden="false" customHeight="false" outlineLevel="0" collapsed="false">
      <c r="A623" s="0" t="n">
        <f aca="false">Data!AN623</f>
        <v>59.3</v>
      </c>
      <c r="B623" s="0" t="n">
        <f aca="false">INDEX(Data!$K623:$O623,Data!$E623)</f>
        <v>76.5091816689</v>
      </c>
    </row>
    <row r="624" customFormat="false" ht="15" hidden="false" customHeight="false" outlineLevel="0" collapsed="false">
      <c r="A624" s="0" t="n">
        <f aca="false">Data!AN624</f>
        <v>61.8</v>
      </c>
      <c r="B624" s="0" t="n">
        <f aca="false">INDEX(Data!$K624:$O624,Data!$E624)</f>
        <v>6.74713544902</v>
      </c>
    </row>
    <row r="625" customFormat="false" ht="15" hidden="false" customHeight="false" outlineLevel="0" collapsed="false">
      <c r="A625" s="0" t="n">
        <f aca="false">Data!AN625</f>
        <v>61.4</v>
      </c>
      <c r="B625" s="0" t="n">
        <f aca="false">INDEX(Data!$K625:$O625,Data!$E625)</f>
        <v>50.6987912509</v>
      </c>
    </row>
    <row r="626" customFormat="false" ht="15" hidden="false" customHeight="false" outlineLevel="0" collapsed="false">
      <c r="A626" s="0" t="n">
        <f aca="false">Data!AN626</f>
        <v>44</v>
      </c>
      <c r="B626" s="0" t="n">
        <f aca="false">INDEX(Data!$K626:$O626,Data!$E626)</f>
        <v>20.0028433887</v>
      </c>
    </row>
    <row r="627" customFormat="false" ht="15" hidden="false" customHeight="false" outlineLevel="0" collapsed="false">
      <c r="A627" s="0" t="n">
        <f aca="false">Data!AN627</f>
        <v>42</v>
      </c>
      <c r="B627" s="0" t="n">
        <f aca="false">INDEX(Data!$K627:$O627,Data!$E627)</f>
        <v>92.0273737474</v>
      </c>
    </row>
    <row r="628" customFormat="false" ht="15" hidden="false" customHeight="false" outlineLevel="0" collapsed="false">
      <c r="A628" s="0" t="n">
        <f aca="false">Data!AN628</f>
        <v>40.9</v>
      </c>
      <c r="B628" s="0" t="n">
        <f aca="false">INDEX(Data!$K628:$O628,Data!$E628)</f>
        <v>92.580759158</v>
      </c>
    </row>
    <row r="629" customFormat="false" ht="15" hidden="false" customHeight="false" outlineLevel="0" collapsed="false">
      <c r="A629" s="0" t="n">
        <f aca="false">Data!AN629</f>
        <v>45.6</v>
      </c>
      <c r="B629" s="0" t="n">
        <f aca="false">INDEX(Data!$K629:$O629,Data!$E629)</f>
        <v>50.7684066932</v>
      </c>
    </row>
    <row r="630" customFormat="false" ht="15" hidden="false" customHeight="false" outlineLevel="0" collapsed="false">
      <c r="A630" s="0" t="n">
        <f aca="false">Data!AN630</f>
        <v>71.6</v>
      </c>
      <c r="B630" s="0" t="n">
        <f aca="false">INDEX(Data!$K630:$O630,Data!$E630)</f>
        <v>99.5150650624</v>
      </c>
    </row>
    <row r="631" customFormat="false" ht="15" hidden="false" customHeight="false" outlineLevel="0" collapsed="false">
      <c r="A631" s="0" t="n">
        <f aca="false">Data!AN631</f>
        <v>69.9</v>
      </c>
      <c r="B631" s="0" t="n">
        <f aca="false">INDEX(Data!$K631:$O631,Data!$E631)</f>
        <v>26.3113117037</v>
      </c>
    </row>
    <row r="632" customFormat="false" ht="15" hidden="false" customHeight="false" outlineLevel="0" collapsed="false">
      <c r="A632" s="0" t="n">
        <f aca="false">Data!AN632</f>
        <v>71</v>
      </c>
      <c r="B632" s="0" t="n">
        <f aca="false">INDEX(Data!$K632:$O632,Data!$E632)</f>
        <v>10.7345376138</v>
      </c>
    </row>
    <row r="633" customFormat="false" ht="15" hidden="false" customHeight="false" outlineLevel="0" collapsed="false">
      <c r="A633" s="0" t="n">
        <f aca="false">Data!AN633</f>
        <v>66.1</v>
      </c>
      <c r="B633" s="0" t="n">
        <f aca="false">INDEX(Data!$K633:$O633,Data!$E633)</f>
        <v>8.30831016736</v>
      </c>
    </row>
    <row r="634" customFormat="false" ht="15" hidden="false" customHeight="false" outlineLevel="0" collapsed="false">
      <c r="A634" s="0" t="n">
        <f aca="false">Data!AN634</f>
        <v>71.1</v>
      </c>
      <c r="B634" s="0" t="n">
        <f aca="false">INDEX(Data!$K634:$O634,Data!$E634)</f>
        <v>5.94865686998</v>
      </c>
    </row>
    <row r="635" customFormat="false" ht="15" hidden="false" customHeight="false" outlineLevel="0" collapsed="false">
      <c r="A635" s="0" t="n">
        <f aca="false">Data!AN635</f>
        <v>48.4</v>
      </c>
      <c r="B635" s="0" t="n">
        <f aca="false">INDEX(Data!$K635:$O635,Data!$E635)</f>
        <v>5.69947255926</v>
      </c>
    </row>
    <row r="636" customFormat="false" ht="15" hidden="false" customHeight="false" outlineLevel="0" collapsed="false">
      <c r="A636" s="0" t="n">
        <f aca="false">Data!AN636</f>
        <v>69.1</v>
      </c>
      <c r="B636" s="0" t="n">
        <f aca="false">INDEX(Data!$K636:$O636,Data!$E636)</f>
        <v>87.4013873152</v>
      </c>
    </row>
    <row r="637" customFormat="false" ht="15" hidden="false" customHeight="false" outlineLevel="0" collapsed="false">
      <c r="A637" s="0" t="n">
        <f aca="false">Data!AN637</f>
        <v>53.4</v>
      </c>
      <c r="B637" s="0" t="n">
        <f aca="false">INDEX(Data!$K637:$O637,Data!$E637)</f>
        <v>25.4887746082</v>
      </c>
    </row>
    <row r="638" customFormat="false" ht="15" hidden="false" customHeight="false" outlineLevel="0" collapsed="false">
      <c r="A638" s="0" t="n">
        <f aca="false">Data!AN638</f>
        <v>43.2</v>
      </c>
      <c r="B638" s="0" t="n">
        <f aca="false">INDEX(Data!$K638:$O638,Data!$E638)</f>
        <v>34.0521166906</v>
      </c>
    </row>
    <row r="639" customFormat="false" ht="15" hidden="false" customHeight="false" outlineLevel="0" collapsed="false">
      <c r="A639" s="0" t="n">
        <f aca="false">Data!AN639</f>
        <v>64.9</v>
      </c>
      <c r="B639" s="0" t="n">
        <f aca="false">INDEX(Data!$K639:$O639,Data!$E639)</f>
        <v>7.87520825083</v>
      </c>
    </row>
    <row r="640" customFormat="false" ht="15" hidden="false" customHeight="false" outlineLevel="0" collapsed="false">
      <c r="A640" s="0" t="n">
        <f aca="false">Data!AN640</f>
        <v>61</v>
      </c>
      <c r="B640" s="0" t="n">
        <f aca="false">INDEX(Data!$K640:$O640,Data!$E640)</f>
        <v>65.9437888755</v>
      </c>
    </row>
    <row r="641" customFormat="false" ht="15" hidden="false" customHeight="false" outlineLevel="0" collapsed="false">
      <c r="A641" s="0" t="n">
        <f aca="false">Data!AN641</f>
        <v>60</v>
      </c>
      <c r="B641" s="0" t="n">
        <f aca="false">INDEX(Data!$K641:$O641,Data!$E641)</f>
        <v>15.4443218997</v>
      </c>
    </row>
    <row r="642" customFormat="false" ht="15" hidden="false" customHeight="false" outlineLevel="0" collapsed="false">
      <c r="A642" s="0" t="n">
        <f aca="false">Data!AN642</f>
        <v>66.1</v>
      </c>
      <c r="B642" s="0" t="n">
        <f aca="false">INDEX(Data!$K642:$O642,Data!$E642)</f>
        <v>19.3779680384</v>
      </c>
    </row>
    <row r="643" customFormat="false" ht="15" hidden="false" customHeight="false" outlineLevel="0" collapsed="false">
      <c r="A643" s="0" t="n">
        <f aca="false">Data!AN643</f>
        <v>64.8</v>
      </c>
      <c r="B643" s="0" t="n">
        <f aca="false">INDEX(Data!$K643:$O643,Data!$E643)</f>
        <v>21.8734558122</v>
      </c>
    </row>
    <row r="644" customFormat="false" ht="15" hidden="false" customHeight="false" outlineLevel="0" collapsed="false">
      <c r="A644" s="0" t="n">
        <f aca="false">Data!AN644</f>
        <v>61.9</v>
      </c>
      <c r="B644" s="0" t="n">
        <f aca="false">INDEX(Data!$K644:$O644,Data!$E644)</f>
        <v>30.8106601814</v>
      </c>
    </row>
    <row r="645" customFormat="false" ht="15" hidden="false" customHeight="false" outlineLevel="0" collapsed="false">
      <c r="A645" s="0" t="n">
        <f aca="false">Data!AN645</f>
        <v>70</v>
      </c>
      <c r="B645" s="0" t="n">
        <f aca="false">INDEX(Data!$K645:$O645,Data!$E645)</f>
        <v>31.391072586</v>
      </c>
    </row>
    <row r="646" customFormat="false" ht="15" hidden="false" customHeight="false" outlineLevel="0" collapsed="false">
      <c r="A646" s="0" t="n">
        <f aca="false">Data!AN646</f>
        <v>49.7</v>
      </c>
      <c r="B646" s="0" t="n">
        <f aca="false">INDEX(Data!$K646:$O646,Data!$E646)</f>
        <v>93.9117892862</v>
      </c>
    </row>
    <row r="647" customFormat="false" ht="15" hidden="false" customHeight="false" outlineLevel="0" collapsed="false">
      <c r="A647" s="0" t="n">
        <f aca="false">Data!AN647</f>
        <v>42.5</v>
      </c>
      <c r="B647" s="0" t="n">
        <f aca="false">INDEX(Data!$K647:$O647,Data!$E647)</f>
        <v>35.8272814912</v>
      </c>
    </row>
    <row r="648" customFormat="false" ht="15" hidden="false" customHeight="false" outlineLevel="0" collapsed="false">
      <c r="A648" s="0" t="n">
        <f aca="false">Data!AN648</f>
        <v>55.8</v>
      </c>
      <c r="B648" s="0" t="n">
        <f aca="false">INDEX(Data!$K648:$O648,Data!$E648)</f>
        <v>21.4892228984</v>
      </c>
    </row>
    <row r="649" customFormat="false" ht="15" hidden="false" customHeight="false" outlineLevel="0" collapsed="false">
      <c r="A649" s="0" t="n">
        <f aca="false">Data!AN649</f>
        <v>61.2</v>
      </c>
      <c r="B649" s="0" t="n">
        <f aca="false">INDEX(Data!$K649:$O649,Data!$E649)</f>
        <v>65.5961806228</v>
      </c>
    </row>
    <row r="650" customFormat="false" ht="15" hidden="false" customHeight="false" outlineLevel="0" collapsed="false">
      <c r="A650" s="0" t="n">
        <f aca="false">Data!AN650</f>
        <v>46.4</v>
      </c>
      <c r="B650" s="0" t="n">
        <f aca="false">INDEX(Data!$K650:$O650,Data!$E650)</f>
        <v>99.5834934075</v>
      </c>
    </row>
    <row r="651" customFormat="false" ht="15" hidden="false" customHeight="false" outlineLevel="0" collapsed="false">
      <c r="A651" s="0" t="n">
        <f aca="false">Data!AN651</f>
        <v>62.7</v>
      </c>
      <c r="B651" s="0" t="n">
        <f aca="false">INDEX(Data!$K651:$O651,Data!$E651)</f>
        <v>45.7960460802</v>
      </c>
    </row>
    <row r="652" customFormat="false" ht="15" hidden="false" customHeight="false" outlineLevel="0" collapsed="false">
      <c r="A652" s="0" t="n">
        <f aca="false">Data!AN652</f>
        <v>62.2</v>
      </c>
      <c r="B652" s="0" t="n">
        <f aca="false">INDEX(Data!$K652:$O652,Data!$E652)</f>
        <v>3.38047016382</v>
      </c>
    </row>
    <row r="653" customFormat="false" ht="15" hidden="false" customHeight="false" outlineLevel="0" collapsed="false">
      <c r="A653" s="0" t="n">
        <f aca="false">Data!AN653</f>
        <v>68.1</v>
      </c>
      <c r="B653" s="0" t="n">
        <f aca="false">INDEX(Data!$K653:$O653,Data!$E653)</f>
        <v>54.7951823505</v>
      </c>
    </row>
    <row r="654" customFormat="false" ht="15" hidden="false" customHeight="false" outlineLevel="0" collapsed="false">
      <c r="A654" s="0" t="n">
        <f aca="false">Data!AN654</f>
        <v>76.1</v>
      </c>
      <c r="B654" s="0" t="n">
        <f aca="false">INDEX(Data!$K654:$O654,Data!$E654)</f>
        <v>86.0902279308</v>
      </c>
    </row>
    <row r="655" customFormat="false" ht="15" hidden="false" customHeight="false" outlineLevel="0" collapsed="false">
      <c r="A655" s="0" t="n">
        <f aca="false">Data!AN655</f>
        <v>63.6</v>
      </c>
      <c r="B655" s="0" t="n">
        <f aca="false">INDEX(Data!$K655:$O655,Data!$E655)</f>
        <v>23.323671062</v>
      </c>
    </row>
    <row r="656" customFormat="false" ht="15" hidden="false" customHeight="false" outlineLevel="0" collapsed="false">
      <c r="A656" s="0" t="n">
        <f aca="false">Data!AN656</f>
        <v>63</v>
      </c>
      <c r="B656" s="0" t="n">
        <f aca="false">INDEX(Data!$K656:$O656,Data!$E656)</f>
        <v>18.6671952299</v>
      </c>
    </row>
    <row r="657" customFormat="false" ht="15" hidden="false" customHeight="false" outlineLevel="0" collapsed="false">
      <c r="A657" s="0" t="n">
        <f aca="false">Data!AN657</f>
        <v>60.3</v>
      </c>
      <c r="B657" s="0" t="n">
        <f aca="false">INDEX(Data!$K657:$O657,Data!$E657)</f>
        <v>82.7808869483</v>
      </c>
    </row>
    <row r="658" customFormat="false" ht="15" hidden="false" customHeight="false" outlineLevel="0" collapsed="false">
      <c r="A658" s="0" t="n">
        <f aca="false">Data!AN658</f>
        <v>61.4</v>
      </c>
      <c r="B658" s="0" t="n">
        <f aca="false">INDEX(Data!$K658:$O658,Data!$E658)</f>
        <v>35.5456625893</v>
      </c>
    </row>
    <row r="659" customFormat="false" ht="15" hidden="false" customHeight="false" outlineLevel="0" collapsed="false">
      <c r="A659" s="0" t="n">
        <f aca="false">Data!AN659</f>
        <v>52.2</v>
      </c>
      <c r="B659" s="0" t="n">
        <f aca="false">INDEX(Data!$K659:$O659,Data!$E659)</f>
        <v>55.722350358</v>
      </c>
    </row>
    <row r="660" customFormat="false" ht="15" hidden="false" customHeight="false" outlineLevel="0" collapsed="false">
      <c r="A660" s="0" t="n">
        <f aca="false">Data!AN660</f>
        <v>75.3</v>
      </c>
      <c r="B660" s="0" t="n">
        <f aca="false">INDEX(Data!$K660:$O660,Data!$E660)</f>
        <v>7.14071820298</v>
      </c>
    </row>
    <row r="661" customFormat="false" ht="15" hidden="false" customHeight="false" outlineLevel="0" collapsed="false">
      <c r="A661" s="0" t="n">
        <f aca="false">Data!AN661</f>
        <v>80.8</v>
      </c>
      <c r="B661" s="0" t="n">
        <f aca="false">INDEX(Data!$K661:$O661,Data!$E661)</f>
        <v>15.5964538067</v>
      </c>
    </row>
    <row r="662" customFormat="false" ht="15" hidden="false" customHeight="false" outlineLevel="0" collapsed="false">
      <c r="A662" s="0" t="n">
        <f aca="false">Data!AN662</f>
        <v>63.6</v>
      </c>
      <c r="B662" s="0" t="n">
        <f aca="false">INDEX(Data!$K662:$O662,Data!$E662)</f>
        <v>98.6642473338</v>
      </c>
    </row>
    <row r="663" customFormat="false" ht="15" hidden="false" customHeight="false" outlineLevel="0" collapsed="false">
      <c r="A663" s="0" t="n">
        <f aca="false">Data!AN663</f>
        <v>54.2</v>
      </c>
      <c r="B663" s="0" t="n">
        <f aca="false">INDEX(Data!$K663:$O663,Data!$E663)</f>
        <v>19.6394085858</v>
      </c>
    </row>
    <row r="664" customFormat="false" ht="15" hidden="false" customHeight="false" outlineLevel="0" collapsed="false">
      <c r="A664" s="0" t="n">
        <f aca="false">Data!AN664</f>
        <v>64.3</v>
      </c>
      <c r="B664" s="0" t="n">
        <f aca="false">INDEX(Data!$K664:$O664,Data!$E664)</f>
        <v>25.865505755</v>
      </c>
    </row>
    <row r="665" customFormat="false" ht="15" hidden="false" customHeight="false" outlineLevel="0" collapsed="false">
      <c r="A665" s="0" t="n">
        <f aca="false">Data!AN665</f>
        <v>63.2</v>
      </c>
      <c r="B665" s="0" t="n">
        <f aca="false">INDEX(Data!$K665:$O665,Data!$E665)</f>
        <v>14.3539678107</v>
      </c>
    </row>
    <row r="666" customFormat="false" ht="15" hidden="false" customHeight="false" outlineLevel="0" collapsed="false">
      <c r="A666" s="0" t="n">
        <f aca="false">Data!AN666</f>
        <v>62.1</v>
      </c>
      <c r="B666" s="0" t="n">
        <f aca="false">INDEX(Data!$K666:$O666,Data!$E666)</f>
        <v>2.84684367195</v>
      </c>
    </row>
    <row r="667" customFormat="false" ht="15" hidden="false" customHeight="false" outlineLevel="0" collapsed="false">
      <c r="A667" s="0" t="n">
        <f aca="false">Data!AN667</f>
        <v>63.5</v>
      </c>
      <c r="B667" s="0" t="n">
        <f aca="false">INDEX(Data!$K667:$O667,Data!$E667)</f>
        <v>64.2834983501</v>
      </c>
    </row>
    <row r="668" customFormat="false" ht="15" hidden="false" customHeight="false" outlineLevel="0" collapsed="false">
      <c r="A668" s="0" t="n">
        <f aca="false">Data!AN668</f>
        <v>49.2</v>
      </c>
      <c r="B668" s="0" t="n">
        <f aca="false">INDEX(Data!$K668:$O668,Data!$E668)</f>
        <v>88.1371477848</v>
      </c>
    </row>
    <row r="669" customFormat="false" ht="15" hidden="false" customHeight="false" outlineLevel="0" collapsed="false">
      <c r="A669" s="0" t="n">
        <f aca="false">Data!AN669</f>
        <v>71</v>
      </c>
      <c r="B669" s="0" t="n">
        <f aca="false">INDEX(Data!$K669:$O669,Data!$E669)</f>
        <v>8.56963834134</v>
      </c>
    </row>
    <row r="670" customFormat="false" ht="15" hidden="false" customHeight="false" outlineLevel="0" collapsed="false">
      <c r="A670" s="0" t="n">
        <f aca="false">Data!AN670</f>
        <v>50.1</v>
      </c>
      <c r="B670" s="0" t="n">
        <f aca="false">INDEX(Data!$K670:$O670,Data!$E670)</f>
        <v>46.3167366736</v>
      </c>
    </row>
    <row r="671" customFormat="false" ht="15" hidden="false" customHeight="false" outlineLevel="0" collapsed="false">
      <c r="A671" s="0" t="n">
        <f aca="false">Data!AN671</f>
        <v>65.4</v>
      </c>
      <c r="B671" s="0" t="n">
        <f aca="false">INDEX(Data!$K671:$O671,Data!$E671)</f>
        <v>39.3019192007</v>
      </c>
    </row>
    <row r="672" customFormat="false" ht="15" hidden="false" customHeight="false" outlineLevel="0" collapsed="false">
      <c r="A672" s="0" t="n">
        <f aca="false">Data!AN672</f>
        <v>66.9</v>
      </c>
      <c r="B672" s="0" t="n">
        <f aca="false">INDEX(Data!$K672:$O672,Data!$E672)</f>
        <v>18.6177552517</v>
      </c>
    </row>
    <row r="673" customFormat="false" ht="15" hidden="false" customHeight="false" outlineLevel="0" collapsed="false">
      <c r="A673" s="0" t="n">
        <f aca="false">Data!AN673</f>
        <v>60.6</v>
      </c>
      <c r="B673" s="0" t="n">
        <f aca="false">INDEX(Data!$K673:$O673,Data!$E673)</f>
        <v>94.7137605404</v>
      </c>
    </row>
    <row r="674" customFormat="false" ht="15" hidden="false" customHeight="false" outlineLevel="0" collapsed="false">
      <c r="A674" s="0" t="n">
        <f aca="false">Data!AN674</f>
        <v>65.4</v>
      </c>
      <c r="B674" s="0" t="n">
        <f aca="false">INDEX(Data!$K674:$O674,Data!$E674)</f>
        <v>17.7497517694</v>
      </c>
    </row>
    <row r="675" customFormat="false" ht="15" hidden="false" customHeight="false" outlineLevel="0" collapsed="false">
      <c r="A675" s="0" t="n">
        <f aca="false">Data!AN675</f>
        <v>61.3</v>
      </c>
      <c r="B675" s="0" t="n">
        <f aca="false">INDEX(Data!$K675:$O675,Data!$E675)</f>
        <v>39.5406181839</v>
      </c>
    </row>
    <row r="676" customFormat="false" ht="15" hidden="false" customHeight="false" outlineLevel="0" collapsed="false">
      <c r="A676" s="0" t="n">
        <f aca="false">Data!AN676</f>
        <v>67.1</v>
      </c>
      <c r="B676" s="0" t="n">
        <f aca="false">INDEX(Data!$K676:$O676,Data!$E676)</f>
        <v>29.2962725902</v>
      </c>
    </row>
    <row r="677" customFormat="false" ht="15" hidden="false" customHeight="false" outlineLevel="0" collapsed="false">
      <c r="A677" s="0" t="n">
        <f aca="false">Data!AN677</f>
        <v>58.1</v>
      </c>
      <c r="B677" s="0" t="n">
        <f aca="false">INDEX(Data!$K677:$O677,Data!$E677)</f>
        <v>65.5847742053</v>
      </c>
    </row>
    <row r="678" customFormat="false" ht="15" hidden="false" customHeight="false" outlineLevel="0" collapsed="false">
      <c r="A678" s="0" t="n">
        <f aca="false">Data!AN678</f>
        <v>47.8</v>
      </c>
      <c r="B678" s="0" t="n">
        <f aca="false">INDEX(Data!$K678:$O678,Data!$E678)</f>
        <v>10.5254970208</v>
      </c>
    </row>
    <row r="679" customFormat="false" ht="15" hidden="false" customHeight="false" outlineLevel="0" collapsed="false">
      <c r="A679" s="0" t="n">
        <f aca="false">Data!AN679</f>
        <v>67.3</v>
      </c>
      <c r="B679" s="0" t="n">
        <f aca="false">INDEX(Data!$K679:$O679,Data!$E679)</f>
        <v>41.1583910514</v>
      </c>
    </row>
    <row r="680" customFormat="false" ht="15" hidden="false" customHeight="false" outlineLevel="0" collapsed="false">
      <c r="A680" s="0" t="n">
        <f aca="false">Data!AN680</f>
        <v>59.5</v>
      </c>
      <c r="B680" s="0" t="n">
        <f aca="false">INDEX(Data!$K680:$O680,Data!$E680)</f>
        <v>44.452127397</v>
      </c>
    </row>
    <row r="681" customFormat="false" ht="15" hidden="false" customHeight="false" outlineLevel="0" collapsed="false">
      <c r="A681" s="0" t="n">
        <f aca="false">Data!AN681</f>
        <v>69.4</v>
      </c>
      <c r="B681" s="0" t="n">
        <f aca="false">INDEX(Data!$K681:$O681,Data!$E681)</f>
        <v>11.5478480957</v>
      </c>
    </row>
    <row r="682" customFormat="false" ht="15" hidden="false" customHeight="false" outlineLevel="0" collapsed="false">
      <c r="A682" s="0" t="n">
        <f aca="false">Data!AN682</f>
        <v>65.5</v>
      </c>
      <c r="B682" s="0" t="n">
        <f aca="false">INDEX(Data!$K682:$O682,Data!$E682)</f>
        <v>3.64167073597</v>
      </c>
    </row>
    <row r="683" customFormat="false" ht="15" hidden="false" customHeight="false" outlineLevel="0" collapsed="false">
      <c r="A683" s="0" t="n">
        <f aca="false">Data!AN683</f>
        <v>56.6</v>
      </c>
      <c r="B683" s="0" t="n">
        <f aca="false">INDEX(Data!$K683:$O683,Data!$E683)</f>
        <v>28.0437856343</v>
      </c>
    </row>
    <row r="684" customFormat="false" ht="15" hidden="false" customHeight="false" outlineLevel="0" collapsed="false">
      <c r="A684" s="0" t="n">
        <f aca="false">Data!AN684</f>
        <v>47.2</v>
      </c>
      <c r="B684" s="0" t="n">
        <f aca="false">INDEX(Data!$K684:$O684,Data!$E684)</f>
        <v>97.7815113487</v>
      </c>
    </row>
    <row r="685" customFormat="false" ht="15" hidden="false" customHeight="false" outlineLevel="0" collapsed="false">
      <c r="A685" s="0" t="n">
        <f aca="false">Data!AN685</f>
        <v>54</v>
      </c>
      <c r="B685" s="0" t="n">
        <f aca="false">INDEX(Data!$K685:$O685,Data!$E685)</f>
        <v>50.3057262444</v>
      </c>
    </row>
    <row r="686" customFormat="false" ht="15" hidden="false" customHeight="false" outlineLevel="0" collapsed="false">
      <c r="A686" s="0" t="n">
        <f aca="false">Data!AN686</f>
        <v>42.2</v>
      </c>
      <c r="B686" s="0" t="n">
        <f aca="false">INDEX(Data!$K686:$O686,Data!$E686)</f>
        <v>32.4648925792</v>
      </c>
    </row>
    <row r="687" customFormat="false" ht="15" hidden="false" customHeight="false" outlineLevel="0" collapsed="false">
      <c r="A687" s="0" t="n">
        <f aca="false">Data!AN687</f>
        <v>40.1</v>
      </c>
      <c r="B687" s="0" t="n">
        <f aca="false">INDEX(Data!$K687:$O687,Data!$E687)</f>
        <v>80.8288088504</v>
      </c>
    </row>
    <row r="688" customFormat="false" ht="15" hidden="false" customHeight="false" outlineLevel="0" collapsed="false">
      <c r="A688" s="0" t="n">
        <f aca="false">Data!AN688</f>
        <v>44.8</v>
      </c>
      <c r="B688" s="0" t="n">
        <f aca="false">INDEX(Data!$K688:$O688,Data!$E688)</f>
        <v>69.4131360471</v>
      </c>
    </row>
    <row r="689" customFormat="false" ht="15" hidden="false" customHeight="false" outlineLevel="0" collapsed="false">
      <c r="A689" s="0" t="n">
        <f aca="false">Data!AN689</f>
        <v>50.9</v>
      </c>
      <c r="B689" s="0" t="n">
        <f aca="false">INDEX(Data!$K689:$O689,Data!$E689)</f>
        <v>50.5095794724</v>
      </c>
    </row>
    <row r="690" customFormat="false" ht="15" hidden="false" customHeight="false" outlineLevel="0" collapsed="false">
      <c r="A690" s="0" t="n">
        <f aca="false">Data!AN690</f>
        <v>68.9</v>
      </c>
      <c r="B690" s="0" t="n">
        <f aca="false">INDEX(Data!$K690:$O690,Data!$E690)</f>
        <v>21.5746930973</v>
      </c>
    </row>
    <row r="691" customFormat="false" ht="15" hidden="false" customHeight="false" outlineLevel="0" collapsed="false">
      <c r="A691" s="0" t="n">
        <f aca="false">Data!AN691</f>
        <v>65.8</v>
      </c>
      <c r="B691" s="0" t="n">
        <f aca="false">INDEX(Data!$K691:$O691,Data!$E691)</f>
        <v>20.132867179</v>
      </c>
    </row>
    <row r="692" customFormat="false" ht="15" hidden="false" customHeight="false" outlineLevel="0" collapsed="false">
      <c r="A692" s="0" t="n">
        <f aca="false">Data!AN692</f>
        <v>67.4</v>
      </c>
      <c r="B692" s="0" t="n">
        <f aca="false">INDEX(Data!$K692:$O692,Data!$E692)</f>
        <v>6.456212962</v>
      </c>
    </row>
    <row r="693" customFormat="false" ht="15" hidden="false" customHeight="false" outlineLevel="0" collapsed="false">
      <c r="A693" s="0" t="n">
        <f aca="false">Data!AN693</f>
        <v>73.3</v>
      </c>
      <c r="B693" s="0" t="n">
        <f aca="false">INDEX(Data!$K693:$O693,Data!$E693)</f>
        <v>0.0551279048236</v>
      </c>
    </row>
    <row r="694" customFormat="false" ht="15" hidden="false" customHeight="false" outlineLevel="0" collapsed="false">
      <c r="A694" s="0" t="n">
        <f aca="false">Data!AN694</f>
        <v>73.5</v>
      </c>
      <c r="B694" s="0" t="n">
        <f aca="false">INDEX(Data!$K694:$O694,Data!$E694)</f>
        <v>48.1962454008</v>
      </c>
    </row>
    <row r="695" customFormat="false" ht="15" hidden="false" customHeight="false" outlineLevel="0" collapsed="false">
      <c r="A695" s="0" t="n">
        <f aca="false">Data!AN695</f>
        <v>48.1</v>
      </c>
      <c r="B695" s="0" t="n">
        <f aca="false">INDEX(Data!$K695:$O695,Data!$E695)</f>
        <v>26.7279919001</v>
      </c>
    </row>
    <row r="696" customFormat="false" ht="15" hidden="false" customHeight="false" outlineLevel="0" collapsed="false">
      <c r="A696" s="0" t="n">
        <f aca="false">Data!AN696</f>
        <v>33</v>
      </c>
      <c r="B696" s="0" t="n">
        <f aca="false">INDEX(Data!$K696:$O696,Data!$E696)</f>
        <v>59.1757279159</v>
      </c>
    </row>
    <row r="697" customFormat="false" ht="15" hidden="false" customHeight="false" outlineLevel="0" collapsed="false">
      <c r="A697" s="0" t="n">
        <f aca="false">Data!AN697</f>
        <v>49.1</v>
      </c>
      <c r="B697" s="0" t="n">
        <f aca="false">INDEX(Data!$K697:$O697,Data!$E697)</f>
        <v>67.0487303187</v>
      </c>
    </row>
    <row r="698" customFormat="false" ht="15" hidden="false" customHeight="false" outlineLevel="0" collapsed="false">
      <c r="A698" s="0" t="n">
        <f aca="false">Data!AN698</f>
        <v>34.4</v>
      </c>
      <c r="B698" s="0" t="n">
        <f aca="false">INDEX(Data!$K698:$O698,Data!$E698)</f>
        <v>68.4226050886</v>
      </c>
    </row>
    <row r="699" customFormat="false" ht="15" hidden="false" customHeight="false" outlineLevel="0" collapsed="false">
      <c r="A699" s="0" t="n">
        <f aca="false">Data!AN699</f>
        <v>68.3</v>
      </c>
      <c r="B699" s="0" t="n">
        <f aca="false">INDEX(Data!$K699:$O699,Data!$E699)</f>
        <v>21.9375127328</v>
      </c>
    </row>
    <row r="700" customFormat="false" ht="15" hidden="false" customHeight="false" outlineLevel="0" collapsed="false">
      <c r="A700" s="0" t="n">
        <f aca="false">Data!AN700</f>
        <v>32.1</v>
      </c>
      <c r="B700" s="0" t="n">
        <f aca="false">INDEX(Data!$K700:$O700,Data!$E700)</f>
        <v>62.2108316107</v>
      </c>
    </row>
    <row r="701" customFormat="false" ht="15" hidden="false" customHeight="false" outlineLevel="0" collapsed="false">
      <c r="A701" s="0" t="n">
        <f aca="false">Data!AN701</f>
        <v>81.5</v>
      </c>
      <c r="B701" s="0" t="n">
        <f aca="false">INDEX(Data!$K701:$O701,Data!$E701)</f>
        <v>81.2477785966</v>
      </c>
    </row>
    <row r="702" customFormat="false" ht="15" hidden="false" customHeight="false" outlineLevel="0" collapsed="false">
      <c r="A702" s="0" t="n">
        <f aca="false">Data!AN702</f>
        <v>66.9</v>
      </c>
      <c r="B702" s="0" t="n">
        <f aca="false">INDEX(Data!$K702:$O702,Data!$E702)</f>
        <v>28.0324239108</v>
      </c>
    </row>
    <row r="703" customFormat="false" ht="15" hidden="false" customHeight="false" outlineLevel="0" collapsed="false">
      <c r="A703" s="0" t="n">
        <f aca="false">Data!AN703</f>
        <v>57.2</v>
      </c>
      <c r="B703" s="0" t="n">
        <f aca="false">INDEX(Data!$K703:$O703,Data!$E703)</f>
        <v>40.56446492</v>
      </c>
    </row>
    <row r="704" customFormat="false" ht="15" hidden="false" customHeight="false" outlineLevel="0" collapsed="false">
      <c r="A704" s="0" t="n">
        <f aca="false">Data!AN704</f>
        <v>67.8</v>
      </c>
      <c r="B704" s="0" t="n">
        <f aca="false">INDEX(Data!$K704:$O704,Data!$E704)</f>
        <v>9.39406527493</v>
      </c>
    </row>
    <row r="705" customFormat="false" ht="15" hidden="false" customHeight="false" outlineLevel="0" collapsed="false">
      <c r="A705" s="0" t="n">
        <f aca="false">Data!AN705</f>
        <v>65.5</v>
      </c>
      <c r="B705" s="0" t="n">
        <f aca="false">INDEX(Data!$K705:$O705,Data!$E705)</f>
        <v>14.7963022961</v>
      </c>
    </row>
    <row r="706" customFormat="false" ht="15" hidden="false" customHeight="false" outlineLevel="0" collapsed="false">
      <c r="A706" s="0" t="n">
        <f aca="false">Data!AN706</f>
        <v>53.6</v>
      </c>
      <c r="B706" s="0" t="n">
        <f aca="false">INDEX(Data!$K706:$O706,Data!$E706)</f>
        <v>50.7012822451</v>
      </c>
    </row>
    <row r="707" customFormat="false" ht="15" hidden="false" customHeight="false" outlineLevel="0" collapsed="false">
      <c r="A707" s="0" t="n">
        <f aca="false">Data!AN707</f>
        <v>44.9</v>
      </c>
      <c r="B707" s="0" t="n">
        <f aca="false">INDEX(Data!$K707:$O707,Data!$E707)</f>
        <v>14.817602002</v>
      </c>
    </row>
    <row r="708" customFormat="false" ht="15" hidden="false" customHeight="false" outlineLevel="0" collapsed="false">
      <c r="A708" s="0" t="n">
        <f aca="false">Data!AN708</f>
        <v>53.1</v>
      </c>
      <c r="B708" s="0" t="n">
        <f aca="false">INDEX(Data!$K708:$O708,Data!$E708)</f>
        <v>15.1020519919</v>
      </c>
    </row>
    <row r="709" customFormat="false" ht="15" hidden="false" customHeight="false" outlineLevel="0" collapsed="false">
      <c r="A709" s="0" t="n">
        <f aca="false">Data!AN709</f>
        <v>59.9</v>
      </c>
      <c r="B709" s="0" t="n">
        <f aca="false">INDEX(Data!$K709:$O709,Data!$E709)</f>
        <v>22.8209805268</v>
      </c>
    </row>
    <row r="710" customFormat="false" ht="15" hidden="false" customHeight="false" outlineLevel="0" collapsed="false">
      <c r="A710" s="0" t="n">
        <f aca="false">Data!AN710</f>
        <v>36.4</v>
      </c>
      <c r="B710" s="0" t="n">
        <f aca="false">INDEX(Data!$K710:$O710,Data!$E710)</f>
        <v>5.86181812603</v>
      </c>
    </row>
    <row r="711" customFormat="false" ht="15" hidden="false" customHeight="false" outlineLevel="0" collapsed="false">
      <c r="A711" s="0" t="n">
        <f aca="false">Data!AN711</f>
        <v>35.9</v>
      </c>
      <c r="B711" s="0" t="n">
        <f aca="false">INDEX(Data!$K711:$O711,Data!$E711)</f>
        <v>33.3467292094</v>
      </c>
    </row>
    <row r="712" customFormat="false" ht="15" hidden="false" customHeight="false" outlineLevel="0" collapsed="false">
      <c r="A712" s="0" t="n">
        <f aca="false">Data!AN712</f>
        <v>53.8</v>
      </c>
      <c r="B712" s="0" t="n">
        <f aca="false">INDEX(Data!$K712:$O712,Data!$E712)</f>
        <v>99.8611173507</v>
      </c>
    </row>
    <row r="713" customFormat="false" ht="15" hidden="false" customHeight="false" outlineLevel="0" collapsed="false">
      <c r="A713" s="0" t="n">
        <f aca="false">Data!AN713</f>
        <v>42.4</v>
      </c>
      <c r="B713" s="0" t="n">
        <f aca="false">INDEX(Data!$K713:$O713,Data!$E713)</f>
        <v>15.4739959018</v>
      </c>
    </row>
    <row r="714" customFormat="false" ht="15" hidden="false" customHeight="false" outlineLevel="0" collapsed="false">
      <c r="A714" s="0" t="n">
        <f aca="false">Data!AN714</f>
        <v>52.7</v>
      </c>
      <c r="B714" s="0" t="n">
        <f aca="false">INDEX(Data!$K714:$O714,Data!$E714)</f>
        <v>95.1871037749</v>
      </c>
    </row>
    <row r="715" customFormat="false" ht="15" hidden="false" customHeight="false" outlineLevel="0" collapsed="false">
      <c r="A715" s="0" t="n">
        <f aca="false">Data!AN715</f>
        <v>57.5</v>
      </c>
      <c r="B715" s="0" t="n">
        <f aca="false">INDEX(Data!$K715:$O715,Data!$E715)</f>
        <v>22.4745368589</v>
      </c>
    </row>
    <row r="716" customFormat="false" ht="15" hidden="false" customHeight="false" outlineLevel="0" collapsed="false">
      <c r="A716" s="0" t="n">
        <f aca="false">Data!AN716</f>
        <v>53.3</v>
      </c>
      <c r="B716" s="0" t="n">
        <f aca="false">INDEX(Data!$K716:$O716,Data!$E716)</f>
        <v>60.5410948621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15" hidden="false" customHeight="false" outlineLevel="0" collapsed="false">
      <c r="A1" s="3" t="s">
        <v>86</v>
      </c>
    </row>
    <row r="3" customFormat="false" ht="15" hidden="false" customHeight="false" outlineLevel="0" collapsed="false">
      <c r="A3" s="3" t="s">
        <v>87</v>
      </c>
    </row>
    <row r="4" customFormat="false" ht="17.15" hidden="false" customHeight="false" outlineLevel="0" collapsed="false">
      <c r="A4" s="3" t="s">
        <v>88</v>
      </c>
    </row>
    <row r="5" customFormat="false" ht="17.15" hidden="false" customHeight="false" outlineLevel="0" collapsed="false">
      <c r="A5" s="3" t="s">
        <v>89</v>
      </c>
    </row>
    <row r="6" customFormat="false" ht="17.15" hidden="false" customHeight="false" outlineLevel="0" collapsed="false">
      <c r="A6" s="3" t="s">
        <v>90</v>
      </c>
    </row>
    <row r="7" customFormat="false" ht="17.15" hidden="false" customHeight="false" outlineLevel="0" collapsed="false">
      <c r="A7" s="3" t="s">
        <v>91</v>
      </c>
    </row>
    <row r="8" customFormat="false" ht="17.15" hidden="false" customHeight="false" outlineLevel="0" collapsed="false">
      <c r="A8" s="3" t="s">
        <v>92</v>
      </c>
    </row>
    <row r="10" customFormat="false" ht="17.15" hidden="false" customHeight="false" outlineLevel="0" collapsed="false">
      <c r="A10" s="3" t="s">
        <v>93</v>
      </c>
    </row>
    <row r="11" customFormat="false" ht="17.15" hidden="false" customHeight="false" outlineLevel="0" collapsed="false">
      <c r="A11" s="0" t="s">
        <v>94</v>
      </c>
    </row>
    <row r="12" customFormat="false" ht="17.15" hidden="false" customHeight="false" outlineLevel="0" collapsed="false">
      <c r="A12" s="0" t="s">
        <v>95</v>
      </c>
    </row>
    <row r="14" customFormat="false" ht="15" hidden="false" customHeight="false" outlineLevel="0" collapsed="false">
      <c r="A14" s="3" t="s">
        <v>96</v>
      </c>
    </row>
    <row r="15" customFormat="false" ht="17.15" hidden="false" customHeight="false" outlineLevel="0" collapsed="false">
      <c r="A15" s="3" t="s">
        <v>97</v>
      </c>
    </row>
    <row r="16" customFormat="false" ht="17.15" hidden="false" customHeight="false" outlineLevel="0" collapsed="false">
      <c r="A16" s="0" t="s">
        <v>98</v>
      </c>
    </row>
    <row r="18" customFormat="false" ht="17.15" hidden="false" customHeight="false" outlineLevel="0" collapsed="false">
      <c r="A18" s="3" t="s">
        <v>99</v>
      </c>
    </row>
    <row r="19" customFormat="false" ht="17.15" hidden="false" customHeight="false" outlineLevel="0" collapsed="false">
      <c r="A19" s="0" t="s">
        <v>100</v>
      </c>
    </row>
    <row r="20" customFormat="false" ht="17.15" hidden="false" customHeight="false" outlineLevel="0" collapsed="false">
      <c r="A20" s="0" t="s">
        <v>101</v>
      </c>
    </row>
    <row r="21" customFormat="false" ht="15" hidden="false" customHeight="false" outlineLevel="0" collapsed="false">
      <c r="A21" s="0" t="s">
        <v>102</v>
      </c>
    </row>
    <row r="22" customFormat="false" ht="15" hidden="false" customHeight="false" outlineLevel="0" collapsed="false">
      <c r="A22" s="0" t="s">
        <v>103</v>
      </c>
    </row>
    <row r="23" customFormat="false" ht="17.15" hidden="false" customHeight="false" outlineLevel="0" collapsed="false">
      <c r="A23" s="0" t="s">
        <v>104</v>
      </c>
    </row>
    <row r="24" customFormat="false" ht="17.15" hidden="false" customHeight="false" outlineLevel="0" collapsed="false">
      <c r="A24" s="0" t="s">
        <v>105</v>
      </c>
    </row>
    <row r="25" customFormat="false" ht="17.15" hidden="false" customHeight="false" outlineLevel="0" collapsed="false">
      <c r="A25" s="0" t="s">
        <v>106</v>
      </c>
    </row>
    <row r="27" customFormat="false" ht="17.15" hidden="false" customHeight="false" outlineLevel="0" collapsed="false">
      <c r="A27" s="3" t="s">
        <v>107</v>
      </c>
    </row>
    <row r="28" customFormat="false" ht="17.15" hidden="false" customHeight="false" outlineLevel="0" collapsed="false">
      <c r="A28" s="3" t="s">
        <v>108</v>
      </c>
    </row>
    <row r="30" customFormat="false" ht="15" hidden="false" customHeight="false" outlineLevel="0" collapsed="false">
      <c r="A30" s="3" t="s">
        <v>109</v>
      </c>
    </row>
    <row r="31" customFormat="false" ht="17.15" hidden="false" customHeight="false" outlineLevel="0" collapsed="false">
      <c r="A31" s="3" t="s">
        <v>110</v>
      </c>
    </row>
    <row r="32" customFormat="false" ht="17.15" hidden="false" customHeight="false" outlineLevel="0" collapsed="false">
      <c r="A32" s="3" t="s">
        <v>111</v>
      </c>
    </row>
    <row r="34" customFormat="false" ht="15" hidden="false" customHeight="false" outlineLevel="0" collapsed="false">
      <c r="A34" s="3" t="s">
        <v>112</v>
      </c>
    </row>
    <row r="35" customFormat="false" ht="17.15" hidden="false" customHeight="false" outlineLevel="0" collapsed="false">
      <c r="A35" s="0" t="s">
        <v>113</v>
      </c>
    </row>
    <row r="36" customFormat="false" ht="17.15" hidden="false" customHeight="false" outlineLevel="0" collapsed="false">
      <c r="A36" s="0" t="s">
        <v>114</v>
      </c>
    </row>
    <row r="37" customFormat="false" ht="17.15" hidden="false" customHeight="false" outlineLevel="0" collapsed="false">
      <c r="A37" s="3" t="s">
        <v>115</v>
      </c>
    </row>
    <row r="39" customFormat="false" ht="17.15" hidden="false" customHeight="false" outlineLevel="0" collapsed="false">
      <c r="A39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7.15" hidden="false" customHeight="false" outlineLevel="0" collapsed="false">
      <c r="A1" s="3" t="s">
        <v>117</v>
      </c>
    </row>
    <row r="2" customFormat="false" ht="28.35" hidden="false" customHeight="false" outlineLevel="0" collapsed="false">
      <c r="A2" s="1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customFormat="false" ht="15" hidden="false" customHeight="false" outlineLevel="0" collapsed="false">
      <c r="A3" s="0" t="s">
        <v>68</v>
      </c>
      <c r="B3" s="0" t="n">
        <v>0.133370553081746</v>
      </c>
      <c r="C3" s="0" t="n">
        <v>0.139922290551133</v>
      </c>
      <c r="D3" s="0" t="n">
        <v>0.117153958906222</v>
      </c>
      <c r="E3" s="0" t="n">
        <v>715</v>
      </c>
    </row>
    <row r="5" customFormat="false" ht="17.15" hidden="false" customHeight="false" outlineLevel="0" collapsed="false">
      <c r="A5" s="3" t="s">
        <v>118</v>
      </c>
    </row>
    <row r="6" customFormat="false" ht="32.8" hidden="false" customHeight="false" outlineLevel="0" collapsed="false">
      <c r="A6" s="1" t="s">
        <v>63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1" t="s">
        <v>77</v>
      </c>
      <c r="J6" s="2" t="s">
        <v>119</v>
      </c>
    </row>
    <row r="7" customFormat="false" ht="15" hidden="false" customHeight="false" outlineLevel="0" collapsed="false">
      <c r="A7" s="0" t="s">
        <v>68</v>
      </c>
      <c r="B7" s="0" t="n">
        <v>376</v>
      </c>
      <c r="C7" s="0" t="n">
        <v>0.739312664624644</v>
      </c>
      <c r="D7" s="0" t="n">
        <v>30.3191489361702</v>
      </c>
      <c r="E7" s="0" t="n">
        <v>25</v>
      </c>
      <c r="F7" s="0" t="n">
        <v>25.7978723404255</v>
      </c>
      <c r="G7" s="0" t="n">
        <v>18.8829787234043</v>
      </c>
      <c r="H7" s="0" t="n">
        <v>114</v>
      </c>
      <c r="I7" s="0" t="n">
        <v>100</v>
      </c>
      <c r="J7" s="0" t="n">
        <v>0.0112025991450123</v>
      </c>
    </row>
    <row r="8" customFormat="false" ht="15" hidden="false" customHeight="false" outlineLevel="0" collapsed="false">
      <c r="A8" s="3" t="s">
        <v>79</v>
      </c>
      <c r="C8" s="0" t="n">
        <v>0.710228816364979</v>
      </c>
    </row>
    <row r="10" customFormat="false" ht="17.15" hidden="false" customHeight="false" outlineLevel="0" collapsed="false">
      <c r="A10" s="3" t="s">
        <v>120</v>
      </c>
    </row>
    <row r="11" customFormat="false" ht="17.15" hidden="false" customHeight="false" outlineLevel="0" collapsed="false">
      <c r="A11" s="1" t="s">
        <v>63</v>
      </c>
      <c r="B11" s="2" t="s">
        <v>81</v>
      </c>
      <c r="C11" s="2" t="s">
        <v>67</v>
      </c>
    </row>
    <row r="12" customFormat="false" ht="15" hidden="false" customHeight="false" outlineLevel="0" collapsed="false">
      <c r="A12" s="0" t="s">
        <v>68</v>
      </c>
      <c r="B12" s="0" t="n">
        <v>-0.120311365780341</v>
      </c>
      <c r="C12" s="0" t="n">
        <v>715</v>
      </c>
    </row>
    <row r="14" customFormat="false" ht="17.15" hidden="false" customHeight="false" outlineLevel="0" collapsed="false">
      <c r="A14" s="3" t="s">
        <v>121</v>
      </c>
    </row>
    <row r="15" customFormat="false" ht="32.8" hidden="false" customHeight="false" outlineLevel="0" collapsed="false">
      <c r="A15" s="1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</row>
    <row r="16" customFormat="false" ht="15" hidden="false" customHeight="false" outlineLevel="0" collapsed="false">
      <c r="A16" s="0" t="s">
        <v>64</v>
      </c>
      <c r="B16" s="0" t="n">
        <f aca="false">Summary!$B$3</f>
        <v>0.133370553081746</v>
      </c>
      <c r="C16" s="0" t="n">
        <v>0.133370553081746</v>
      </c>
      <c r="D16" s="0" t="n">
        <f aca="false">ABS(B16-C16)</f>
        <v>0</v>
      </c>
      <c r="E16" s="0" t="str">
        <f aca="false">IF(D16&lt;0.000000001,"일치","불일치")</f>
        <v>일치</v>
      </c>
    </row>
    <row r="17" customFormat="false" ht="15" hidden="false" customHeight="false" outlineLevel="0" collapsed="false">
      <c r="A17" s="0" t="s">
        <v>65</v>
      </c>
      <c r="B17" s="0" t="n">
        <f aca="false">Summary!$C$3</f>
        <v>0.139922290551133</v>
      </c>
      <c r="C17" s="0" t="n">
        <v>0.139922290551133</v>
      </c>
      <c r="D17" s="0" t="n">
        <f aca="false">ABS(B17-C17)</f>
        <v>0</v>
      </c>
      <c r="E17" s="0" t="str">
        <f aca="false">IF(D17&lt;0.000000001,"일치","불일치")</f>
        <v>일치</v>
      </c>
    </row>
    <row r="18" customFormat="false" ht="15" hidden="false" customHeight="false" outlineLevel="0" collapsed="false">
      <c r="A18" s="0" t="s">
        <v>66</v>
      </c>
      <c r="B18" s="0" t="n">
        <f aca="false">Summary!$D$3</f>
        <v>0.117153958906221</v>
      </c>
      <c r="C18" s="0" t="n">
        <v>0.117153958906222</v>
      </c>
      <c r="D18" s="0" t="n">
        <f aca="false">ABS(B18-C18)</f>
        <v>0</v>
      </c>
      <c r="E18" s="0" t="str">
        <f aca="false">IF(D18&lt;0.000000001,"일치","불일치")</f>
        <v>일치</v>
      </c>
    </row>
    <row r="19" customFormat="false" ht="17.15" hidden="false" customHeight="false" outlineLevel="0" collapsed="false">
      <c r="A19" s="3" t="s">
        <v>127</v>
      </c>
      <c r="B19" s="0" t="n">
        <f aca="false">Summary!$E$3</f>
        <v>715</v>
      </c>
      <c r="C19" s="0" t="n">
        <v>715</v>
      </c>
      <c r="D19" s="0" t="n">
        <f aca="false">ABS(B19-C19)</f>
        <v>0</v>
      </c>
      <c r="E19" s="0" t="str">
        <f aca="false">IF(D19&lt;0.000000001,"일치","불일치")</f>
        <v>일치</v>
      </c>
    </row>
    <row r="20" customFormat="false" ht="17.15" hidden="false" customHeight="false" outlineLevel="0" collapsed="false">
      <c r="A20" s="3" t="s">
        <v>128</v>
      </c>
      <c r="B20" s="0" t="n">
        <f aca="false">Summary!$B$7</f>
        <v>376</v>
      </c>
      <c r="C20" s="0" t="n">
        <v>376</v>
      </c>
      <c r="D20" s="0" t="n">
        <f aca="false">ABS(B20-C20)</f>
        <v>0</v>
      </c>
      <c r="E20" s="0" t="str">
        <f aca="false">IF(D20&lt;0.000000001,"일치","불일치")</f>
        <v>일치</v>
      </c>
    </row>
    <row r="21" customFormat="false" ht="17.15" hidden="false" customHeight="false" outlineLevel="0" collapsed="false">
      <c r="A21" s="3" t="s">
        <v>129</v>
      </c>
      <c r="B21" s="0" t="n">
        <f aca="false">Summary!$C$7</f>
        <v>0.739312664624644</v>
      </c>
      <c r="C21" s="0" t="n">
        <v>0.739312664624644</v>
      </c>
      <c r="D21" s="0" t="n">
        <f aca="false">ABS(B21-C21)</f>
        <v>0</v>
      </c>
      <c r="E21" s="0" t="str">
        <f aca="false">IF(D21&lt;0.000000001,"일치","불일치")</f>
        <v>일치</v>
      </c>
    </row>
    <row r="22" customFormat="false" ht="17.15" hidden="false" customHeight="false" outlineLevel="0" collapsed="false">
      <c r="A22" s="0" t="s">
        <v>130</v>
      </c>
      <c r="B22" s="0" t="n">
        <f aca="false">Summary!$D$7</f>
        <v>30.3191489361702</v>
      </c>
      <c r="C22" s="0" t="n">
        <v>30.3191489361702</v>
      </c>
      <c r="D22" s="0" t="n">
        <f aca="false">ABS(B22-C22)</f>
        <v>0</v>
      </c>
      <c r="E22" s="0" t="str">
        <f aca="false">IF(D22&lt;0.000000001,"일치","불일치")</f>
        <v>일치</v>
      </c>
    </row>
    <row r="23" customFormat="false" ht="17.15" hidden="false" customHeight="false" outlineLevel="0" collapsed="false">
      <c r="A23" s="0" t="s">
        <v>131</v>
      </c>
      <c r="B23" s="0" t="n">
        <f aca="false">Summary!$E$7</f>
        <v>25</v>
      </c>
      <c r="C23" s="0" t="n">
        <v>25</v>
      </c>
      <c r="D23" s="0" t="n">
        <f aca="false">ABS(B23-C23)</f>
        <v>0</v>
      </c>
      <c r="E23" s="0" t="str">
        <f aca="false">IF(D23&lt;0.000000001,"일치","불일치")</f>
        <v>일치</v>
      </c>
    </row>
    <row r="24" customFormat="false" ht="17.15" hidden="false" customHeight="false" outlineLevel="0" collapsed="false">
      <c r="A24" s="0" t="s">
        <v>132</v>
      </c>
      <c r="B24" s="0" t="n">
        <f aca="false">Summary!$F$7</f>
        <v>25.7978723404255</v>
      </c>
      <c r="C24" s="0" t="n">
        <v>25.7978723404255</v>
      </c>
      <c r="D24" s="0" t="n">
        <f aca="false">ABS(B24-C24)</f>
        <v>0</v>
      </c>
      <c r="E24" s="0" t="str">
        <f aca="false">IF(D24&lt;0.000000001,"일치","불일치")</f>
        <v>일치</v>
      </c>
    </row>
    <row r="25" customFormat="false" ht="17.15" hidden="false" customHeight="false" outlineLevel="0" collapsed="false">
      <c r="A25" s="0" t="s">
        <v>133</v>
      </c>
      <c r="B25" s="0" t="n">
        <f aca="false">Summary!$G$7</f>
        <v>18.8829787234043</v>
      </c>
      <c r="C25" s="0" t="n">
        <v>18.8829787234043</v>
      </c>
      <c r="D25" s="0" t="n">
        <f aca="false">ABS(B25-C25)</f>
        <v>0</v>
      </c>
      <c r="E25" s="0" t="str">
        <f aca="false">IF(D25&lt;0.000000001,"일치","불일치")</f>
        <v>일치</v>
      </c>
    </row>
    <row r="26" customFormat="false" ht="17.15" hidden="false" customHeight="false" outlineLevel="0" collapsed="false">
      <c r="A26" s="0" t="s">
        <v>134</v>
      </c>
      <c r="B26" s="0" t="n">
        <f aca="false">Summary!$H$7</f>
        <v>114</v>
      </c>
      <c r="C26" s="0" t="n">
        <v>114</v>
      </c>
      <c r="D26" s="0" t="n">
        <f aca="false">ABS(B26-C26)</f>
        <v>0</v>
      </c>
      <c r="E26" s="0" t="str">
        <f aca="false">IF(D26&lt;0.000000001,"일치","불일치")</f>
        <v>일치</v>
      </c>
    </row>
    <row r="27" customFormat="false" ht="17.15" hidden="false" customHeight="false" outlineLevel="0" collapsed="false">
      <c r="A27" s="3" t="s">
        <v>135</v>
      </c>
      <c r="B27" s="0" t="n">
        <f aca="false">Summary!$J$7</f>
        <v>0.0112025991450112</v>
      </c>
      <c r="C27" s="0" t="n">
        <v>0.0112025991450123</v>
      </c>
      <c r="D27" s="0" t="n">
        <f aca="false">ABS(B27-C27)</f>
        <v>1.13450915328883E-015</v>
      </c>
      <c r="E27" s="0" t="str">
        <f aca="false">IF(D27&lt;0.000000001,"일치","불일치")</f>
        <v>일치</v>
      </c>
    </row>
    <row r="28" customFormat="false" ht="17.15" hidden="false" customHeight="false" outlineLevel="0" collapsed="false">
      <c r="A28" s="3" t="s">
        <v>136</v>
      </c>
      <c r="B28" s="0" t="n">
        <f aca="false">Summary!$B$12</f>
        <v>-0.120311365780341</v>
      </c>
      <c r="C28" s="0" t="n">
        <v>-0.120311365780341</v>
      </c>
      <c r="D28" s="0" t="n">
        <f aca="false">ABS(B28-C28)</f>
        <v>0</v>
      </c>
      <c r="E28" s="0" t="str">
        <f aca="false">IF(D28&lt;0.000000001,"일치","불일치")</f>
        <v>일치</v>
      </c>
    </row>
    <row r="29" customFormat="false" ht="17.15" hidden="false" customHeight="false" outlineLevel="0" collapsed="false">
      <c r="A29" s="3" t="s">
        <v>137</v>
      </c>
      <c r="B29" s="0" t="n">
        <f aca="false">Summary!$C$8</f>
        <v>0.710228816364979</v>
      </c>
      <c r="C29" s="0" t="n">
        <v>0.710228816364979</v>
      </c>
      <c r="D29" s="0" t="n">
        <f aca="false">ABS(B29-C29)</f>
        <v>0</v>
      </c>
      <c r="E29" s="0" t="str">
        <f aca="false">IF(D29&lt;0.000000001,"일치","불일치")</f>
        <v>일치</v>
      </c>
    </row>
    <row r="31" customFormat="false" ht="15" hidden="false" customHeight="false" outlineLevel="0" collapsed="false">
      <c r="A31" s="3" t="s">
        <v>138</v>
      </c>
    </row>
    <row r="32" customFormat="false" ht="15" hidden="false" customHeight="false" outlineLevel="0" collapsed="false">
      <c r="A32" s="3" t="s">
        <v>139</v>
      </c>
      <c r="B32" s="0" t="n">
        <v>761</v>
      </c>
    </row>
    <row r="33" customFormat="false" ht="15" hidden="false" customHeight="false" outlineLevel="0" collapsed="false">
      <c r="A33" s="3" t="s">
        <v>140</v>
      </c>
      <c r="B33" s="0" t="n">
        <v>715</v>
      </c>
    </row>
    <row r="34" customFormat="false" ht="17.15" hidden="false" customHeight="false" outlineLevel="0" collapsed="false">
      <c r="A34" s="3" t="s">
        <v>141</v>
      </c>
      <c r="B34" s="0" t="n">
        <v>715</v>
      </c>
    </row>
    <row r="35" customFormat="false" ht="15" hidden="false" customHeight="false" outlineLevel="0" collapsed="false">
      <c r="A35" s="3" t="s">
        <v>142</v>
      </c>
      <c r="B35" s="0" t="n">
        <v>0</v>
      </c>
    </row>
    <row r="36" customFormat="false" ht="15" hidden="false" customHeight="false" outlineLevel="0" collapsed="false">
      <c r="A36" s="3" t="s">
        <v>143</v>
      </c>
      <c r="B36" s="0" t="n">
        <v>24</v>
      </c>
    </row>
    <row r="37" customFormat="false" ht="15" hidden="false" customHeight="false" outlineLevel="0" collapsed="false">
      <c r="A37" s="3" t="s">
        <v>144</v>
      </c>
      <c r="B37" s="0" t="n">
        <v>4</v>
      </c>
    </row>
    <row r="38" customFormat="false" ht="15" hidden="false" customHeight="false" outlineLevel="0" collapsed="false">
      <c r="A38" s="3" t="s">
        <v>145</v>
      </c>
      <c r="B38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2026-10-15T17:04:31Z</dcterms:created>
  <dc:creator>openpyxl</dc:creator>
  <dc:description/>
  <dc:language>en-US</dc:language>
  <cp:lastModifiedBy/>
  <dcterms:modified xsi:type="dcterms:W3CDTF">2026-10-15T17:04:32Z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